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7.xml" ContentType="application/vnd.openxmlformats-officedocument.spreadsheetml.table+xml"/>
  <Override PartName="/xl/drawings/drawing3.xml" ContentType="application/vnd.openxmlformats-officedocument.drawing+xml"/>
  <Override PartName="/xl/ctrlProps/ctrlProp15.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4.xml" ContentType="application/vnd.openxmlformats-officedocument.drawing+xml"/>
  <Override PartName="/xl/ctrlProps/ctrlProp16.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6.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omments1.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443691c53f3ba4c7/09 ARQ AI/ArkAi/TERMICO/SISTEMA_ACONDICIONAMIENTO_TERMICO/01 - BASE INFORMACION/Plantillas_Excel_Motor/"/>
    </mc:Choice>
  </mc:AlternateContent>
  <xr:revisionPtr revIDLastSave="5" documentId="8_{FC6A328B-E400-456D-BA23-9FF12054FE04}" xr6:coauthVersionLast="47" xr6:coauthVersionMax="47" xr10:uidLastSave="{96B92A65-6A97-4211-A2F5-00F7A81A3042}"/>
  <workbookProtection workbookAlgorithmName="SHA-512" workbookHashValue="VghL4ZBeN8HovR0nU9mgxrHyQdoMMhxh6idxZeYfqF6QYNM61jy13z8+lE5VAP9dN/y8l2Md3PYhNQv/bsj3ug==" workbookSaltValue="gNqZh/KZxjgzHuOxzRmWbA==" workbookSpinCount="100000" lockStructure="1"/>
  <bookViews>
    <workbookView xWindow="0" yWindow="300" windowWidth="14632" windowHeight="15165" firstSheet="1" activeTab="1" autoFilterDateGrouping="0" xr2:uid="{00000000-000D-0000-FFFF-FFFF00000000}"/>
  </bookViews>
  <sheets>
    <sheet name="Instrucciones" sheetId="7" state="hidden" r:id="rId1"/>
    <sheet name="Materiales" sheetId="6" r:id="rId2"/>
    <sheet name="Configuración" sheetId="5" r:id="rId3"/>
    <sheet name="Transmitancia" sheetId="8" r:id="rId4"/>
    <sheet name="Condensación" sheetId="9" r:id="rId5"/>
    <sheet name="Resumen" sheetId="11" r:id="rId6"/>
    <sheet name="Anexo" sheetId="10" r:id="rId7"/>
    <sheet name="Cálculos" sheetId="3" state="hidden" r:id="rId8"/>
    <sheet name="Aux" sheetId="4" state="hidden" r:id="rId9"/>
  </sheets>
  <definedNames>
    <definedName name="_xleta.AND" hidden="1" xlm="1">#NAME?</definedName>
    <definedName name="_xleta.CODE" hidden="1" xlm="1">#NAME?</definedName>
    <definedName name="_xleta.COLUMN" hidden="1" xlm="1">#NAME?</definedName>
    <definedName name="_xleta.COUNT" hidden="1" xlm="1">#NAME?</definedName>
    <definedName name="_xleta.COUNTA" hidden="1" xlm="1">#NAME?</definedName>
    <definedName name="_xleta.IF" hidden="1" xlm="1">#NAME?</definedName>
    <definedName name="_xleta.IFERROR" hidden="1" xlm="1">#NAME?</definedName>
    <definedName name="_xleta.IFS" hidden="1" xlm="1">#NAME?</definedName>
    <definedName name="_xleta.INDEX" hidden="1" xlm="1">#NAME?</definedName>
    <definedName name="_xleta.LOOKUP" hidden="1" xlm="1">#NAME?</definedName>
    <definedName name="_xleta.MATCH" hidden="1" xlm="1">#NAME?</definedName>
    <definedName name="_xleta.MAX" hidden="1" xlm="1">#NAME?</definedName>
    <definedName name="_xleta.MAXIFS" hidden="1" xlm="1">#NAME?</definedName>
    <definedName name="_xleta.MONTH" hidden="1" xlm="1">#NAME?</definedName>
    <definedName name="_xleta.N" hidden="1" xlm="1">#NAME?</definedName>
    <definedName name="_xleta.OR" hidden="1" xlm="1">#NAME?</definedName>
    <definedName name="_xleta.PRODUCT" hidden="1" xlm="1">#NAME?</definedName>
    <definedName name="_xleta.ROUND" hidden="1" xlm="1">#NAME?</definedName>
    <definedName name="_xleta.ROW" hidden="1" xlm="1">#NAME?</definedName>
    <definedName name="_xleta.SORT" hidden="1" xlm="1">#NAME?</definedName>
    <definedName name="_xleta.T" hidden="1" xlm="1">#NAME?</definedName>
    <definedName name="_xleta.TRANSPOSE" hidden="1" xlm="1">#NAME?</definedName>
    <definedName name="_xleta.VALUE" hidden="1" xlm="1">#NAME?</definedName>
    <definedName name="A_f">Cálculos!$AH$58</definedName>
    <definedName name="acumulación_máxima_de_agua">Aux!$H$91</definedName>
    <definedName name="Ai" localSheetId="6">Anexo!$N$55</definedName>
    <definedName name="Ai" localSheetId="7">Cálculos!$GF$6</definedName>
    <definedName name="Alcance_emplazamiento_usuario">Configuración!$D$7</definedName>
    <definedName name="avanzado">Cálculos!$A$1</definedName>
    <definedName name="capa_interior_μ_inf">SECCIONES[[#Totals],[capa interior μ inf]]</definedName>
    <definedName name="Clase_humedad">Cálculos!$BZ$31</definedName>
    <definedName name="clase_humedad_por_defecto">Aux!$C$106</definedName>
    <definedName name="col_análisis">Cálculos!$FY$1</definedName>
    <definedName name="col_base">Cálculos!$GA$1</definedName>
    <definedName name="col_propuesto">Cálculos!$FZ$1</definedName>
    <definedName name="Comuna_usuario">Cálculos!$BV$22</definedName>
    <definedName name="condensación_en_mes_de_inicio">Cálculos!$BZ$51</definedName>
    <definedName name="contacto_terreno">Cálculos!$D$11</definedName>
    <definedName name="contacto_terreno_usuario">Cálculos!$D$10</definedName>
    <definedName name="Cumple_exigencia_térmica">Cálculos!$AH$45</definedName>
    <definedName name="Cumple_sistema_C_Inter">Cálculos!$BZ$54</definedName>
    <definedName name="Cumple_sistema_C_Sup">Cálculos!$BZ$43</definedName>
    <definedName name="d_0">Cálculos!$AH$59</definedName>
    <definedName name="d_1">Cálculos!$AH$60</definedName>
    <definedName name="d_f">Cálculos!$AH$32</definedName>
    <definedName name="d_w_b">Cálculos!$AH$33</definedName>
    <definedName name="d_w_e">Cálculos!$AH$31</definedName>
    <definedName name="datos_Base">Cálculos!$GA$4</definedName>
    <definedName name="datos_caso_en_análisis">Cálculos!$FY$6:$FY$30</definedName>
    <definedName name="datos_Propuesto">Cálculos!$FZ$4</definedName>
    <definedName name="descripción_auto_elemento">SECCIONES[[#Totals],[descripción auto acum]]</definedName>
    <definedName name="descripción_usuario">Configuración!$D$15</definedName>
    <definedName name="detalles_condensación">Condensación!$B$36:$O$84</definedName>
    <definedName name="detalles_transmitancia">Transmitancia!$B$24:$K$63</definedName>
    <definedName name="días_del_mes">Aux!$K$45:$K$56</definedName>
    <definedName name="dirección_flujo">Cálculos!$D$5</definedName>
    <definedName name="emplazamiento_usuario">Configuración!$D$6</definedName>
    <definedName name="error_máximo_relativo">Cálculos!$AH$24</definedName>
    <definedName name="error_máximo_relativo_admisible">Aux!$I$61</definedName>
    <definedName name="espacio_no_acondicionado">Cálculos!$D$12</definedName>
    <definedName name="exigencia_térmica">Cálculos!$AH$44</definedName>
    <definedName name="Gráf_cuadro_RT">Cálculos!$EM$22</definedName>
    <definedName name="Gráf_cuadro_SdT">Cálculos!$EM$21</definedName>
    <definedName name="Gráf_mes">Cálculos!$EM$17</definedName>
    <definedName name="Gráf_sección">Cálculos!$EM$18</definedName>
    <definedName name="humedad_inicial">Cálculos!$BZ$17</definedName>
    <definedName name="humedad_relativa_fija_interior">Aux!$D$88</definedName>
    <definedName name="lista_acreditación_térmica">Aux!$L$10:$L$13</definedName>
    <definedName name="lista_bibliotecas">Aux!$H$36:$H$40</definedName>
    <definedName name="lista_cámara_bajo_cubierta">R_espacios_techo[características del techo]</definedName>
    <definedName name="lista_capas">CAPAS[Capa j]</definedName>
    <definedName name="lista_clases_humedad">Aux!$B$104:$B$108</definedName>
    <definedName name="lista_comunas_alfabético">Aux!$Q$129:$Q$474</definedName>
    <definedName name="lista_comunas_región">Aux!$S$129:$S$502</definedName>
    <definedName name="lista_comunas_región_provincia">Aux!$R$129:$R$558</definedName>
    <definedName name="lista_corrección_fijaciones">Aux!$B$63:$B$65</definedName>
    <definedName name="lista_dirección_flujo">Aux!$H$8:$H$10</definedName>
    <definedName name="lista_escuadrias">Aux!$B$48:$B$57</definedName>
    <definedName name="lista_espacios_aire">Aux!$D$22:$D$24</definedName>
    <definedName name="lista_estaciones_meteorológicas_NCh_1079">DATOS_TEMPERATURA_MEDIA[Estación Meteorológica]</definedName>
    <definedName name="lista_fijaciones">Aux!$H$13:$H$15</definedName>
    <definedName name="lista_Macrozona_Térmica_BCD">Aux!$X$675:$X$676</definedName>
    <definedName name="lista_Macrozona_Térmica_BCDE">Aux!$X$677:$X$678</definedName>
    <definedName name="lista_Macrozona_Térmica_FG">Aux!$X$679</definedName>
    <definedName name="lista_Macrozona_Térmica_HI">Aux!$X$680:$X$681</definedName>
    <definedName name="lista_mat_Cámaras_aire">MATERIALES_CAMARAS[Material]</definedName>
    <definedName name="lista_mat_DITEC">MATERIALES_DITEC[Material]</definedName>
    <definedName name="lista_mat_ISO_tabla3">MATERIALES_ISO_TABLA3[Nombre largo]</definedName>
    <definedName name="lista_mat_ISO_tabla5">MATERIALES_ISO_TABLA5[Producto/material]</definedName>
    <definedName name="lista_mat_usuario">MATERIALES_USUARIO[Material]</definedName>
    <definedName name="lista_materiales">OFFSET(MATERIALES[Nombre largo],0,0,COUNTIF(MATERIALES[Nombre largo],"?*"),1)</definedName>
    <definedName name="lista_mes_abreviado">Aux!$I$45:$I$56</definedName>
    <definedName name="lista_meses">Aux!$H$45:$H$59</definedName>
    <definedName name="lista_PDA">Aux!$U$188:$U$197</definedName>
    <definedName name="lista_rse">Aux!$C$5:$E$5</definedName>
    <definedName name="lista_rsi">Aux!$C$4:$E$4</definedName>
    <definedName name="lista_secciones">SECCIONES[Sección letra]</definedName>
    <definedName name="lista_techo">R_espacios_techo[características del techo]</definedName>
    <definedName name="lista_tipo_elemento">Aux!$H$2:$H$4</definedName>
    <definedName name="lista_tipo_elementos">Aux!$H$2:$H$5</definedName>
    <definedName name="lista_tipo_emplazamiento">Aux!$M$6:$M$7</definedName>
    <definedName name="lista_Zona_Térmica_A">Aux!$X$252:$X$267</definedName>
    <definedName name="lista_Zona_Térmica_B">Aux!$X$268:$X$298</definedName>
    <definedName name="lista_Zona_Térmica_C">Aux!$X$299:$X$327</definedName>
    <definedName name="lista_Zona_Térmica_D">Aux!$X$328:$X$453</definedName>
    <definedName name="lista_Zona_Térmica_E">Aux!$X$454:$X$486</definedName>
    <definedName name="lista_Zona_Térmica_F">Aux!$X$487:$X$551</definedName>
    <definedName name="lista_Zona_Térmica_G">Aux!$X$552:$X$585</definedName>
    <definedName name="lista_Zona_Térmica_H">Aux!$X$586:$X$649</definedName>
    <definedName name="lista_Zona_Térmica_I">Aux!$X$650:$X$673</definedName>
    <definedName name="lista_Zona_Térmica_POLAR">Aux!$X$674</definedName>
    <definedName name="lista_zonas_macrozonas">Aux!$Q$3:$Q$16</definedName>
    <definedName name="m_Δp">Cálculos!$BZ$32</definedName>
    <definedName name="mes_con_máx_condensación">SECCIONES[mes con máx condensación]</definedName>
    <definedName name="Mes_inicial_de_análisis">Cálculos!$BZ$15</definedName>
    <definedName name="método_acreditación_térmico_usuario">Configuración!$D$8</definedName>
    <definedName name="método_acreditación_transmitancia">Cálculos!$AH$3</definedName>
    <definedName name="Método_hr_interior">Cálculos!$BZ$11</definedName>
    <definedName name="Método_humedad_relativa_exterior">Cálculos!$BZ$9</definedName>
    <definedName name="Método_temp_interior">Cálculos!$BZ$10</definedName>
    <definedName name="Método_temperatura_exterior">Cálculos!$BZ$8</definedName>
    <definedName name="n" localSheetId="7">Cálculos!$GF$4</definedName>
    <definedName name="N_capas">CAPAS[[#Totals],[Capa j]]</definedName>
    <definedName name="n_f">Cálculos!$AH$56</definedName>
    <definedName name="n_por_defecto">Aux!$E$64</definedName>
    <definedName name="n_resultados_acum">Cálculos!$GJ$3</definedName>
    <definedName name="N_secciones">SECCIONES[[#Totals],[Sección m]]</definedName>
    <definedName name="Nivel_ocupación">Cálculos!$BZ$30</definedName>
    <definedName name="nivel_ocupación_por_defecto">Aux!$H$95</definedName>
    <definedName name="ocultar_condensación">Cálculos!$BZ$2</definedName>
    <definedName name="ocultar_transmitancia">Cálculos!$AH$4</definedName>
    <definedName name="param_emplazamiento_1">Cálculos!$D$8</definedName>
    <definedName name="param_emplazamiento_2">Cálculos!$D$9</definedName>
    <definedName name="Provincia_usuario">Cálculos!$BZ$25</definedName>
    <definedName name="R_1_fijaciones">Cálculos!$AH$61</definedName>
    <definedName name="R_1_huecos">Cálculos!$AH$51</definedName>
    <definedName name="R_100">SECCIONES[[#Totals],[R100 capa aislante]]</definedName>
    <definedName name="R_f_b">Cálculos!$AH$30</definedName>
    <definedName name="R_se">Cálculos!$AH$15</definedName>
    <definedName name="R_si">Cálculos!$AH$14</definedName>
    <definedName name="R_tot">Cálculos!$AH$19</definedName>
    <definedName name="R_tot_inf">Cálculos!$AH$17</definedName>
    <definedName name="R_tot_sup">Cálculos!$AH$18</definedName>
    <definedName name="R_u_no_acondicionado">Cálculos!$GF$3</definedName>
    <definedName name="R_u_techo">Cálculos!$AH$7</definedName>
    <definedName name="R_v">Aux!$H$89</definedName>
    <definedName name="Resistencia_térmica_2m_tierra">Cálculos!$BZ$16</definedName>
    <definedName name="Rsi_condensación">Cálculos!$BZ$19</definedName>
    <definedName name="Rsi_mobiliario">Aux!$H$90</definedName>
    <definedName name="RTsup_RTinf">Cálculos!$AH$20</definedName>
    <definedName name="Selector_HR_exterior">Cálculos!$BZ$5</definedName>
    <definedName name="Selector_HR_interior">Cálculos!$BZ$7</definedName>
    <definedName name="Selector_temp_exterior">Cálculos!$BZ$4</definedName>
    <definedName name="Selector_temp_interior">Cálculos!$BZ$6</definedName>
    <definedName name="Suelo">Cálculos!$BZ$3</definedName>
    <definedName name="suma_A_e_k_U_e_k" localSheetId="6">Anexo!$N$56</definedName>
    <definedName name="suma_A_e_k_U_e_k" localSheetId="7">Cálculos!$GF$7</definedName>
    <definedName name="suma_fm">SECCIONES[[#Totals],[f]]</definedName>
    <definedName name="Temperatura_interior_fija">Aux!$D$82</definedName>
    <definedName name="tipo_de_clima">Cálculos!$BZ$29</definedName>
    <definedName name="tipo_elemento">Cálculos!$D$3</definedName>
    <definedName name="tipo_elemento_usuario">Configuración!$D$14</definedName>
    <definedName name="tipo_emplazamiento">Cálculos!$D$7</definedName>
    <definedName name="tipo_espacio_bajo_cubierta">Cálculos!$AH$8</definedName>
    <definedName name="tipo_espacio_bajo_cubierta_usuario">Configuración!$D$19</definedName>
    <definedName name="tipo_uso_edificación">Aux!$M$2:$M$4</definedName>
    <definedName name="U_corregida">Cálculos!$AH$42</definedName>
    <definedName name="U_e_k_defecto">Aux!$E$63</definedName>
    <definedName name="U_sin_corregir">Cálculos!$AH$40</definedName>
    <definedName name="U_usuario">Cálculos!$AH$37</definedName>
    <definedName name="U_wg_b">Cálculos!$AH$34</definedName>
    <definedName name="uso_edificación">Cálculos!$D$6</definedName>
    <definedName name="Usuario_estación_meteorológica">Cálculos!$BZ$24</definedName>
    <definedName name="V" localSheetId="6">Anexo!$N$54</definedName>
    <definedName name="V" localSheetId="7">Cálculos!$GF$5</definedName>
    <definedName name="V_aire">Cálculos!$BZ$36</definedName>
    <definedName name="verif_error_térmico">Cálculos!$AH$16</definedName>
    <definedName name="verificador_error_condensación">Cálculos!$BZ$38</definedName>
    <definedName name="y0_Δp">Cálculos!$BZ$34</definedName>
    <definedName name="y1_Δp">Cálculos!$BZ$33</definedName>
    <definedName name="z">Cálculos!$AH$29</definedName>
    <definedName name="Zona_Térmica_condensación">Cálculos!$BZ$22</definedName>
    <definedName name="α_fijaciones">Cálculos!$AH$55</definedName>
    <definedName name="δ_0">Aux!$D$111</definedName>
    <definedName name="ΔU">Cálculos!$AH$47</definedName>
    <definedName name="ΔU_U">Cálculos!$AH$41</definedName>
    <definedName name="ΔUf">Cálculos!$AH$53</definedName>
    <definedName name="ΔUg">Cálculos!$AH$48</definedName>
    <definedName name="ΔUg_2_prima">Cálculos!$AH$50</definedName>
    <definedName name="ΔUr">Cálculos!$AH$63</definedName>
    <definedName name="ϴ_an">Cálculos!$CE$16</definedName>
    <definedName name="λ_f">Cálculos!$AH$57</definedName>
    <definedName name="λ_terreno_defecto">Aux!$E$66</definedName>
    <definedName name="μ_inf">Aux!$D$112</definedName>
    <definedName name="ϕe_suelo">Aux!$E$74</definedName>
    <definedName name="ϕsicr">Cálculos!$BZ$13</definedName>
    <definedName name="ϕsicr_defecto">Aux!$H$88</definedName>
    <definedName name="ϕsicr_usuario">Cálculos!$BZ$12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2" i="9" l="1"/>
  <c r="AL11" i="3"/>
  <c r="AN11" i="3" s="1" a="1"/>
  <c r="AN11" i="3" s="1"/>
  <c r="D33" i="5"/>
  <c r="C81" i="9"/>
  <c r="AL10" i="3"/>
  <c r="D32" i="5"/>
  <c r="C80" i="9"/>
  <c r="AL9" i="3"/>
  <c r="AN9" i="3" s="1" a="1"/>
  <c r="AN9" i="3" s="1"/>
  <c r="D31" i="5"/>
  <c r="C79" i="9"/>
  <c r="AL8" i="3"/>
  <c r="D30" i="5"/>
  <c r="AS6" i="3"/>
  <c r="AU6" i="3" s="1" a="1"/>
  <c r="AU6" i="3" s="1"/>
  <c r="C103" i="6"/>
  <c r="E103" i="6"/>
  <c r="AH37" i="3"/>
  <c r="C78" i="9"/>
  <c r="AL7" i="3"/>
  <c r="AN7" i="3" s="1" a="1"/>
  <c r="AN7" i="3" s="1"/>
  <c r="D29" i="5"/>
  <c r="C77" i="9"/>
  <c r="AL6" i="3"/>
  <c r="D28" i="5"/>
  <c r="C81" i="6"/>
  <c r="E81" i="6"/>
  <c r="AN10" i="3" l="1" a="1"/>
  <c r="AN10" i="3" s="1"/>
  <c r="AO10" i="3" s="1"/>
  <c r="AN8" i="3" a="1"/>
  <c r="AN8" i="3" s="1"/>
  <c r="AO8" i="3" s="1"/>
  <c r="AT6" i="3"/>
  <c r="AV6" i="3" s="1"/>
  <c r="AN6" i="3" a="1"/>
  <c r="AN6" i="3" s="1"/>
  <c r="AO7" i="3" s="1"/>
  <c r="C40" i="6"/>
  <c r="E40" i="6"/>
  <c r="C41" i="6"/>
  <c r="E41" i="6"/>
  <c r="C59" i="6"/>
  <c r="E59" i="6"/>
  <c r="E78" i="6"/>
  <c r="C78" i="6"/>
  <c r="C58" i="6"/>
  <c r="E58" i="6"/>
  <c r="C97" i="6"/>
  <c r="E97" i="6"/>
  <c r="C102" i="6"/>
  <c r="E102" i="6"/>
  <c r="C72" i="6"/>
  <c r="E72" i="6"/>
  <c r="C73" i="6"/>
  <c r="E73" i="6"/>
  <c r="CN18" i="3"/>
  <c r="BZ18" i="3"/>
  <c r="BZ12" i="3"/>
  <c r="F11" i="9"/>
  <c r="D3" i="3"/>
  <c r="C8" i="6"/>
  <c r="C22" i="6"/>
  <c r="B22" i="6"/>
  <c r="H22" i="6"/>
  <c r="I22" i="6"/>
  <c r="J22" i="6"/>
  <c r="K22" i="6"/>
  <c r="B21" i="6"/>
  <c r="H21" i="6"/>
  <c r="I21" i="6"/>
  <c r="C21" i="6" s="1"/>
  <c r="J21" i="6"/>
  <c r="K21" i="6"/>
  <c r="H28" i="10"/>
  <c r="H29" i="10" s="1"/>
  <c r="AO11" i="3" l="1"/>
  <c r="AO9" i="3"/>
  <c r="B43" i="9" a="1"/>
  <c r="B43" i="9" s="1"/>
  <c r="B50" i="9" a="1"/>
  <c r="B50" i="9" s="1"/>
  <c r="B49" i="8" a="1"/>
  <c r="B49" i="8" s="1"/>
  <c r="D5" i="3"/>
  <c r="B16" i="10" a="1"/>
  <c r="B16" i="10" s="1"/>
  <c r="B15" i="10" a="1"/>
  <c r="B15" i="10" s="1"/>
  <c r="B14" i="10" a="1"/>
  <c r="B14" i="10" s="1"/>
  <c r="B13" i="10" a="1"/>
  <c r="B13" i="10" s="1"/>
  <c r="B12" i="10" a="1"/>
  <c r="B12" i="10" s="1"/>
  <c r="B11" i="10" a="1"/>
  <c r="B11" i="10" s="1"/>
  <c r="B10" i="10" a="1"/>
  <c r="B10" i="10" s="1"/>
  <c r="B9" i="10" a="1"/>
  <c r="B9" i="10" s="1"/>
  <c r="B8" i="10" a="1"/>
  <c r="B8" i="10" s="1"/>
  <c r="E39" i="6"/>
  <c r="E42" i="6"/>
  <c r="E43" i="6"/>
  <c r="E44" i="6"/>
  <c r="E45" i="6"/>
  <c r="E46" i="6"/>
  <c r="E47" i="6"/>
  <c r="E48" i="6"/>
  <c r="E49" i="6"/>
  <c r="E50" i="6"/>
  <c r="E51" i="6"/>
  <c r="E52" i="6"/>
  <c r="E53" i="6"/>
  <c r="E54" i="6"/>
  <c r="E55" i="6"/>
  <c r="E56" i="6"/>
  <c r="E57" i="6"/>
  <c r="E60" i="6"/>
  <c r="E61" i="6"/>
  <c r="E62" i="6"/>
  <c r="E63" i="6"/>
  <c r="E64" i="6"/>
  <c r="E65" i="6"/>
  <c r="E66" i="6"/>
  <c r="E67" i="6"/>
  <c r="E68" i="6"/>
  <c r="E69" i="6"/>
  <c r="E70" i="6"/>
  <c r="E71" i="6"/>
  <c r="E74" i="6"/>
  <c r="E75" i="6"/>
  <c r="E76" i="6"/>
  <c r="E77" i="6"/>
  <c r="E79" i="6"/>
  <c r="E80" i="6"/>
  <c r="E82" i="6"/>
  <c r="E83" i="6"/>
  <c r="E84" i="6"/>
  <c r="E85" i="6"/>
  <c r="E86" i="6"/>
  <c r="E87" i="6"/>
  <c r="E88" i="6"/>
  <c r="E89" i="6"/>
  <c r="E90" i="6"/>
  <c r="E91" i="6"/>
  <c r="E92" i="6"/>
  <c r="E93" i="6"/>
  <c r="E94" i="6"/>
  <c r="E95" i="6"/>
  <c r="E96" i="6"/>
  <c r="E98" i="6"/>
  <c r="E99" i="6"/>
  <c r="E100" i="6"/>
  <c r="E101" i="6"/>
  <c r="E104" i="6"/>
  <c r="E105" i="6"/>
  <c r="E106" i="6"/>
  <c r="E29" i="6"/>
  <c r="E30" i="6"/>
  <c r="E31" i="6"/>
  <c r="E32" i="6"/>
  <c r="E33" i="6"/>
  <c r="B8" i="6"/>
  <c r="B9" i="6"/>
  <c r="B10" i="6"/>
  <c r="B11" i="6"/>
  <c r="B12" i="6"/>
  <c r="B13" i="6"/>
  <c r="B14" i="6"/>
  <c r="B15" i="6"/>
  <c r="B16" i="6"/>
  <c r="B17" i="6"/>
  <c r="B18" i="6"/>
  <c r="B19" i="6"/>
  <c r="B20" i="6"/>
  <c r="EN25" i="3"/>
  <c r="EN26" i="3"/>
  <c r="EN27" i="3"/>
  <c r="EN28" i="3"/>
  <c r="EN29" i="3"/>
  <c r="EN30" i="3"/>
  <c r="EN31" i="3"/>
  <c r="EN32" i="3"/>
  <c r="EN33" i="3"/>
  <c r="EN34" i="3"/>
  <c r="EN35" i="3"/>
  <c r="EN36" i="3"/>
  <c r="EN37" i="3"/>
  <c r="EN38" i="3"/>
  <c r="EN39" i="3"/>
  <c r="EN40" i="3"/>
  <c r="EN41" i="3"/>
  <c r="EN42" i="3"/>
  <c r="EN43" i="3"/>
  <c r="EN44" i="3"/>
  <c r="EN45" i="3"/>
  <c r="AS5" i="3"/>
  <c r="AL5" i="3"/>
  <c r="D27" i="5"/>
  <c r="H27" i="10" l="1"/>
  <c r="AA681" i="4" l="1"/>
  <c r="AA680" i="4"/>
  <c r="AA679" i="4"/>
  <c r="V681" i="4"/>
  <c r="V680" i="4"/>
  <c r="V679" i="4"/>
  <c r="V678" i="4"/>
  <c r="V677" i="4"/>
  <c r="V676" i="4"/>
  <c r="V675" i="4"/>
  <c r="BZ13" i="3" l="1"/>
  <c r="AN3" i="4" l="1"/>
  <c r="AN4" i="4"/>
  <c r="AN7" i="4"/>
  <c r="AN5" i="4"/>
  <c r="AN6" i="4"/>
  <c r="AN8" i="4"/>
  <c r="AN9" i="4"/>
  <c r="AN11" i="4"/>
  <c r="AN10" i="4"/>
  <c r="AN12" i="4"/>
  <c r="AN17" i="4"/>
  <c r="AN18" i="4"/>
  <c r="AN13" i="4"/>
  <c r="AN14" i="4"/>
  <c r="AN15" i="4"/>
  <c r="AN19" i="4"/>
  <c r="AN20" i="4"/>
  <c r="AN21" i="4"/>
  <c r="AN16" i="4"/>
  <c r="AN22" i="4"/>
  <c r="AN35" i="4"/>
  <c r="AN23" i="4"/>
  <c r="AN24" i="4"/>
  <c r="AN25" i="4"/>
  <c r="AN27" i="4"/>
  <c r="AN26" i="4"/>
  <c r="AN28" i="4"/>
  <c r="AN30" i="4"/>
  <c r="AN29" i="4"/>
  <c r="AN31" i="4"/>
  <c r="AN32" i="4"/>
  <c r="AN33" i="4"/>
  <c r="AN34" i="4"/>
  <c r="AN36" i="4"/>
  <c r="AN37" i="4"/>
  <c r="AN38" i="4"/>
  <c r="AN39" i="4"/>
  <c r="AN40" i="4"/>
  <c r="AN41" i="4"/>
  <c r="AN42" i="4"/>
  <c r="AN43" i="4"/>
  <c r="AN44" i="4"/>
  <c r="AN45" i="4"/>
  <c r="DK56" i="4"/>
  <c r="DJ56" i="4"/>
  <c r="DK55" i="4"/>
  <c r="DJ55" i="4"/>
  <c r="DK54" i="4"/>
  <c r="DJ54" i="4"/>
  <c r="DK53" i="4"/>
  <c r="DJ53" i="4"/>
  <c r="DK52" i="4"/>
  <c r="DJ52" i="4"/>
  <c r="DK51" i="4"/>
  <c r="DJ51" i="4"/>
  <c r="DK50" i="4"/>
  <c r="DJ50" i="4"/>
  <c r="DK49" i="4"/>
  <c r="DJ49" i="4"/>
  <c r="DK48" i="4"/>
  <c r="DJ48" i="4"/>
  <c r="DK47" i="4"/>
  <c r="DJ47" i="4"/>
  <c r="DK46" i="4"/>
  <c r="DJ46" i="4"/>
  <c r="DK45" i="4"/>
  <c r="DJ45" i="4"/>
  <c r="DK44" i="4"/>
  <c r="DJ44" i="4"/>
  <c r="DK43" i="4"/>
  <c r="DJ43" i="4"/>
  <c r="DK42" i="4"/>
  <c r="DJ42" i="4"/>
  <c r="DK41" i="4"/>
  <c r="DJ41" i="4"/>
  <c r="DK40" i="4"/>
  <c r="DJ40" i="4"/>
  <c r="DK39" i="4"/>
  <c r="DJ39" i="4"/>
  <c r="DK38" i="4"/>
  <c r="DJ38" i="4"/>
  <c r="DK37" i="4"/>
  <c r="DJ37" i="4"/>
  <c r="DK36" i="4"/>
  <c r="DJ36" i="4"/>
  <c r="DK35" i="4"/>
  <c r="DJ35" i="4"/>
  <c r="DK34" i="4"/>
  <c r="DJ34" i="4"/>
  <c r="DK33" i="4"/>
  <c r="DJ33" i="4"/>
  <c r="DK32" i="4"/>
  <c r="DJ32" i="4"/>
  <c r="DK31" i="4"/>
  <c r="DJ31" i="4"/>
  <c r="DK30" i="4"/>
  <c r="DJ30" i="4"/>
  <c r="DK29" i="4"/>
  <c r="DJ29" i="4"/>
  <c r="DK28" i="4"/>
  <c r="DJ28" i="4"/>
  <c r="DK27" i="4"/>
  <c r="DJ27" i="4"/>
  <c r="DK26" i="4"/>
  <c r="DJ26" i="4"/>
  <c r="DK25" i="4"/>
  <c r="DJ25" i="4"/>
  <c r="DK24" i="4"/>
  <c r="DJ24" i="4"/>
  <c r="DK23" i="4"/>
  <c r="DJ23" i="4"/>
  <c r="DK22" i="4"/>
  <c r="DJ22" i="4"/>
  <c r="DK21" i="4"/>
  <c r="DJ21" i="4"/>
  <c r="DK20" i="4"/>
  <c r="DJ20" i="4"/>
  <c r="DK19" i="4"/>
  <c r="DJ19" i="4"/>
  <c r="DK18" i="4"/>
  <c r="DJ18" i="4"/>
  <c r="DK17" i="4"/>
  <c r="DJ17" i="4"/>
  <c r="DK16" i="4"/>
  <c r="DJ16" i="4"/>
  <c r="DK15" i="4"/>
  <c r="DJ15" i="4"/>
  <c r="DK14" i="4"/>
  <c r="DJ14" i="4"/>
  <c r="DK13" i="4"/>
  <c r="DJ13" i="4"/>
  <c r="DK12" i="4"/>
  <c r="DJ12" i="4"/>
  <c r="DK11" i="4"/>
  <c r="DJ11" i="4"/>
  <c r="DK10" i="4"/>
  <c r="DJ10" i="4"/>
  <c r="DK9" i="4"/>
  <c r="DJ9" i="4"/>
  <c r="DK8" i="4"/>
  <c r="DJ8" i="4"/>
  <c r="DK7" i="4"/>
  <c r="DJ7" i="4"/>
  <c r="DK6" i="4"/>
  <c r="DJ6" i="4"/>
  <c r="DK5" i="4"/>
  <c r="DJ5" i="4"/>
  <c r="DK4" i="4"/>
  <c r="DJ4" i="4"/>
  <c r="DK3" i="4"/>
  <c r="DJ3" i="4"/>
  <c r="AH3" i="3"/>
  <c r="AH49" i="3"/>
  <c r="C6" i="8" s="1" a="1"/>
  <c r="C6" i="8" s="1"/>
  <c r="BZ15" i="3"/>
  <c r="V252" i="4"/>
  <c r="V253" i="4"/>
  <c r="V254" i="4"/>
  <c r="V255" i="4"/>
  <c r="V256" i="4"/>
  <c r="V257" i="4"/>
  <c r="V258" i="4"/>
  <c r="V259" i="4"/>
  <c r="V260" i="4"/>
  <c r="V261" i="4"/>
  <c r="V262" i="4"/>
  <c r="V263" i="4"/>
  <c r="V264" i="4"/>
  <c r="V265" i="4"/>
  <c r="V266" i="4"/>
  <c r="V267" i="4"/>
  <c r="V268" i="4"/>
  <c r="V269" i="4"/>
  <c r="V270" i="4"/>
  <c r="V271" i="4"/>
  <c r="V272" i="4"/>
  <c r="V273" i="4"/>
  <c r="V274" i="4"/>
  <c r="V275" i="4"/>
  <c r="V276" i="4"/>
  <c r="V277" i="4"/>
  <c r="V278" i="4"/>
  <c r="V279" i="4"/>
  <c r="V280" i="4"/>
  <c r="V281" i="4"/>
  <c r="V282" i="4"/>
  <c r="V283" i="4"/>
  <c r="V284" i="4"/>
  <c r="V285" i="4"/>
  <c r="V286" i="4"/>
  <c r="V287" i="4"/>
  <c r="V288" i="4"/>
  <c r="V289" i="4"/>
  <c r="V290" i="4"/>
  <c r="V291" i="4"/>
  <c r="V292" i="4"/>
  <c r="V293" i="4"/>
  <c r="V294" i="4"/>
  <c r="V295" i="4"/>
  <c r="V296" i="4"/>
  <c r="V297" i="4"/>
  <c r="V298" i="4"/>
  <c r="V299" i="4"/>
  <c r="V300" i="4"/>
  <c r="V301" i="4"/>
  <c r="V302" i="4"/>
  <c r="V303" i="4"/>
  <c r="V304" i="4"/>
  <c r="V305" i="4"/>
  <c r="V306" i="4"/>
  <c r="V307" i="4"/>
  <c r="V308" i="4"/>
  <c r="V309" i="4"/>
  <c r="V310" i="4"/>
  <c r="V311" i="4"/>
  <c r="V312" i="4"/>
  <c r="V313" i="4"/>
  <c r="V314" i="4"/>
  <c r="V315" i="4"/>
  <c r="V316" i="4"/>
  <c r="V317" i="4"/>
  <c r="V318" i="4"/>
  <c r="V319" i="4"/>
  <c r="V320" i="4"/>
  <c r="V321" i="4"/>
  <c r="V322" i="4"/>
  <c r="V323" i="4"/>
  <c r="V324" i="4"/>
  <c r="V325" i="4"/>
  <c r="V326" i="4"/>
  <c r="V327" i="4"/>
  <c r="V328" i="4"/>
  <c r="V329" i="4"/>
  <c r="V330" i="4"/>
  <c r="V331" i="4"/>
  <c r="V332" i="4"/>
  <c r="V333" i="4"/>
  <c r="V334" i="4"/>
  <c r="V335" i="4"/>
  <c r="V336" i="4"/>
  <c r="V337" i="4"/>
  <c r="V338" i="4"/>
  <c r="V339" i="4"/>
  <c r="V340" i="4"/>
  <c r="V341" i="4"/>
  <c r="V342" i="4"/>
  <c r="V343" i="4"/>
  <c r="V344" i="4"/>
  <c r="V345" i="4"/>
  <c r="V346" i="4"/>
  <c r="V347" i="4"/>
  <c r="V348" i="4"/>
  <c r="V349" i="4"/>
  <c r="V350" i="4"/>
  <c r="V351" i="4"/>
  <c r="V352" i="4"/>
  <c r="V353" i="4"/>
  <c r="V354" i="4"/>
  <c r="V355" i="4"/>
  <c r="V356" i="4"/>
  <c r="V357" i="4"/>
  <c r="V358" i="4"/>
  <c r="V359" i="4"/>
  <c r="V360" i="4"/>
  <c r="V361" i="4"/>
  <c r="V362" i="4"/>
  <c r="V363" i="4"/>
  <c r="V364" i="4"/>
  <c r="V365" i="4"/>
  <c r="V366" i="4"/>
  <c r="V367" i="4"/>
  <c r="V368" i="4"/>
  <c r="V369" i="4"/>
  <c r="V370" i="4"/>
  <c r="V371" i="4"/>
  <c r="V372" i="4"/>
  <c r="V373" i="4"/>
  <c r="V374" i="4"/>
  <c r="V375" i="4"/>
  <c r="V376" i="4"/>
  <c r="V377" i="4"/>
  <c r="V378" i="4"/>
  <c r="V379" i="4"/>
  <c r="V380" i="4"/>
  <c r="V381" i="4"/>
  <c r="V382" i="4"/>
  <c r="V383" i="4"/>
  <c r="V384" i="4"/>
  <c r="V385" i="4"/>
  <c r="V386" i="4"/>
  <c r="V387" i="4"/>
  <c r="V388" i="4"/>
  <c r="V389" i="4"/>
  <c r="V390" i="4"/>
  <c r="V391" i="4"/>
  <c r="V392" i="4"/>
  <c r="V393" i="4"/>
  <c r="V394" i="4"/>
  <c r="V395" i="4"/>
  <c r="V396" i="4"/>
  <c r="V397" i="4"/>
  <c r="V398" i="4"/>
  <c r="V399" i="4"/>
  <c r="V400" i="4"/>
  <c r="V401" i="4"/>
  <c r="V402" i="4"/>
  <c r="V403" i="4"/>
  <c r="V404" i="4"/>
  <c r="V405" i="4"/>
  <c r="V406" i="4"/>
  <c r="V407" i="4"/>
  <c r="V408" i="4"/>
  <c r="V409" i="4"/>
  <c r="V410" i="4"/>
  <c r="V411" i="4"/>
  <c r="V412" i="4"/>
  <c r="V413" i="4"/>
  <c r="V414" i="4"/>
  <c r="V415" i="4"/>
  <c r="V416" i="4"/>
  <c r="V417" i="4"/>
  <c r="V418" i="4"/>
  <c r="V419" i="4"/>
  <c r="V420" i="4"/>
  <c r="V421" i="4"/>
  <c r="V422" i="4"/>
  <c r="V423" i="4"/>
  <c r="V424" i="4"/>
  <c r="V425" i="4"/>
  <c r="V426" i="4"/>
  <c r="V427" i="4"/>
  <c r="V428" i="4"/>
  <c r="V429" i="4"/>
  <c r="V430" i="4"/>
  <c r="V431" i="4"/>
  <c r="V432" i="4"/>
  <c r="V433" i="4"/>
  <c r="V434" i="4"/>
  <c r="V435" i="4"/>
  <c r="V436" i="4"/>
  <c r="V437" i="4"/>
  <c r="V438" i="4"/>
  <c r="V439" i="4"/>
  <c r="V440" i="4"/>
  <c r="V441" i="4"/>
  <c r="V442" i="4"/>
  <c r="V443" i="4"/>
  <c r="V444" i="4"/>
  <c r="V445" i="4"/>
  <c r="V446" i="4"/>
  <c r="V447" i="4"/>
  <c r="V448" i="4"/>
  <c r="V449" i="4"/>
  <c r="V450" i="4"/>
  <c r="V451" i="4"/>
  <c r="V452" i="4"/>
  <c r="V453" i="4"/>
  <c r="V454" i="4"/>
  <c r="V455" i="4"/>
  <c r="V456" i="4"/>
  <c r="V457" i="4"/>
  <c r="V458" i="4"/>
  <c r="V459" i="4"/>
  <c r="V460" i="4"/>
  <c r="V461" i="4"/>
  <c r="V462" i="4"/>
  <c r="V463" i="4"/>
  <c r="V464" i="4"/>
  <c r="V465" i="4"/>
  <c r="V466" i="4"/>
  <c r="V467" i="4"/>
  <c r="V468" i="4"/>
  <c r="V469" i="4"/>
  <c r="V470" i="4"/>
  <c r="V471" i="4"/>
  <c r="V472" i="4"/>
  <c r="V473" i="4"/>
  <c r="V474" i="4"/>
  <c r="V475" i="4"/>
  <c r="V476" i="4"/>
  <c r="V477" i="4"/>
  <c r="V478" i="4"/>
  <c r="V479" i="4"/>
  <c r="V480" i="4"/>
  <c r="V481" i="4"/>
  <c r="V482" i="4"/>
  <c r="V483" i="4"/>
  <c r="V484" i="4"/>
  <c r="V485" i="4"/>
  <c r="V486" i="4"/>
  <c r="V487" i="4"/>
  <c r="V488" i="4"/>
  <c r="V489" i="4"/>
  <c r="V490" i="4"/>
  <c r="V491" i="4"/>
  <c r="V492" i="4"/>
  <c r="V493" i="4"/>
  <c r="V494" i="4"/>
  <c r="V495" i="4"/>
  <c r="V496" i="4"/>
  <c r="V497" i="4"/>
  <c r="V498" i="4"/>
  <c r="V499" i="4"/>
  <c r="V500" i="4"/>
  <c r="V501" i="4"/>
  <c r="V502" i="4"/>
  <c r="V503" i="4"/>
  <c r="V504" i="4"/>
  <c r="V505" i="4"/>
  <c r="V506" i="4"/>
  <c r="V507" i="4"/>
  <c r="V508" i="4"/>
  <c r="V509" i="4"/>
  <c r="V510" i="4"/>
  <c r="V511" i="4"/>
  <c r="V512" i="4"/>
  <c r="V513" i="4"/>
  <c r="V514" i="4"/>
  <c r="V515" i="4"/>
  <c r="V516" i="4"/>
  <c r="V517" i="4"/>
  <c r="V518" i="4"/>
  <c r="V519" i="4"/>
  <c r="V520" i="4"/>
  <c r="V521" i="4"/>
  <c r="V522" i="4"/>
  <c r="V523" i="4"/>
  <c r="V524" i="4"/>
  <c r="V525" i="4"/>
  <c r="V526" i="4"/>
  <c r="V527" i="4"/>
  <c r="V528" i="4"/>
  <c r="V529" i="4"/>
  <c r="V530" i="4"/>
  <c r="V531" i="4"/>
  <c r="V532" i="4"/>
  <c r="V533" i="4"/>
  <c r="V534" i="4"/>
  <c r="V535" i="4"/>
  <c r="V536" i="4"/>
  <c r="V537" i="4"/>
  <c r="V538" i="4"/>
  <c r="V539" i="4"/>
  <c r="V540" i="4"/>
  <c r="V541" i="4"/>
  <c r="V542" i="4"/>
  <c r="V543" i="4"/>
  <c r="V544" i="4"/>
  <c r="V545" i="4"/>
  <c r="V546" i="4"/>
  <c r="V547" i="4"/>
  <c r="V548" i="4"/>
  <c r="V549" i="4"/>
  <c r="V550" i="4"/>
  <c r="V551" i="4"/>
  <c r="V552" i="4"/>
  <c r="V553" i="4"/>
  <c r="V554" i="4"/>
  <c r="V555" i="4"/>
  <c r="V556" i="4"/>
  <c r="V557" i="4"/>
  <c r="V558" i="4"/>
  <c r="V559" i="4"/>
  <c r="V560" i="4"/>
  <c r="V561" i="4"/>
  <c r="V562" i="4"/>
  <c r="V563" i="4"/>
  <c r="V564" i="4"/>
  <c r="V565" i="4"/>
  <c r="V566" i="4"/>
  <c r="V567" i="4"/>
  <c r="V568" i="4"/>
  <c r="V569" i="4"/>
  <c r="V570" i="4"/>
  <c r="V571" i="4"/>
  <c r="V572" i="4"/>
  <c r="V573" i="4"/>
  <c r="V574" i="4"/>
  <c r="V575" i="4"/>
  <c r="V576" i="4"/>
  <c r="V577" i="4"/>
  <c r="V578" i="4"/>
  <c r="V579" i="4"/>
  <c r="V580" i="4"/>
  <c r="V581" i="4"/>
  <c r="V582" i="4"/>
  <c r="V583" i="4"/>
  <c r="V584" i="4"/>
  <c r="V585" i="4"/>
  <c r="V586" i="4"/>
  <c r="V587" i="4"/>
  <c r="V588" i="4"/>
  <c r="V589" i="4"/>
  <c r="V590" i="4"/>
  <c r="V591" i="4"/>
  <c r="V592" i="4"/>
  <c r="V593" i="4"/>
  <c r="V594" i="4"/>
  <c r="V595" i="4"/>
  <c r="V596" i="4"/>
  <c r="V597" i="4"/>
  <c r="V598" i="4"/>
  <c r="V599" i="4"/>
  <c r="V600" i="4"/>
  <c r="V601" i="4"/>
  <c r="V602" i="4"/>
  <c r="V603" i="4"/>
  <c r="V604" i="4"/>
  <c r="V605" i="4"/>
  <c r="V606" i="4"/>
  <c r="V607" i="4"/>
  <c r="V608" i="4"/>
  <c r="V609" i="4"/>
  <c r="V610" i="4"/>
  <c r="V611" i="4"/>
  <c r="V612" i="4"/>
  <c r="V613" i="4"/>
  <c r="V614" i="4"/>
  <c r="V615" i="4"/>
  <c r="V616" i="4"/>
  <c r="V617" i="4"/>
  <c r="V618" i="4"/>
  <c r="V619" i="4"/>
  <c r="V620" i="4"/>
  <c r="V621" i="4"/>
  <c r="V622" i="4"/>
  <c r="V623" i="4"/>
  <c r="V624" i="4"/>
  <c r="V625" i="4"/>
  <c r="V626" i="4"/>
  <c r="V627" i="4"/>
  <c r="V628" i="4"/>
  <c r="V629" i="4"/>
  <c r="V630" i="4"/>
  <c r="V631" i="4"/>
  <c r="V632" i="4"/>
  <c r="V633" i="4"/>
  <c r="V634" i="4"/>
  <c r="V635" i="4"/>
  <c r="V636" i="4"/>
  <c r="V637" i="4"/>
  <c r="V638" i="4"/>
  <c r="V639" i="4"/>
  <c r="V640" i="4"/>
  <c r="V641" i="4"/>
  <c r="V642" i="4"/>
  <c r="V643" i="4"/>
  <c r="V644" i="4"/>
  <c r="V645" i="4"/>
  <c r="V646" i="4"/>
  <c r="V647" i="4"/>
  <c r="V648" i="4"/>
  <c r="V649" i="4"/>
  <c r="V650" i="4"/>
  <c r="V651" i="4"/>
  <c r="V652" i="4"/>
  <c r="V653" i="4"/>
  <c r="V654" i="4"/>
  <c r="V655" i="4"/>
  <c r="V656" i="4"/>
  <c r="V657" i="4"/>
  <c r="V658" i="4"/>
  <c r="V659" i="4"/>
  <c r="V660" i="4"/>
  <c r="V661" i="4"/>
  <c r="V662" i="4"/>
  <c r="V663" i="4"/>
  <c r="V664" i="4"/>
  <c r="V665" i="4"/>
  <c r="V666" i="4"/>
  <c r="V667" i="4"/>
  <c r="V668" i="4"/>
  <c r="V669" i="4"/>
  <c r="V670" i="4"/>
  <c r="V671" i="4"/>
  <c r="V672" i="4"/>
  <c r="V673" i="4"/>
  <c r="V674" i="4"/>
  <c r="AA658" i="4"/>
  <c r="AA657" i="4"/>
  <c r="AA659" i="4"/>
  <c r="AA655" i="4"/>
  <c r="AA652" i="4"/>
  <c r="AA664" i="4"/>
  <c r="AA651" i="4"/>
  <c r="AA654" i="4"/>
  <c r="AA660" i="4"/>
  <c r="AA668" i="4"/>
  <c r="AA673" i="4"/>
  <c r="AA672" i="4"/>
  <c r="AA671" i="4"/>
  <c r="AA670" i="4"/>
  <c r="AA669" i="4"/>
  <c r="AA667" i="4"/>
  <c r="AA666" i="4"/>
  <c r="AA665" i="4"/>
  <c r="AA663" i="4"/>
  <c r="AA662" i="4"/>
  <c r="AA661" i="4"/>
  <c r="AA656" i="4"/>
  <c r="AA653" i="4"/>
  <c r="AA650" i="4"/>
  <c r="AA585" i="4"/>
  <c r="AA584" i="4"/>
  <c r="AA583" i="4"/>
  <c r="AA582" i="4"/>
  <c r="AA581" i="4"/>
  <c r="AA580" i="4"/>
  <c r="AA579" i="4"/>
  <c r="AA578" i="4"/>
  <c r="AA577" i="4"/>
  <c r="AA576" i="4"/>
  <c r="AA575" i="4"/>
  <c r="AA574" i="4"/>
  <c r="AA573" i="4"/>
  <c r="AA572" i="4"/>
  <c r="AA571" i="4"/>
  <c r="AA570" i="4"/>
  <c r="AA569" i="4"/>
  <c r="AA568" i="4"/>
  <c r="AA567" i="4"/>
  <c r="AA566" i="4"/>
  <c r="AA565" i="4"/>
  <c r="AA564" i="4"/>
  <c r="AA563" i="4"/>
  <c r="AA562" i="4"/>
  <c r="AA561" i="4"/>
  <c r="AA560" i="4"/>
  <c r="AA559" i="4"/>
  <c r="AA558" i="4"/>
  <c r="AA557" i="4"/>
  <c r="AA556" i="4"/>
  <c r="AA555" i="4"/>
  <c r="AA554" i="4"/>
  <c r="AA553" i="4"/>
  <c r="AA552" i="4"/>
  <c r="AA509" i="4"/>
  <c r="AA547" i="4"/>
  <c r="AA545" i="4"/>
  <c r="AA536" i="4"/>
  <c r="AA531" i="4"/>
  <c r="AA516" i="4"/>
  <c r="AA515" i="4"/>
  <c r="AA501" i="4"/>
  <c r="AA499" i="4"/>
  <c r="AA497" i="4"/>
  <c r="AA502" i="4"/>
  <c r="AA492" i="4"/>
  <c r="AA490" i="4"/>
  <c r="AA488" i="4"/>
  <c r="AA513" i="4"/>
  <c r="AA519" i="4"/>
  <c r="AA518" i="4"/>
  <c r="AA517" i="4"/>
  <c r="AA533" i="4"/>
  <c r="AA532" i="4"/>
  <c r="AA543" i="4"/>
  <c r="AA542" i="4"/>
  <c r="AA550" i="4"/>
  <c r="AA546" i="4"/>
  <c r="D8" i="3"/>
  <c r="E7" i="3" a="1"/>
  <c r="E7" i="3" s="1"/>
  <c r="AH55" i="3"/>
  <c r="AI54" i="3" a="1"/>
  <c r="AI54" i="3" s="1"/>
  <c r="W210" i="4"/>
  <c r="Z215" i="4" s="1"/>
  <c r="GJ3" i="3"/>
  <c r="C19" i="11"/>
  <c r="AQ138" i="4"/>
  <c r="AQ167" i="4"/>
  <c r="AQ165" i="4"/>
  <c r="AQ136" i="4"/>
  <c r="D9" i="3"/>
  <c r="B9" i="5" l="1"/>
  <c r="D19" i="8"/>
  <c r="E17" i="8"/>
  <c r="FY12" i="3"/>
  <c r="B17" i="8"/>
  <c r="FZ12" i="3"/>
  <c r="E9" i="5"/>
  <c r="AH44" i="3" a="1"/>
  <c r="AH44" i="3" s="1"/>
  <c r="B16" i="8"/>
  <c r="B15" i="8"/>
  <c r="E15" i="8"/>
  <c r="E16" i="8"/>
  <c r="AU5" i="3" a="1"/>
  <c r="AU5" i="3" s="1"/>
  <c r="AT5" i="3"/>
  <c r="W226" i="4"/>
  <c r="AG227" i="4"/>
  <c r="AF226" i="4"/>
  <c r="AE225" i="4"/>
  <c r="AD224" i="4"/>
  <c r="AC223" i="4"/>
  <c r="AB222" i="4"/>
  <c r="AA221" i="4"/>
  <c r="Z220" i="4"/>
  <c r="Y219" i="4"/>
  <c r="X218" i="4"/>
  <c r="AA217" i="4"/>
  <c r="AD216" i="4"/>
  <c r="Y215" i="4"/>
  <c r="W225" i="4"/>
  <c r="W221" i="4"/>
  <c r="W217" i="4"/>
  <c r="AF227" i="4"/>
  <c r="AB227" i="4"/>
  <c r="X227" i="4"/>
  <c r="AE226" i="4"/>
  <c r="AA226" i="4"/>
  <c r="AH225" i="4"/>
  <c r="AD225" i="4"/>
  <c r="Z225" i="4"/>
  <c r="AG224" i="4"/>
  <c r="AC224" i="4"/>
  <c r="Y224" i="4"/>
  <c r="AF223" i="4"/>
  <c r="AB223" i="4"/>
  <c r="X223" i="4"/>
  <c r="AE222" i="4"/>
  <c r="AA222" i="4"/>
  <c r="AH221" i="4"/>
  <c r="AD221" i="4"/>
  <c r="Z221" i="4"/>
  <c r="AG220" i="4"/>
  <c r="AC220" i="4"/>
  <c r="Y220" i="4"/>
  <c r="AF219" i="4"/>
  <c r="AB219" i="4"/>
  <c r="X219" i="4"/>
  <c r="AE218" i="4"/>
  <c r="AA218" i="4"/>
  <c r="AH217" i="4"/>
  <c r="AD217" i="4"/>
  <c r="Z217" i="4"/>
  <c r="AG216" i="4"/>
  <c r="AC216" i="4"/>
  <c r="Y216" i="4"/>
  <c r="AF215" i="4"/>
  <c r="AB215" i="4"/>
  <c r="X215" i="4"/>
  <c r="W222" i="4"/>
  <c r="AC227" i="4"/>
  <c r="X226" i="4"/>
  <c r="AH224" i="4"/>
  <c r="AG223" i="4"/>
  <c r="AF222" i="4"/>
  <c r="AE221" i="4"/>
  <c r="AH220" i="4"/>
  <c r="AG219" i="4"/>
  <c r="AF218" i="4"/>
  <c r="AE217" i="4"/>
  <c r="AG215" i="4"/>
  <c r="W215" i="4"/>
  <c r="W224" i="4"/>
  <c r="W220" i="4"/>
  <c r="W216" i="4"/>
  <c r="AE227" i="4"/>
  <c r="AA227" i="4"/>
  <c r="AH226" i="4"/>
  <c r="AD226" i="4"/>
  <c r="Z226" i="4"/>
  <c r="AG225" i="4"/>
  <c r="AC225" i="4"/>
  <c r="Y225" i="4"/>
  <c r="AF224" i="4"/>
  <c r="AB224" i="4"/>
  <c r="X224" i="4"/>
  <c r="AE223" i="4"/>
  <c r="AA223" i="4"/>
  <c r="AH222" i="4"/>
  <c r="AD222" i="4"/>
  <c r="Z222" i="4"/>
  <c r="AG221" i="4"/>
  <c r="AC221" i="4"/>
  <c r="Y221" i="4"/>
  <c r="AF220" i="4"/>
  <c r="AB220" i="4"/>
  <c r="X220" i="4"/>
  <c r="AE219" i="4"/>
  <c r="AA219" i="4"/>
  <c r="AH218" i="4"/>
  <c r="AD218" i="4"/>
  <c r="Z218" i="4"/>
  <c r="AG217" i="4"/>
  <c r="AC217" i="4"/>
  <c r="Y217" i="4"/>
  <c r="AF216" i="4"/>
  <c r="AB216" i="4"/>
  <c r="X216" i="4"/>
  <c r="AE215" i="4"/>
  <c r="AA215" i="4"/>
  <c r="W218" i="4"/>
  <c r="Y227" i="4"/>
  <c r="AB226" i="4"/>
  <c r="AA225" i="4"/>
  <c r="Z224" i="4"/>
  <c r="Y223" i="4"/>
  <c r="X222" i="4"/>
  <c r="AD220" i="4"/>
  <c r="AC219" i="4"/>
  <c r="AB218" i="4"/>
  <c r="AH216" i="4"/>
  <c r="Z216" i="4"/>
  <c r="AC215" i="4"/>
  <c r="W227" i="4"/>
  <c r="W223" i="4"/>
  <c r="W219" i="4"/>
  <c r="AH227" i="4"/>
  <c r="AD227" i="4"/>
  <c r="Z227" i="4"/>
  <c r="AG226" i="4"/>
  <c r="AC226" i="4"/>
  <c r="Y226" i="4"/>
  <c r="AF225" i="4"/>
  <c r="AB225" i="4"/>
  <c r="X225" i="4"/>
  <c r="AE224" i="4"/>
  <c r="AA224" i="4"/>
  <c r="AH223" i="4"/>
  <c r="AD223" i="4"/>
  <c r="Z223" i="4"/>
  <c r="AG222" i="4"/>
  <c r="AC222" i="4"/>
  <c r="Y222" i="4"/>
  <c r="AF221" i="4"/>
  <c r="AB221" i="4"/>
  <c r="X221" i="4"/>
  <c r="AE220" i="4"/>
  <c r="AA220" i="4"/>
  <c r="AH219" i="4"/>
  <c r="AD219" i="4"/>
  <c r="Z219" i="4"/>
  <c r="AG218" i="4"/>
  <c r="AC218" i="4"/>
  <c r="Y218" i="4"/>
  <c r="AF217" i="4"/>
  <c r="AB217" i="4"/>
  <c r="X217" i="4"/>
  <c r="AE216" i="4"/>
  <c r="AA216" i="4"/>
  <c r="AH215" i="4"/>
  <c r="AD215" i="4"/>
  <c r="FY30" i="3"/>
  <c r="FY29" i="3"/>
  <c r="FY28" i="3"/>
  <c r="FY27" i="3"/>
  <c r="FY26" i="3"/>
  <c r="D4" i="3"/>
  <c r="CO5" i="4"/>
  <c r="CP5" i="4"/>
  <c r="CQ5" i="4"/>
  <c r="CR5" i="4"/>
  <c r="CS5" i="4"/>
  <c r="CT5" i="4"/>
  <c r="CU5" i="4"/>
  <c r="CV5" i="4"/>
  <c r="CW5" i="4"/>
  <c r="CX5" i="4"/>
  <c r="CY5" i="4"/>
  <c r="CZ5" i="4"/>
  <c r="CO30" i="4"/>
  <c r="CP30" i="4"/>
  <c r="CQ30" i="4"/>
  <c r="CR30" i="4"/>
  <c r="CS30" i="4"/>
  <c r="CT30" i="4"/>
  <c r="CU30" i="4"/>
  <c r="CV30" i="4"/>
  <c r="CW30" i="4"/>
  <c r="CX30" i="4"/>
  <c r="CY30" i="4"/>
  <c r="CZ30" i="4"/>
  <c r="CO6" i="4"/>
  <c r="CP6" i="4"/>
  <c r="CQ6" i="4"/>
  <c r="CR6" i="4"/>
  <c r="CS6" i="4"/>
  <c r="CT6" i="4"/>
  <c r="CU6" i="4"/>
  <c r="CV6" i="4"/>
  <c r="CW6" i="4"/>
  <c r="CX6" i="4"/>
  <c r="CY6" i="4"/>
  <c r="CZ6" i="4"/>
  <c r="CO3" i="4"/>
  <c r="CP3" i="4"/>
  <c r="CQ3" i="4"/>
  <c r="CR3" i="4"/>
  <c r="CS3" i="4"/>
  <c r="CT3" i="4"/>
  <c r="CU3" i="4"/>
  <c r="CV3" i="4"/>
  <c r="CW3" i="4"/>
  <c r="CX3" i="4"/>
  <c r="CY3" i="4"/>
  <c r="CZ3" i="4"/>
  <c r="CO7" i="4"/>
  <c r="CP7" i="4"/>
  <c r="CQ7" i="4"/>
  <c r="CR7" i="4"/>
  <c r="CS7" i="4"/>
  <c r="CT7" i="4"/>
  <c r="CU7" i="4"/>
  <c r="CV7" i="4"/>
  <c r="CW7" i="4"/>
  <c r="CX7" i="4"/>
  <c r="CY7" i="4"/>
  <c r="CZ7" i="4"/>
  <c r="CO10" i="4"/>
  <c r="CP10" i="4"/>
  <c r="CQ10" i="4"/>
  <c r="CR10" i="4"/>
  <c r="CS10" i="4"/>
  <c r="CT10" i="4"/>
  <c r="CU10" i="4"/>
  <c r="CV10" i="4"/>
  <c r="CW10" i="4"/>
  <c r="CX10" i="4"/>
  <c r="CY10" i="4"/>
  <c r="CZ10" i="4"/>
  <c r="CO20" i="4"/>
  <c r="CP20" i="4"/>
  <c r="CQ20" i="4"/>
  <c r="CR20" i="4"/>
  <c r="CS20" i="4"/>
  <c r="CT20" i="4"/>
  <c r="CU20" i="4"/>
  <c r="CV20" i="4"/>
  <c r="CW20" i="4"/>
  <c r="CX20" i="4"/>
  <c r="CY20" i="4"/>
  <c r="CZ20" i="4"/>
  <c r="CO9" i="4"/>
  <c r="CP9" i="4"/>
  <c r="CQ9" i="4"/>
  <c r="CR9" i="4"/>
  <c r="CS9" i="4"/>
  <c r="CT9" i="4"/>
  <c r="CU9" i="4"/>
  <c r="CV9" i="4"/>
  <c r="CW9" i="4"/>
  <c r="CX9" i="4"/>
  <c r="CY9" i="4"/>
  <c r="CZ9" i="4"/>
  <c r="CO11" i="4"/>
  <c r="CP11" i="4"/>
  <c r="CQ11" i="4"/>
  <c r="CR11" i="4"/>
  <c r="CS11" i="4"/>
  <c r="CT11" i="4"/>
  <c r="CU11" i="4"/>
  <c r="CV11" i="4"/>
  <c r="CW11" i="4"/>
  <c r="CX11" i="4"/>
  <c r="CY11" i="4"/>
  <c r="CZ11" i="4"/>
  <c r="CO13" i="4"/>
  <c r="CP13" i="4"/>
  <c r="CQ13" i="4"/>
  <c r="CR13" i="4"/>
  <c r="CS13" i="4"/>
  <c r="CT13" i="4"/>
  <c r="CU13" i="4"/>
  <c r="CV13" i="4"/>
  <c r="CW13" i="4"/>
  <c r="CX13" i="4"/>
  <c r="CY13" i="4"/>
  <c r="CZ13" i="4"/>
  <c r="CO12" i="4"/>
  <c r="CP12" i="4"/>
  <c r="CQ12" i="4"/>
  <c r="CR12" i="4"/>
  <c r="CS12" i="4"/>
  <c r="CT12" i="4"/>
  <c r="CU12" i="4"/>
  <c r="CV12" i="4"/>
  <c r="CW12" i="4"/>
  <c r="CX12" i="4"/>
  <c r="CY12" i="4"/>
  <c r="CZ12" i="4"/>
  <c r="CO23" i="4"/>
  <c r="CP23" i="4"/>
  <c r="CQ23" i="4"/>
  <c r="CR23" i="4"/>
  <c r="CS23" i="4"/>
  <c r="CT23" i="4"/>
  <c r="CU23" i="4"/>
  <c r="CV23" i="4"/>
  <c r="CW23" i="4"/>
  <c r="CX23" i="4"/>
  <c r="CY23" i="4"/>
  <c r="CZ23" i="4"/>
  <c r="CO26" i="4"/>
  <c r="CP26" i="4"/>
  <c r="CQ26" i="4"/>
  <c r="CR26" i="4"/>
  <c r="CS26" i="4"/>
  <c r="CT26" i="4"/>
  <c r="CU26" i="4"/>
  <c r="CV26" i="4"/>
  <c r="CW26" i="4"/>
  <c r="CX26" i="4"/>
  <c r="CY26" i="4"/>
  <c r="CZ26" i="4"/>
  <c r="CO17" i="4"/>
  <c r="CP17" i="4"/>
  <c r="CQ17" i="4"/>
  <c r="CR17" i="4"/>
  <c r="CS17" i="4"/>
  <c r="CT17" i="4"/>
  <c r="CU17" i="4"/>
  <c r="CV17" i="4"/>
  <c r="CW17" i="4"/>
  <c r="CX17" i="4"/>
  <c r="CY17" i="4"/>
  <c r="CZ17" i="4"/>
  <c r="CO19" i="4"/>
  <c r="CP19" i="4"/>
  <c r="CQ19" i="4"/>
  <c r="CR19" i="4"/>
  <c r="CS19" i="4"/>
  <c r="CT19" i="4"/>
  <c r="CU19" i="4"/>
  <c r="CV19" i="4"/>
  <c r="CW19" i="4"/>
  <c r="CX19" i="4"/>
  <c r="CY19" i="4"/>
  <c r="CZ19" i="4"/>
  <c r="CO14" i="4"/>
  <c r="CP14" i="4"/>
  <c r="CQ14" i="4"/>
  <c r="CR14" i="4"/>
  <c r="CS14" i="4"/>
  <c r="CT14" i="4"/>
  <c r="CU14" i="4"/>
  <c r="CV14" i="4"/>
  <c r="CW14" i="4"/>
  <c r="CX14" i="4"/>
  <c r="CY14" i="4"/>
  <c r="CZ14" i="4"/>
  <c r="CO15" i="4"/>
  <c r="CP15" i="4"/>
  <c r="CQ15" i="4"/>
  <c r="CR15" i="4"/>
  <c r="CS15" i="4"/>
  <c r="CT15" i="4"/>
  <c r="CU15" i="4"/>
  <c r="CV15" i="4"/>
  <c r="CW15" i="4"/>
  <c r="CX15" i="4"/>
  <c r="CY15" i="4"/>
  <c r="CZ15" i="4"/>
  <c r="CO8" i="4"/>
  <c r="CP8" i="4"/>
  <c r="CQ8" i="4"/>
  <c r="CR8" i="4"/>
  <c r="CS8" i="4"/>
  <c r="CT8" i="4"/>
  <c r="CU8" i="4"/>
  <c r="CV8" i="4"/>
  <c r="CW8" i="4"/>
  <c r="CX8" i="4"/>
  <c r="CY8" i="4"/>
  <c r="CZ8" i="4"/>
  <c r="CO21" i="4"/>
  <c r="CP21" i="4"/>
  <c r="CQ21" i="4"/>
  <c r="CR21" i="4"/>
  <c r="CS21" i="4"/>
  <c r="CT21" i="4"/>
  <c r="CU21" i="4"/>
  <c r="CV21" i="4"/>
  <c r="CW21" i="4"/>
  <c r="CX21" i="4"/>
  <c r="CY21" i="4"/>
  <c r="CZ21" i="4"/>
  <c r="CO34" i="4"/>
  <c r="CP34" i="4"/>
  <c r="CQ34" i="4"/>
  <c r="CR34" i="4"/>
  <c r="CS34" i="4"/>
  <c r="CT34" i="4"/>
  <c r="CU34" i="4"/>
  <c r="CV34" i="4"/>
  <c r="CW34" i="4"/>
  <c r="CX34" i="4"/>
  <c r="CY34" i="4"/>
  <c r="CZ34" i="4"/>
  <c r="CO27" i="4"/>
  <c r="CP27" i="4"/>
  <c r="CQ27" i="4"/>
  <c r="CR27" i="4"/>
  <c r="CS27" i="4"/>
  <c r="CT27" i="4"/>
  <c r="CU27" i="4"/>
  <c r="CV27" i="4"/>
  <c r="CW27" i="4"/>
  <c r="CX27" i="4"/>
  <c r="CY27" i="4"/>
  <c r="CZ27" i="4"/>
  <c r="CO24" i="4"/>
  <c r="CP24" i="4"/>
  <c r="CQ24" i="4"/>
  <c r="CR24" i="4"/>
  <c r="CS24" i="4"/>
  <c r="CT24" i="4"/>
  <c r="CU24" i="4"/>
  <c r="CV24" i="4"/>
  <c r="CW24" i="4"/>
  <c r="CX24" i="4"/>
  <c r="CY24" i="4"/>
  <c r="CZ24" i="4"/>
  <c r="CO18" i="4"/>
  <c r="CP18" i="4"/>
  <c r="CQ18" i="4"/>
  <c r="CR18" i="4"/>
  <c r="CS18" i="4"/>
  <c r="CT18" i="4"/>
  <c r="CU18" i="4"/>
  <c r="CV18" i="4"/>
  <c r="CW18" i="4"/>
  <c r="CX18" i="4"/>
  <c r="CY18" i="4"/>
  <c r="CZ18" i="4"/>
  <c r="CO28" i="4"/>
  <c r="CP28" i="4"/>
  <c r="CQ28" i="4"/>
  <c r="CR28" i="4"/>
  <c r="CS28" i="4"/>
  <c r="CT28" i="4"/>
  <c r="CU28" i="4"/>
  <c r="CV28" i="4"/>
  <c r="CW28" i="4"/>
  <c r="CX28" i="4"/>
  <c r="CY28" i="4"/>
  <c r="CZ28" i="4"/>
  <c r="CO22" i="4"/>
  <c r="CP22" i="4"/>
  <c r="CQ22" i="4"/>
  <c r="CR22" i="4"/>
  <c r="CS22" i="4"/>
  <c r="CT22" i="4"/>
  <c r="CU22" i="4"/>
  <c r="CV22" i="4"/>
  <c r="CW22" i="4"/>
  <c r="CX22" i="4"/>
  <c r="CY22" i="4"/>
  <c r="CZ22" i="4"/>
  <c r="CO16" i="4"/>
  <c r="CP16" i="4"/>
  <c r="CQ16" i="4"/>
  <c r="CR16" i="4"/>
  <c r="CS16" i="4"/>
  <c r="CT16" i="4"/>
  <c r="CU16" i="4"/>
  <c r="CV16" i="4"/>
  <c r="CW16" i="4"/>
  <c r="CX16" i="4"/>
  <c r="CY16" i="4"/>
  <c r="CZ16" i="4"/>
  <c r="CO25" i="4"/>
  <c r="CP25" i="4"/>
  <c r="CQ25" i="4"/>
  <c r="CR25" i="4"/>
  <c r="CS25" i="4"/>
  <c r="CT25" i="4"/>
  <c r="CU25" i="4"/>
  <c r="CV25" i="4"/>
  <c r="CW25" i="4"/>
  <c r="CX25" i="4"/>
  <c r="CY25" i="4"/>
  <c r="CZ25" i="4"/>
  <c r="CO29" i="4"/>
  <c r="CP29" i="4"/>
  <c r="CQ29" i="4"/>
  <c r="CR29" i="4"/>
  <c r="CS29" i="4"/>
  <c r="CT29" i="4"/>
  <c r="CU29" i="4"/>
  <c r="CV29" i="4"/>
  <c r="CW29" i="4"/>
  <c r="CX29" i="4"/>
  <c r="CY29" i="4"/>
  <c r="CZ29" i="4"/>
  <c r="CO31" i="4"/>
  <c r="CP31" i="4"/>
  <c r="CQ31" i="4"/>
  <c r="CR31" i="4"/>
  <c r="CS31" i="4"/>
  <c r="CT31" i="4"/>
  <c r="CU31" i="4"/>
  <c r="CV31" i="4"/>
  <c r="CW31" i="4"/>
  <c r="CX31" i="4"/>
  <c r="CY31" i="4"/>
  <c r="CZ31" i="4"/>
  <c r="CO32" i="4"/>
  <c r="CP32" i="4"/>
  <c r="CQ32" i="4"/>
  <c r="CR32" i="4"/>
  <c r="CS32" i="4"/>
  <c r="CT32" i="4"/>
  <c r="CU32" i="4"/>
  <c r="CV32" i="4"/>
  <c r="CW32" i="4"/>
  <c r="CX32" i="4"/>
  <c r="CY32" i="4"/>
  <c r="CZ32" i="4"/>
  <c r="CO33" i="4"/>
  <c r="CP33" i="4"/>
  <c r="CQ33" i="4"/>
  <c r="CR33" i="4"/>
  <c r="CS33" i="4"/>
  <c r="CT33" i="4"/>
  <c r="CU33" i="4"/>
  <c r="CV33" i="4"/>
  <c r="CW33" i="4"/>
  <c r="CX33" i="4"/>
  <c r="CY33" i="4"/>
  <c r="CZ33" i="4"/>
  <c r="CO35" i="4"/>
  <c r="CP35" i="4"/>
  <c r="CQ35" i="4"/>
  <c r="CR35" i="4"/>
  <c r="CS35" i="4"/>
  <c r="CT35" i="4"/>
  <c r="CU35" i="4"/>
  <c r="CV35" i="4"/>
  <c r="CW35" i="4"/>
  <c r="CX35" i="4"/>
  <c r="CY35" i="4"/>
  <c r="CZ35" i="4"/>
  <c r="CO37" i="4"/>
  <c r="CP37" i="4"/>
  <c r="CQ37" i="4"/>
  <c r="CR37" i="4"/>
  <c r="CS37" i="4"/>
  <c r="CT37" i="4"/>
  <c r="CU37" i="4"/>
  <c r="CV37" i="4"/>
  <c r="CW37" i="4"/>
  <c r="CX37" i="4"/>
  <c r="CY37" i="4"/>
  <c r="CZ37" i="4"/>
  <c r="CO38" i="4"/>
  <c r="CP38" i="4"/>
  <c r="CQ38" i="4"/>
  <c r="CR38" i="4"/>
  <c r="CS38" i="4"/>
  <c r="CT38" i="4"/>
  <c r="CU38" i="4"/>
  <c r="CV38" i="4"/>
  <c r="CW38" i="4"/>
  <c r="CX38" i="4"/>
  <c r="CY38" i="4"/>
  <c r="CZ38" i="4"/>
  <c r="CO40" i="4"/>
  <c r="CP40" i="4"/>
  <c r="CQ40" i="4"/>
  <c r="CR40" i="4"/>
  <c r="CS40" i="4"/>
  <c r="CT40" i="4"/>
  <c r="CU40" i="4"/>
  <c r="CV40" i="4"/>
  <c r="CW40" i="4"/>
  <c r="CX40" i="4"/>
  <c r="CY40" i="4"/>
  <c r="CZ40" i="4"/>
  <c r="CO36" i="4"/>
  <c r="CP36" i="4"/>
  <c r="CQ36" i="4"/>
  <c r="CR36" i="4"/>
  <c r="CS36" i="4"/>
  <c r="CT36" i="4"/>
  <c r="CU36" i="4"/>
  <c r="CV36" i="4"/>
  <c r="CW36" i="4"/>
  <c r="CX36" i="4"/>
  <c r="CY36" i="4"/>
  <c r="CZ36" i="4"/>
  <c r="CO39" i="4"/>
  <c r="CP39" i="4"/>
  <c r="CQ39" i="4"/>
  <c r="CR39" i="4"/>
  <c r="CS39" i="4"/>
  <c r="CT39" i="4"/>
  <c r="CU39" i="4"/>
  <c r="CV39" i="4"/>
  <c r="CW39" i="4"/>
  <c r="CX39" i="4"/>
  <c r="CY39" i="4"/>
  <c r="CZ39" i="4"/>
  <c r="CO41" i="4"/>
  <c r="CP41" i="4"/>
  <c r="CQ41" i="4"/>
  <c r="CR41" i="4"/>
  <c r="CS41" i="4"/>
  <c r="CT41" i="4"/>
  <c r="CU41" i="4"/>
  <c r="CV41" i="4"/>
  <c r="CW41" i="4"/>
  <c r="CX41" i="4"/>
  <c r="CY41" i="4"/>
  <c r="CZ41" i="4"/>
  <c r="CO42" i="4"/>
  <c r="CP42" i="4"/>
  <c r="CQ42" i="4"/>
  <c r="CR42" i="4"/>
  <c r="CS42" i="4"/>
  <c r="CT42" i="4"/>
  <c r="CU42" i="4"/>
  <c r="CV42" i="4"/>
  <c r="CW42" i="4"/>
  <c r="CX42" i="4"/>
  <c r="CY42" i="4"/>
  <c r="CZ42" i="4"/>
  <c r="CO43" i="4"/>
  <c r="CP43" i="4"/>
  <c r="CQ43" i="4"/>
  <c r="CR43" i="4"/>
  <c r="CS43" i="4"/>
  <c r="CT43" i="4"/>
  <c r="CU43" i="4"/>
  <c r="CV43" i="4"/>
  <c r="CW43" i="4"/>
  <c r="CX43" i="4"/>
  <c r="CY43" i="4"/>
  <c r="CZ43" i="4"/>
  <c r="CO44" i="4"/>
  <c r="CP44" i="4"/>
  <c r="CQ44" i="4"/>
  <c r="CR44" i="4"/>
  <c r="CS44" i="4"/>
  <c r="CT44" i="4"/>
  <c r="CU44" i="4"/>
  <c r="CV44" i="4"/>
  <c r="CW44" i="4"/>
  <c r="CX44" i="4"/>
  <c r="CY44" i="4"/>
  <c r="CZ44" i="4"/>
  <c r="CO45" i="4"/>
  <c r="CP45" i="4"/>
  <c r="CQ45" i="4"/>
  <c r="CR45" i="4"/>
  <c r="CS45" i="4"/>
  <c r="CT45" i="4"/>
  <c r="CU45" i="4"/>
  <c r="CV45" i="4"/>
  <c r="CW45" i="4"/>
  <c r="CX45" i="4"/>
  <c r="CY45" i="4"/>
  <c r="CZ45" i="4"/>
  <c r="CP4" i="4"/>
  <c r="CQ4" i="4"/>
  <c r="CR4" i="4"/>
  <c r="CS4" i="4"/>
  <c r="CT4" i="4"/>
  <c r="CU4" i="4"/>
  <c r="CV4" i="4"/>
  <c r="CW4" i="4"/>
  <c r="CX4" i="4"/>
  <c r="CY4" i="4"/>
  <c r="CZ4" i="4"/>
  <c r="CO4" i="4"/>
  <c r="C18" i="11"/>
  <c r="CB59" i="3" a="1"/>
  <c r="CB59" i="3" s="1"/>
  <c r="CB60" i="3" a="1"/>
  <c r="CB60" i="3" s="1"/>
  <c r="CB61" i="3" a="1"/>
  <c r="CB61" i="3" s="1"/>
  <c r="CB62" i="3" a="1"/>
  <c r="CB62" i="3" s="1"/>
  <c r="CB63" i="3" a="1"/>
  <c r="CB63" i="3" s="1"/>
  <c r="CB64" i="3" a="1"/>
  <c r="CB64" i="3" s="1"/>
  <c r="CB65" i="3" a="1"/>
  <c r="CB65" i="3" s="1"/>
  <c r="CB66" i="3" a="1"/>
  <c r="CB66" i="3" s="1"/>
  <c r="CB67" i="3" a="1"/>
  <c r="CB67" i="3" s="1"/>
  <c r="CB68" i="3" a="1"/>
  <c r="CB68" i="3" s="1"/>
  <c r="CB69" i="3" a="1"/>
  <c r="CB69" i="3" s="1"/>
  <c r="CB58" i="3" a="1"/>
  <c r="CB58" i="3" s="1"/>
  <c r="BV39" i="4"/>
  <c r="BV40" i="4"/>
  <c r="BV41" i="4"/>
  <c r="BV42" i="4"/>
  <c r="BV43" i="4"/>
  <c r="BV44" i="4"/>
  <c r="BV45" i="4"/>
  <c r="BV46" i="4"/>
  <c r="BV47" i="4"/>
  <c r="BV48" i="4"/>
  <c r="BV49" i="4"/>
  <c r="BV50" i="4"/>
  <c r="BV51" i="4"/>
  <c r="BV52" i="4"/>
  <c r="BV53" i="4"/>
  <c r="BV54" i="4"/>
  <c r="BV55" i="4"/>
  <c r="BV56" i="4"/>
  <c r="BV57" i="4"/>
  <c r="BV58" i="4"/>
  <c r="BV59" i="4"/>
  <c r="BV60" i="4"/>
  <c r="BV61" i="4"/>
  <c r="BV62" i="4"/>
  <c r="BV63" i="4"/>
  <c r="BV64" i="4"/>
  <c r="BV65" i="4"/>
  <c r="BV66" i="4"/>
  <c r="BV67" i="4"/>
  <c r="BV68" i="4"/>
  <c r="BV38" i="4"/>
  <c r="BV37" i="4"/>
  <c r="BV36" i="4"/>
  <c r="BV35" i="4"/>
  <c r="BV34" i="4"/>
  <c r="BV33" i="4"/>
  <c r="BV32" i="4"/>
  <c r="BV31" i="4"/>
  <c r="BV30" i="4"/>
  <c r="BV29" i="4"/>
  <c r="BV28" i="4"/>
  <c r="BV27" i="4"/>
  <c r="BV26" i="4"/>
  <c r="BV25" i="4"/>
  <c r="BV24" i="4"/>
  <c r="BV23" i="4"/>
  <c r="BV22" i="4"/>
  <c r="BV21" i="4"/>
  <c r="BV20" i="4"/>
  <c r="BV19" i="4"/>
  <c r="BV18" i="4"/>
  <c r="BV17" i="4"/>
  <c r="BV16" i="4"/>
  <c r="BV15" i="4"/>
  <c r="BV14" i="4"/>
  <c r="BV13" i="4"/>
  <c r="BV12" i="4"/>
  <c r="BV11" i="4"/>
  <c r="BV10" i="4"/>
  <c r="BV9" i="4"/>
  <c r="BV8" i="4"/>
  <c r="BV7" i="4"/>
  <c r="BV6" i="4"/>
  <c r="BV5" i="4"/>
  <c r="BV4" i="4"/>
  <c r="BV3" i="4"/>
  <c r="H20" i="6"/>
  <c r="I20" i="6"/>
  <c r="J20" i="6"/>
  <c r="K20" i="6"/>
  <c r="K8" i="6"/>
  <c r="K9" i="6"/>
  <c r="K10" i="6"/>
  <c r="K11" i="6"/>
  <c r="K12" i="6"/>
  <c r="K13" i="6"/>
  <c r="K14" i="6"/>
  <c r="K15" i="6"/>
  <c r="K17" i="6"/>
  <c r="K18" i="6"/>
  <c r="J8" i="6"/>
  <c r="J9" i="6"/>
  <c r="J10" i="6"/>
  <c r="J11" i="6"/>
  <c r="J12" i="6"/>
  <c r="J13" i="6"/>
  <c r="J14" i="6"/>
  <c r="J15" i="6"/>
  <c r="J16" i="6"/>
  <c r="J17" i="6"/>
  <c r="J18" i="6"/>
  <c r="J19" i="6"/>
  <c r="I8" i="6"/>
  <c r="I9" i="6"/>
  <c r="I10" i="6"/>
  <c r="I11" i="6"/>
  <c r="I12" i="6"/>
  <c r="I13" i="6"/>
  <c r="I14" i="6"/>
  <c r="I15" i="6"/>
  <c r="I17" i="6"/>
  <c r="I18" i="6"/>
  <c r="H8" i="6"/>
  <c r="H9" i="6"/>
  <c r="H10" i="6"/>
  <c r="H11" i="6"/>
  <c r="H12" i="6"/>
  <c r="H13" i="6"/>
  <c r="H14" i="6"/>
  <c r="H15" i="6"/>
  <c r="H16" i="6"/>
  <c r="H17" i="6"/>
  <c r="H18" i="6"/>
  <c r="H19" i="6"/>
  <c r="FZ6" i="3"/>
  <c r="B6" i="11" s="1"/>
  <c r="C6" i="11"/>
  <c r="C7" i="11"/>
  <c r="C37" i="11"/>
  <c r="C27" i="11"/>
  <c r="E9" i="3" a="1"/>
  <c r="BZ23" i="3" a="1"/>
  <c r="FZ13" i="3" l="1"/>
  <c r="FY13" i="3"/>
  <c r="E9" i="3"/>
  <c r="C22" i="9" s="1"/>
  <c r="BZ23" i="3"/>
  <c r="AV5" i="3"/>
  <c r="DA4" i="4"/>
  <c r="DA45" i="4"/>
  <c r="DA44" i="4"/>
  <c r="DA43" i="4"/>
  <c r="DA42" i="4"/>
  <c r="DA41" i="4"/>
  <c r="DA39" i="4"/>
  <c r="DA36" i="4"/>
  <c r="DA40" i="4"/>
  <c r="DA38" i="4"/>
  <c r="DA37" i="4"/>
  <c r="DA35" i="4"/>
  <c r="DA33" i="4"/>
  <c r="DA32" i="4"/>
  <c r="DA31" i="4"/>
  <c r="DA29" i="4"/>
  <c r="DA25" i="4"/>
  <c r="DA16" i="4"/>
  <c r="DA22" i="4"/>
  <c r="DA28" i="4"/>
  <c r="DA18" i="4"/>
  <c r="DA24" i="4"/>
  <c r="DA27" i="4"/>
  <c r="DA34" i="4"/>
  <c r="DA21" i="4"/>
  <c r="DA8" i="4"/>
  <c r="DA15" i="4"/>
  <c r="DA14" i="4"/>
  <c r="DA19" i="4"/>
  <c r="DA17" i="4"/>
  <c r="DA26" i="4"/>
  <c r="DA23" i="4"/>
  <c r="DA12" i="4"/>
  <c r="DA13" i="4"/>
  <c r="DA11" i="4"/>
  <c r="DA9" i="4"/>
  <c r="DA20" i="4"/>
  <c r="DA10" i="4"/>
  <c r="DA7" i="4"/>
  <c r="DA3" i="4"/>
  <c r="DA6" i="4"/>
  <c r="DA30" i="4"/>
  <c r="DA5" i="4"/>
  <c r="C16" i="11"/>
  <c r="C17" i="11"/>
  <c r="C20" i="11"/>
  <c r="B16" i="11"/>
  <c r="FZ1" i="3"/>
  <c r="GA1" i="3"/>
  <c r="FY1" i="3"/>
  <c r="C33" i="11"/>
  <c r="C34" i="11"/>
  <c r="C35" i="11"/>
  <c r="C36" i="11"/>
  <c r="C32" i="11"/>
  <c r="C26" i="11"/>
  <c r="C25" i="11"/>
  <c r="C15" i="11"/>
  <c r="C10" i="11"/>
  <c r="C8" i="11"/>
  <c r="FY6" i="3"/>
  <c r="BZ16" i="3"/>
  <c r="FY9" i="3" l="1"/>
  <c r="B48" i="8" a="1"/>
  <c r="B48" i="8" s="1"/>
  <c r="B42" i="9" a="1"/>
  <c r="B42" i="9" s="1"/>
  <c r="FZ9" i="3"/>
  <c r="B9" i="11" s="1"/>
  <c r="BD3" i="4"/>
  <c r="BD4" i="4"/>
  <c r="BD5" i="4"/>
  <c r="BD6" i="4"/>
  <c r="BD7" i="4"/>
  <c r="BD8" i="4"/>
  <c r="BD9" i="4"/>
  <c r="BD10" i="4"/>
  <c r="BD11" i="4"/>
  <c r="BD12" i="4"/>
  <c r="BD13" i="4"/>
  <c r="BD14" i="4"/>
  <c r="BD15" i="4"/>
  <c r="BD16" i="4"/>
  <c r="BD17" i="4"/>
  <c r="BD18" i="4"/>
  <c r="BD19" i="4"/>
  <c r="BD20" i="4"/>
  <c r="BD21" i="4"/>
  <c r="BD22" i="4"/>
  <c r="BD23" i="4"/>
  <c r="BD24" i="4"/>
  <c r="BD25" i="4"/>
  <c r="BD26" i="4"/>
  <c r="BD27" i="4"/>
  <c r="BD28" i="4"/>
  <c r="BD29" i="4"/>
  <c r="BD30" i="4"/>
  <c r="BD31" i="4"/>
  <c r="BD32" i="4"/>
  <c r="BD33" i="4"/>
  <c r="BD34" i="4"/>
  <c r="BD35" i="4"/>
  <c r="BD36" i="4"/>
  <c r="BD37" i="4"/>
  <c r="BD38" i="4"/>
  <c r="BD39" i="4"/>
  <c r="BD40" i="4"/>
  <c r="BD41" i="4"/>
  <c r="BD42" i="4"/>
  <c r="BD43" i="4"/>
  <c r="BD44" i="4"/>
  <c r="BD45" i="4"/>
  <c r="BD46" i="4"/>
  <c r="BD47" i="4"/>
  <c r="BD48" i="4"/>
  <c r="BD49" i="4"/>
  <c r="BD50" i="4"/>
  <c r="BD51" i="4"/>
  <c r="BD52" i="4"/>
  <c r="BD53" i="4"/>
  <c r="BD54" i="4"/>
  <c r="BD55" i="4"/>
  <c r="BD56" i="4"/>
  <c r="BD57" i="4"/>
  <c r="BD58" i="4"/>
  <c r="C76" i="9"/>
  <c r="FI25" i="3"/>
  <c r="FI26" i="3"/>
  <c r="FI27" i="3"/>
  <c r="FI28" i="3"/>
  <c r="FI29" i="3"/>
  <c r="GE44" i="3"/>
  <c r="GE43" i="3"/>
  <c r="GE40" i="3"/>
  <c r="GE37" i="3"/>
  <c r="GE36" i="3"/>
  <c r="GE35" i="3"/>
  <c r="GE33" i="3"/>
  <c r="GE32" i="3"/>
  <c r="GE29" i="3"/>
  <c r="GE28" i="3"/>
  <c r="C48" i="9" a="1"/>
  <c r="C48" i="9" s="1"/>
  <c r="GE38" i="3" l="1"/>
  <c r="GE54" i="3"/>
  <c r="GF54" i="3" s="1"/>
  <c r="S22" i="10" s="1"/>
  <c r="GE45" i="3"/>
  <c r="GE46" i="3" s="1"/>
  <c r="GE47" i="3"/>
  <c r="GE41" i="3"/>
  <c r="G9" i="10"/>
  <c r="G7" i="10"/>
  <c r="G11" i="10" s="1"/>
  <c r="G6" i="10"/>
  <c r="C119" i="6"/>
  <c r="C268" i="6"/>
  <c r="C267" i="6"/>
  <c r="C266" i="6"/>
  <c r="C265" i="6"/>
  <c r="C264" i="6"/>
  <c r="C263" i="6"/>
  <c r="C262" i="6"/>
  <c r="C261" i="6"/>
  <c r="C260" i="6"/>
  <c r="C259" i="6"/>
  <c r="C258" i="6"/>
  <c r="C257" i="6"/>
  <c r="C256" i="6"/>
  <c r="C254" i="6"/>
  <c r="C253" i="6"/>
  <c r="C252" i="6"/>
  <c r="C250" i="6"/>
  <c r="C249" i="6"/>
  <c r="C247" i="6"/>
  <c r="C246" i="6"/>
  <c r="C244" i="6"/>
  <c r="C243" i="6"/>
  <c r="C242" i="6"/>
  <c r="C241" i="6"/>
  <c r="C240" i="6"/>
  <c r="C239" i="6"/>
  <c r="C238" i="6"/>
  <c r="C237" i="6"/>
  <c r="C236" i="6"/>
  <c r="C235" i="6"/>
  <c r="C234" i="6"/>
  <c r="C233" i="6"/>
  <c r="C232" i="6"/>
  <c r="C231" i="6"/>
  <c r="C230" i="6"/>
  <c r="C229" i="6"/>
  <c r="C228" i="6"/>
  <c r="C226" i="6"/>
  <c r="C225" i="6"/>
  <c r="C223" i="6"/>
  <c r="C222" i="6"/>
  <c r="C221" i="6"/>
  <c r="C220" i="6"/>
  <c r="C219" i="6"/>
  <c r="C218" i="6"/>
  <c r="C216" i="6"/>
  <c r="C215" i="6"/>
  <c r="C214" i="6"/>
  <c r="C213" i="6"/>
  <c r="C212" i="6"/>
  <c r="C211" i="6"/>
  <c r="C209" i="6"/>
  <c r="C208" i="6"/>
  <c r="C207" i="6"/>
  <c r="C206" i="6"/>
  <c r="C205" i="6"/>
  <c r="C204" i="6"/>
  <c r="C203" i="6"/>
  <c r="C202" i="6"/>
  <c r="C201" i="6"/>
  <c r="C199" i="6"/>
  <c r="C198" i="6"/>
  <c r="C197" i="6"/>
  <c r="C196" i="6"/>
  <c r="C195" i="6"/>
  <c r="C194" i="6"/>
  <c r="C193" i="6"/>
  <c r="C192" i="6"/>
  <c r="C191" i="6"/>
  <c r="C189" i="6"/>
  <c r="C188" i="6"/>
  <c r="C187" i="6"/>
  <c r="C186" i="6"/>
  <c r="C185" i="6"/>
  <c r="C184" i="6"/>
  <c r="C183" i="6"/>
  <c r="C182" i="6"/>
  <c r="C181" i="6"/>
  <c r="C180" i="6"/>
  <c r="C179" i="6"/>
  <c r="C178" i="6"/>
  <c r="C177" i="6"/>
  <c r="C176" i="6"/>
  <c r="C175" i="6"/>
  <c r="C174" i="6"/>
  <c r="C173" i="6"/>
  <c r="C171" i="6"/>
  <c r="C170" i="6"/>
  <c r="C169" i="6"/>
  <c r="C168" i="6"/>
  <c r="C167" i="6"/>
  <c r="C166" i="6"/>
  <c r="C165" i="6"/>
  <c r="C164" i="6"/>
  <c r="C163" i="6"/>
  <c r="C162" i="6"/>
  <c r="C160" i="6"/>
  <c r="C159" i="6"/>
  <c r="C158" i="6"/>
  <c r="C157" i="6"/>
  <c r="C156" i="6"/>
  <c r="C155" i="6"/>
  <c r="C154" i="6"/>
  <c r="C153" i="6"/>
  <c r="C152" i="6"/>
  <c r="C150" i="6"/>
  <c r="C149" i="6"/>
  <c r="C148" i="6"/>
  <c r="C146" i="6"/>
  <c r="C145" i="6"/>
  <c r="C144" i="6"/>
  <c r="C143" i="6"/>
  <c r="C142" i="6"/>
  <c r="C141" i="6"/>
  <c r="C139" i="6"/>
  <c r="C138" i="6"/>
  <c r="C137" i="6"/>
  <c r="C136" i="6"/>
  <c r="C135" i="6"/>
  <c r="C134" i="6"/>
  <c r="C133" i="6"/>
  <c r="C132" i="6"/>
  <c r="C131" i="6"/>
  <c r="C129" i="6"/>
  <c r="C128" i="6"/>
  <c r="C127" i="6"/>
  <c r="C126" i="6"/>
  <c r="C125" i="6"/>
  <c r="C124" i="6"/>
  <c r="C122" i="6"/>
  <c r="C121" i="6"/>
  <c r="H26" i="10"/>
  <c r="I16" i="6" l="1"/>
  <c r="K16" i="6"/>
  <c r="I19" i="6"/>
  <c r="K19" i="6"/>
  <c r="R22" i="10"/>
  <c r="GE51" i="3"/>
  <c r="R19" i="10" s="1"/>
  <c r="GE48" i="3"/>
  <c r="GE49" i="3" s="1"/>
  <c r="GE53" i="3" s="1"/>
  <c r="BZ58" i="3"/>
  <c r="CA58" i="3" s="1" a="1"/>
  <c r="CA58" i="3" s="1"/>
  <c r="BZ59" i="3"/>
  <c r="CA59" i="3" s="1" a="1"/>
  <c r="CA59" i="3" s="1"/>
  <c r="BZ60" i="3"/>
  <c r="CA60" i="3" s="1" a="1"/>
  <c r="CA60" i="3" s="1"/>
  <c r="BZ61" i="3"/>
  <c r="CA61" i="3" s="1" a="1"/>
  <c r="CA61" i="3" s="1"/>
  <c r="BZ62" i="3"/>
  <c r="CA62" i="3" s="1" a="1"/>
  <c r="CA62" i="3" s="1"/>
  <c r="BZ63" i="3"/>
  <c r="CA63" i="3" s="1" a="1"/>
  <c r="CA63" i="3" s="1"/>
  <c r="BZ64" i="3"/>
  <c r="CA64" i="3" s="1" a="1"/>
  <c r="CA64" i="3" s="1"/>
  <c r="BZ65" i="3"/>
  <c r="CA65" i="3" s="1" a="1"/>
  <c r="CA65" i="3" s="1"/>
  <c r="BZ66" i="3"/>
  <c r="CA66" i="3" s="1" a="1"/>
  <c r="CA66" i="3" s="1"/>
  <c r="BZ67" i="3"/>
  <c r="CA67" i="3" s="1" a="1"/>
  <c r="CA67" i="3" s="1"/>
  <c r="BZ68" i="3"/>
  <c r="CA68" i="3" s="1" a="1"/>
  <c r="CA68" i="3" s="1"/>
  <c r="BZ69" i="3"/>
  <c r="CA69" i="3" s="1" a="1"/>
  <c r="CA69" i="3" s="1"/>
  <c r="EM17" i="3"/>
  <c r="J53" i="9" s="1" a="1"/>
  <c r="J53" i="9" s="1"/>
  <c r="E6" i="3" a="1"/>
  <c r="E6" i="3" s="1"/>
  <c r="C16" i="6" l="1"/>
  <c r="FJ24" i="3" a="1"/>
  <c r="GF51" i="3"/>
  <c r="S19" i="10" s="1"/>
  <c r="GF53" i="3"/>
  <c r="S21" i="10" s="1"/>
  <c r="R21" i="10"/>
  <c r="GE52" i="3"/>
  <c r="BZ24" i="3" a="1"/>
  <c r="BZ24" i="3" s="1"/>
  <c r="FJ24" i="3" l="1"/>
  <c r="FU24" i="3"/>
  <c r="FK24" i="3"/>
  <c r="FP24" i="3"/>
  <c r="FO24" i="3"/>
  <c r="FT24" i="3"/>
  <c r="FL24" i="3"/>
  <c r="FQ24" i="3"/>
  <c r="FR24" i="3"/>
  <c r="FS24" i="3"/>
  <c r="FM24" i="3"/>
  <c r="FN24" i="3"/>
  <c r="R20" i="10"/>
  <c r="GF52" i="3"/>
  <c r="S20" i="10" s="1"/>
  <c r="CG16" i="3"/>
  <c r="AH50" i="3" a="1"/>
  <c r="AH50" i="3" s="1"/>
  <c r="BZ34" i="3" a="1"/>
  <c r="BZ34" i="3" s="1"/>
  <c r="BZ33" i="3" a="1"/>
  <c r="BZ33" i="3" s="1"/>
  <c r="E16" i="10"/>
  <c r="E17" i="10"/>
  <c r="E18" i="10"/>
  <c r="E19" i="10"/>
  <c r="E20" i="10"/>
  <c r="E21" i="10"/>
  <c r="E22" i="10"/>
  <c r="E23" i="10"/>
  <c r="E24" i="10"/>
  <c r="E25" i="10"/>
  <c r="E8" i="3" l="1" a="1"/>
  <c r="E8" i="3" s="1"/>
  <c r="C21" i="9" s="1"/>
  <c r="C20" i="8" a="1"/>
  <c r="C20" i="8" s="1"/>
  <c r="BZ22" i="3" a="1"/>
  <c r="BZ22" i="3" s="1"/>
  <c r="BZ29" i="3" a="1"/>
  <c r="BZ29" i="3" s="1"/>
  <c r="AQ118" i="4"/>
  <c r="AQ117" i="4"/>
  <c r="AQ116" i="4"/>
  <c r="AQ115" i="4"/>
  <c r="AQ114" i="4"/>
  <c r="AQ113" i="4"/>
  <c r="AQ112" i="4"/>
  <c r="AQ111" i="4"/>
  <c r="AQ110" i="4"/>
  <c r="AQ109" i="4"/>
  <c r="AQ108" i="4"/>
  <c r="AQ107" i="4"/>
  <c r="AQ106" i="4"/>
  <c r="AQ105" i="4"/>
  <c r="AQ104" i="4"/>
  <c r="AQ103" i="4"/>
  <c r="AQ102" i="4"/>
  <c r="AQ101" i="4"/>
  <c r="AQ100" i="4"/>
  <c r="AQ58" i="4"/>
  <c r="AQ57" i="4"/>
  <c r="AQ56" i="4"/>
  <c r="AQ55" i="4"/>
  <c r="AQ54" i="4"/>
  <c r="AQ53" i="4"/>
  <c r="AQ52" i="4"/>
  <c r="AQ51" i="4"/>
  <c r="AQ50" i="4"/>
  <c r="AQ49" i="4"/>
  <c r="AQ48" i="4"/>
  <c r="AQ47" i="4"/>
  <c r="AQ46" i="4"/>
  <c r="AQ45" i="4"/>
  <c r="AQ44" i="4"/>
  <c r="AQ43" i="4"/>
  <c r="AQ42" i="4"/>
  <c r="AQ41" i="4"/>
  <c r="AQ40" i="4"/>
  <c r="BW20" i="3" l="1"/>
  <c r="BW24" i="3" s="1"/>
  <c r="BW23" i="3"/>
  <c r="CE6" i="3" a="1"/>
  <c r="CE6" i="3" s="1"/>
  <c r="CE10" i="3" a="1"/>
  <c r="CE10" i="3" s="1"/>
  <c r="CE5" i="3" a="1"/>
  <c r="CE5" i="3" s="1"/>
  <c r="CE7" i="3" a="1"/>
  <c r="CE7" i="3" s="1"/>
  <c r="CE11" i="3" a="1"/>
  <c r="CE11" i="3" s="1"/>
  <c r="CE15" i="3" a="1"/>
  <c r="CE15" i="3" s="1"/>
  <c r="CE9" i="3" a="1"/>
  <c r="CE9" i="3" s="1"/>
  <c r="CE8" i="3" a="1"/>
  <c r="CE8" i="3" s="1"/>
  <c r="CE14" i="3" a="1"/>
  <c r="CE14" i="3" s="1"/>
  <c r="CE12" i="3" a="1"/>
  <c r="CE12" i="3" s="1"/>
  <c r="CE4" i="3" a="1"/>
  <c r="CE4" i="3" s="1"/>
  <c r="CE13" i="3" a="1"/>
  <c r="CE13" i="3" s="1"/>
  <c r="CE16" i="3"/>
  <c r="BZ25" i="3"/>
  <c r="D20" i="8"/>
  <c r="FY8" i="3"/>
  <c r="FZ8" i="3"/>
  <c r="B8" i="11" s="1"/>
  <c r="M21" i="10"/>
  <c r="G108" i="4"/>
  <c r="G107" i="4"/>
  <c r="G106" i="4"/>
  <c r="BZ32" i="3" s="1" a="1"/>
  <c r="BZ32" i="3" s="1"/>
  <c r="G105" i="4"/>
  <c r="G104" i="4"/>
  <c r="E61" i="4"/>
  <c r="E60" i="4"/>
  <c r="E59" i="4"/>
  <c r="GG19" i="3"/>
  <c r="GF19" i="3"/>
  <c r="GE19" i="3"/>
  <c r="GE20" i="3" s="1"/>
  <c r="L16" i="10" s="1"/>
  <c r="GG18" i="3"/>
  <c r="GG20" i="3" s="1"/>
  <c r="N16" i="10" s="1"/>
  <c r="GF18" i="3"/>
  <c r="GE18" i="3"/>
  <c r="GG15" i="3"/>
  <c r="GF15" i="3"/>
  <c r="GE15" i="3"/>
  <c r="GH14" i="3"/>
  <c r="GG14" i="3"/>
  <c r="GF14" i="3"/>
  <c r="GE14" i="3"/>
  <c r="GE11" i="3"/>
  <c r="GE10" i="3"/>
  <c r="EL42" i="3"/>
  <c r="AN5" i="3" a="1"/>
  <c r="AN5" i="3" s="1"/>
  <c r="AO6" i="3" s="1"/>
  <c r="C106" i="6"/>
  <c r="C15" i="6" s="1"/>
  <c r="C105" i="6"/>
  <c r="C104" i="6"/>
  <c r="C101" i="6"/>
  <c r="C100" i="6"/>
  <c r="C99" i="6"/>
  <c r="C98" i="6"/>
  <c r="C96" i="6"/>
  <c r="C95" i="6"/>
  <c r="C94" i="6"/>
  <c r="C93" i="6"/>
  <c r="C92" i="6"/>
  <c r="C91" i="6"/>
  <c r="C90" i="6"/>
  <c r="C89" i="6"/>
  <c r="C88" i="6"/>
  <c r="C87" i="6"/>
  <c r="C86" i="6"/>
  <c r="C85" i="6"/>
  <c r="C84" i="6"/>
  <c r="C83" i="6"/>
  <c r="C82" i="6"/>
  <c r="C17" i="6" s="1"/>
  <c r="C80" i="6"/>
  <c r="C79" i="6"/>
  <c r="C77" i="6"/>
  <c r="C76" i="6"/>
  <c r="C75" i="6"/>
  <c r="C74" i="6"/>
  <c r="C71" i="6"/>
  <c r="C70" i="6"/>
  <c r="C69" i="6"/>
  <c r="C68" i="6"/>
  <c r="C67" i="6"/>
  <c r="C66" i="6"/>
  <c r="C65" i="6"/>
  <c r="C64" i="6"/>
  <c r="C63" i="6"/>
  <c r="C62" i="6"/>
  <c r="C20" i="6" s="1"/>
  <c r="C61" i="6"/>
  <c r="C60" i="6"/>
  <c r="C57" i="6"/>
  <c r="C56" i="6"/>
  <c r="C55" i="6"/>
  <c r="C54" i="6"/>
  <c r="C53" i="6"/>
  <c r="C12" i="6" s="1"/>
  <c r="C52" i="6"/>
  <c r="C51" i="6"/>
  <c r="C11" i="6" s="1"/>
  <c r="C50" i="6"/>
  <c r="C49" i="6"/>
  <c r="C10" i="6" s="1"/>
  <c r="C48" i="6"/>
  <c r="C9" i="6" s="1"/>
  <c r="C47" i="6"/>
  <c r="C46" i="6"/>
  <c r="C45" i="6"/>
  <c r="C44" i="6"/>
  <c r="C43" i="6"/>
  <c r="C42" i="6"/>
  <c r="C39" i="6"/>
  <c r="C13" i="6" s="1"/>
  <c r="C33" i="6"/>
  <c r="C32" i="6"/>
  <c r="C31" i="6"/>
  <c r="C30" i="6"/>
  <c r="C29" i="6"/>
  <c r="C18" i="6" s="1"/>
  <c r="C14" i="6" l="1"/>
  <c r="C19" i="6"/>
  <c r="CN12" i="3"/>
  <c r="CN10" i="3"/>
  <c r="CN8" i="3"/>
  <c r="CN4" i="3"/>
  <c r="CN11" i="3"/>
  <c r="CN7" i="3"/>
  <c r="CN6" i="3"/>
  <c r="CN5" i="3"/>
  <c r="CN9" i="3"/>
  <c r="CN13" i="3"/>
  <c r="CN14" i="3"/>
  <c r="CN15" i="3"/>
  <c r="ER25" i="3"/>
  <c r="EQ25" i="3"/>
  <c r="FB32" i="3"/>
  <c r="FB36" i="3"/>
  <c r="FB40" i="3"/>
  <c r="FB44" i="3"/>
  <c r="FB25" i="3"/>
  <c r="FB33" i="3"/>
  <c r="FB41" i="3"/>
  <c r="FB42" i="3"/>
  <c r="FB27" i="3"/>
  <c r="FB43" i="3"/>
  <c r="D12" i="3"/>
  <c r="AH8" i="3"/>
  <c r="D11" i="3"/>
  <c r="E3" i="3" a="1"/>
  <c r="E3" i="3" s="1"/>
  <c r="GE16" i="3" a="1"/>
  <c r="GE16" i="3" s="1"/>
  <c r="L12" i="10" s="1"/>
  <c r="AN12" i="3"/>
  <c r="AO5" i="3"/>
  <c r="GF16" i="3" a="1"/>
  <c r="GF16" i="3" s="1"/>
  <c r="M12" i="10" s="1"/>
  <c r="EL41" i="3"/>
  <c r="AL12" i="3"/>
  <c r="EL29" i="3"/>
  <c r="EL33" i="3"/>
  <c r="FB35" i="3"/>
  <c r="FB28" i="3"/>
  <c r="FB34" i="3"/>
  <c r="FB45" i="3"/>
  <c r="AS7" i="3"/>
  <c r="EL25" i="3"/>
  <c r="FB26" i="3"/>
  <c r="EL27" i="3"/>
  <c r="FB31" i="3"/>
  <c r="EL36" i="3"/>
  <c r="FB37" i="3"/>
  <c r="FB38" i="3"/>
  <c r="EL45" i="3"/>
  <c r="EL43" i="3"/>
  <c r="EL38" i="3"/>
  <c r="EL35" i="3"/>
  <c r="EL31" i="3"/>
  <c r="EL28" i="3"/>
  <c r="EL26" i="3"/>
  <c r="EL44" i="3"/>
  <c r="EL40" i="3"/>
  <c r="EL39" i="3"/>
  <c r="EL37" i="3"/>
  <c r="EL34" i="3"/>
  <c r="EL30" i="3"/>
  <c r="FB30" i="3"/>
  <c r="EL32" i="3"/>
  <c r="EV25" i="3"/>
  <c r="FB29" i="3"/>
  <c r="EW25" i="3"/>
  <c r="GE25" i="3"/>
  <c r="GF20" i="3"/>
  <c r="M16" i="10" s="1"/>
  <c r="FB39" i="3"/>
  <c r="GF17" i="3" a="1"/>
  <c r="GF17" i="3" s="1"/>
  <c r="M13" i="10" s="1"/>
  <c r="GG17" i="3" a="1"/>
  <c r="GG17" i="3" s="1"/>
  <c r="N13" i="10" s="1"/>
  <c r="GG16" i="3" a="1"/>
  <c r="GG16" i="3" s="1"/>
  <c r="N12" i="10" s="1"/>
  <c r="GE17" i="3" a="1"/>
  <c r="GE17" i="3" s="1"/>
  <c r="L13" i="10" s="1"/>
  <c r="GF3" i="3"/>
  <c r="B37" i="8" l="1" a="1"/>
  <c r="B37" i="8" s="1"/>
  <c r="B62" i="8" a="1"/>
  <c r="B62" i="8" s="1"/>
  <c r="B36" i="8" a="1"/>
  <c r="B36" i="8" s="1"/>
  <c r="B29" i="3" a="1"/>
  <c r="B29" i="3" s="1"/>
  <c r="B28" i="3" a="1"/>
  <c r="B28" i="3" s="1"/>
  <c r="CX187" i="3" a="1"/>
  <c r="CX187" i="3" s="1"/>
  <c r="CX185" i="3" a="1"/>
  <c r="CX185" i="3" s="1"/>
  <c r="CX186" i="3" a="1"/>
  <c r="CX186" i="3" s="1"/>
  <c r="CX174" i="3" a="1"/>
  <c r="CX174" i="3" s="1"/>
  <c r="CX175" i="3" a="1"/>
  <c r="CX175" i="3" s="1"/>
  <c r="CX169" i="3" a="1"/>
  <c r="CX169" i="3" s="1"/>
  <c r="CX184" i="3" a="1"/>
  <c r="CX184" i="3" s="1"/>
  <c r="CX172" i="3" a="1"/>
  <c r="CX172" i="3" s="1"/>
  <c r="CX168" i="3" a="1"/>
  <c r="CX168" i="3" s="1"/>
  <c r="CX173" i="3" a="1"/>
  <c r="CX173" i="3" s="1"/>
  <c r="CX164" i="3" a="1"/>
  <c r="CX164" i="3" s="1"/>
  <c r="CX183" i="3" a="1"/>
  <c r="CX183" i="3" s="1"/>
  <c r="CX181" i="3" a="1"/>
  <c r="CX181" i="3" s="1"/>
  <c r="CX182" i="3" a="1"/>
  <c r="CX182" i="3" s="1"/>
  <c r="CX170" i="3" a="1"/>
  <c r="CX170" i="3" s="1"/>
  <c r="CX171" i="3" a="1"/>
  <c r="CX171" i="3" s="1"/>
  <c r="CX166" i="3" a="1"/>
  <c r="CX166" i="3" s="1"/>
  <c r="CX180" i="3" a="1"/>
  <c r="CX180" i="3" s="1"/>
  <c r="CX167" i="3" a="1"/>
  <c r="CX167" i="3" s="1"/>
  <c r="CX179" i="3" a="1"/>
  <c r="CX179" i="3" s="1"/>
  <c r="CX177" i="3" a="1"/>
  <c r="CX177" i="3" s="1"/>
  <c r="CX178" i="3" a="1"/>
  <c r="CX178" i="3" s="1"/>
  <c r="CX176" i="3" a="1"/>
  <c r="CX176" i="3" s="1"/>
  <c r="CX165" i="3" a="1"/>
  <c r="CX165" i="3" s="1"/>
  <c r="CW185" i="3" a="1"/>
  <c r="CW185" i="3" s="1"/>
  <c r="CW171" i="3" a="1"/>
  <c r="CW171" i="3" s="1"/>
  <c r="CW166" i="3" a="1"/>
  <c r="CW166" i="3" s="1"/>
  <c r="CW173" i="3" a="1"/>
  <c r="CW173" i="3" s="1"/>
  <c r="CW172" i="3" a="1"/>
  <c r="CW172" i="3" s="1"/>
  <c r="CW180" i="3" a="1"/>
  <c r="CW180" i="3" s="1"/>
  <c r="CW176" i="3" a="1"/>
  <c r="CW176" i="3" s="1"/>
  <c r="CW169" i="3" a="1"/>
  <c r="CW169" i="3" s="1"/>
  <c r="CW178" i="3" a="1"/>
  <c r="CW178" i="3" s="1"/>
  <c r="CW164" i="3" a="1"/>
  <c r="CW164" i="3" s="1"/>
  <c r="CW187" i="3" a="1"/>
  <c r="CW187" i="3" s="1"/>
  <c r="CW165" i="3" a="1"/>
  <c r="CW165" i="3" s="1"/>
  <c r="CW179" i="3" a="1"/>
  <c r="CW179" i="3" s="1"/>
  <c r="CW183" i="3" a="1"/>
  <c r="CW183" i="3" s="1"/>
  <c r="CW168" i="3" a="1"/>
  <c r="CW168" i="3" s="1"/>
  <c r="CW186" i="3" a="1"/>
  <c r="CW186" i="3" s="1"/>
  <c r="CW167" i="3" a="1"/>
  <c r="CW167" i="3" s="1"/>
  <c r="CW174" i="3" a="1"/>
  <c r="CW174" i="3" s="1"/>
  <c r="CW184" i="3" a="1"/>
  <c r="CW184" i="3" s="1"/>
  <c r="CW170" i="3" a="1"/>
  <c r="CW170" i="3" s="1"/>
  <c r="CW175" i="3" a="1"/>
  <c r="CW175" i="3" s="1"/>
  <c r="CW182" i="3" a="1"/>
  <c r="CW182" i="3" s="1"/>
  <c r="CW181" i="3" a="1"/>
  <c r="CW181" i="3" s="1"/>
  <c r="CW177" i="3" a="1"/>
  <c r="CW177" i="3" s="1"/>
  <c r="B61" i="8" a="1"/>
  <c r="B61" i="8" s="1"/>
  <c r="B26" i="3" a="1"/>
  <c r="B26" i="3" s="1"/>
  <c r="B27" i="3" a="1"/>
  <c r="B27" i="3" s="1"/>
  <c r="CX163" i="3" a="1"/>
  <c r="CX163" i="3" s="1"/>
  <c r="CX160" i="3" a="1"/>
  <c r="CX160" i="3" s="1"/>
  <c r="CX157" i="3" a="1"/>
  <c r="CX157" i="3" s="1"/>
  <c r="CX158" i="3" a="1"/>
  <c r="CX158" i="3" s="1"/>
  <c r="CX155" i="3" a="1"/>
  <c r="CX155" i="3" s="1"/>
  <c r="CX145" i="3" a="1"/>
  <c r="CX145" i="3" s="1"/>
  <c r="CX146" i="3" a="1"/>
  <c r="CX146" i="3" s="1"/>
  <c r="CX147" i="3" a="1"/>
  <c r="CX147" i="3" s="1"/>
  <c r="CX152" i="3" a="1"/>
  <c r="CX152" i="3" s="1"/>
  <c r="CX141" i="3" a="1"/>
  <c r="CX141" i="3" s="1"/>
  <c r="CX142" i="3" a="1"/>
  <c r="CX142" i="3" s="1"/>
  <c r="CX159" i="3" a="1"/>
  <c r="CX159" i="3" s="1"/>
  <c r="CX156" i="3" a="1"/>
  <c r="CX156" i="3" s="1"/>
  <c r="CX153" i="3" a="1"/>
  <c r="CX153" i="3" s="1"/>
  <c r="CX143" i="3" a="1"/>
  <c r="CX143" i="3" s="1"/>
  <c r="CX148" i="3" a="1"/>
  <c r="CX148" i="3" s="1"/>
  <c r="CX144" i="3" a="1"/>
  <c r="CX144" i="3" s="1"/>
  <c r="CX149" i="3" a="1"/>
  <c r="CX149" i="3" s="1"/>
  <c r="CX161" i="3" a="1"/>
  <c r="CX161" i="3" s="1"/>
  <c r="CX162" i="3" a="1"/>
  <c r="CX162" i="3" s="1"/>
  <c r="CX140" i="3" a="1"/>
  <c r="CX140" i="3" s="1"/>
  <c r="CX150" i="3" a="1"/>
  <c r="CX150" i="3" s="1"/>
  <c r="CX154" i="3" a="1"/>
  <c r="CX154" i="3" s="1"/>
  <c r="CX151" i="3" a="1"/>
  <c r="CX151" i="3" s="1"/>
  <c r="CW149" i="3" a="1"/>
  <c r="CW149" i="3" s="1"/>
  <c r="CW144" i="3" a="1"/>
  <c r="CW144" i="3" s="1"/>
  <c r="CW156" i="3" a="1"/>
  <c r="CW156" i="3" s="1"/>
  <c r="CW155" i="3" a="1"/>
  <c r="CW155" i="3" s="1"/>
  <c r="CW142" i="3" a="1"/>
  <c r="CW142" i="3" s="1"/>
  <c r="CW140" i="3" a="1"/>
  <c r="CW140" i="3" s="1"/>
  <c r="CW145" i="3" a="1"/>
  <c r="CW145" i="3" s="1"/>
  <c r="CW143" i="3" a="1"/>
  <c r="CW143" i="3" s="1"/>
  <c r="CW161" i="3" a="1"/>
  <c r="CW161" i="3" s="1"/>
  <c r="CW141" i="3" a="1"/>
  <c r="CW141" i="3" s="1"/>
  <c r="CW162" i="3" a="1"/>
  <c r="CW162" i="3" s="1"/>
  <c r="CW158" i="3" a="1"/>
  <c r="CW158" i="3" s="1"/>
  <c r="CW160" i="3" a="1"/>
  <c r="CW160" i="3" s="1"/>
  <c r="CW163" i="3" a="1"/>
  <c r="CW163" i="3" s="1"/>
  <c r="CW159" i="3" a="1"/>
  <c r="CW159" i="3" s="1"/>
  <c r="CW157" i="3" a="1"/>
  <c r="CW157" i="3" s="1"/>
  <c r="CW150" i="3" a="1"/>
  <c r="CW150" i="3" s="1"/>
  <c r="CW146" i="3" a="1"/>
  <c r="CW146" i="3" s="1"/>
  <c r="CW154" i="3" a="1"/>
  <c r="CW154" i="3" s="1"/>
  <c r="CW153" i="3" a="1"/>
  <c r="CW153" i="3" s="1"/>
  <c r="CW147" i="3" a="1"/>
  <c r="CW147" i="3" s="1"/>
  <c r="CW151" i="3" a="1"/>
  <c r="CW151" i="3" s="1"/>
  <c r="CW152" i="3" a="1"/>
  <c r="CW152" i="3" s="1"/>
  <c r="CW148" i="3" a="1"/>
  <c r="CW148" i="3" s="1"/>
  <c r="B60" i="8" a="1"/>
  <c r="B60" i="8" s="1"/>
  <c r="B35" i="8" a="1"/>
  <c r="B35" i="8" s="1"/>
  <c r="B25" i="3" a="1"/>
  <c r="B25" i="3" s="1"/>
  <c r="B24" i="3" a="1"/>
  <c r="B24" i="3" s="1"/>
  <c r="CX137" i="3" a="1"/>
  <c r="CX137" i="3" s="1"/>
  <c r="CX138" i="3" a="1"/>
  <c r="CX138" i="3" s="1"/>
  <c r="CX123" i="3" a="1"/>
  <c r="CX123" i="3" s="1"/>
  <c r="CX124" i="3" a="1"/>
  <c r="CX124" i="3" s="1"/>
  <c r="CX121" i="3" a="1"/>
  <c r="CX121" i="3" s="1"/>
  <c r="CX139" i="3" a="1"/>
  <c r="CX139" i="3" s="1"/>
  <c r="CX136" i="3" a="1"/>
  <c r="CX136" i="3" s="1"/>
  <c r="CX122" i="3" a="1"/>
  <c r="CX122" i="3" s="1"/>
  <c r="CX130" i="3" a="1"/>
  <c r="CX130" i="3" s="1"/>
  <c r="CX125" i="3" a="1"/>
  <c r="CX125" i="3" s="1"/>
  <c r="CX118" i="3" a="1"/>
  <c r="CX118" i="3" s="1"/>
  <c r="CX133" i="3" a="1"/>
  <c r="CX133" i="3" s="1"/>
  <c r="CX134" i="3" a="1"/>
  <c r="CX134" i="3" s="1"/>
  <c r="CX120" i="3" a="1"/>
  <c r="CX120" i="3" s="1"/>
  <c r="CX135" i="3" a="1"/>
  <c r="CX135" i="3" s="1"/>
  <c r="CX117" i="3" a="1"/>
  <c r="CX117" i="3" s="1"/>
  <c r="CX132" i="3" a="1"/>
  <c r="CX132" i="3" s="1"/>
  <c r="CX127" i="3" a="1"/>
  <c r="CX127" i="3" s="1"/>
  <c r="CX128" i="3" a="1"/>
  <c r="CX128" i="3" s="1"/>
  <c r="CX129" i="3" a="1"/>
  <c r="CX129" i="3" s="1"/>
  <c r="CX116" i="3" a="1"/>
  <c r="CX116" i="3" s="1"/>
  <c r="CX119" i="3" a="1"/>
  <c r="CX119" i="3" s="1"/>
  <c r="CX131" i="3" a="1"/>
  <c r="CX131" i="3" s="1"/>
  <c r="CX126" i="3" a="1"/>
  <c r="CX126" i="3" s="1"/>
  <c r="CW137" i="3" a="1"/>
  <c r="CW137" i="3" s="1"/>
  <c r="CW133" i="3" a="1"/>
  <c r="CW133" i="3" s="1"/>
  <c r="CW132" i="3" a="1"/>
  <c r="CW132" i="3" s="1"/>
  <c r="CW123" i="3" a="1"/>
  <c r="CW123" i="3" s="1"/>
  <c r="CW128" i="3" a="1"/>
  <c r="CW128" i="3" s="1"/>
  <c r="CW127" i="3" a="1"/>
  <c r="CW127" i="3" s="1"/>
  <c r="CW126" i="3" a="1"/>
  <c r="CW126" i="3" s="1"/>
  <c r="CW122" i="3" a="1"/>
  <c r="CW122" i="3" s="1"/>
  <c r="CW138" i="3" a="1"/>
  <c r="CW138" i="3" s="1"/>
  <c r="CW119" i="3" a="1"/>
  <c r="CW119" i="3" s="1"/>
  <c r="CW117" i="3" a="1"/>
  <c r="CW117" i="3" s="1"/>
  <c r="CW139" i="3" a="1"/>
  <c r="CW139" i="3" s="1"/>
  <c r="CW135" i="3" a="1"/>
  <c r="CW135" i="3" s="1"/>
  <c r="CW129" i="3" a="1"/>
  <c r="CW129" i="3" s="1"/>
  <c r="CW136" i="3" a="1"/>
  <c r="CW136" i="3" s="1"/>
  <c r="CW116" i="3" a="1"/>
  <c r="CW116" i="3" s="1"/>
  <c r="CW134" i="3" a="1"/>
  <c r="CW134" i="3" s="1"/>
  <c r="CW120" i="3" a="1"/>
  <c r="CW120" i="3" s="1"/>
  <c r="CW124" i="3" a="1"/>
  <c r="CW124" i="3" s="1"/>
  <c r="CW130" i="3" a="1"/>
  <c r="CW130" i="3" s="1"/>
  <c r="CW125" i="3" a="1"/>
  <c r="CW125" i="3" s="1"/>
  <c r="CW121" i="3" a="1"/>
  <c r="CW121" i="3" s="1"/>
  <c r="CW131" i="3" a="1"/>
  <c r="CW131" i="3" s="1"/>
  <c r="CW118" i="3" a="1"/>
  <c r="CW118" i="3" s="1"/>
  <c r="B59" i="8" a="1"/>
  <c r="B59" i="8" s="1"/>
  <c r="B34" i="8" a="1"/>
  <c r="B34" i="8" s="1"/>
  <c r="B23" i="3" a="1"/>
  <c r="B23" i="3" s="1"/>
  <c r="B22" i="3" a="1"/>
  <c r="B22" i="3" s="1"/>
  <c r="CX115" i="3" a="1"/>
  <c r="CX115" i="3" s="1"/>
  <c r="CX114" i="3" a="1"/>
  <c r="CX114" i="3" s="1"/>
  <c r="CX101" i="3" a="1"/>
  <c r="CX101" i="3" s="1"/>
  <c r="CX102" i="3" a="1"/>
  <c r="CX102" i="3" s="1"/>
  <c r="CX113" i="3" a="1"/>
  <c r="CX113" i="3" s="1"/>
  <c r="CX100" i="3" a="1"/>
  <c r="CX100" i="3" s="1"/>
  <c r="CX94" i="3" a="1"/>
  <c r="CX94" i="3" s="1"/>
  <c r="CX112" i="3" a="1"/>
  <c r="CX112" i="3" s="1"/>
  <c r="CX99" i="3" a="1"/>
  <c r="CX99" i="3" s="1"/>
  <c r="CX105" i="3" a="1"/>
  <c r="CX105" i="3" s="1"/>
  <c r="CX92" i="3" a="1"/>
  <c r="CX92" i="3" s="1"/>
  <c r="CX111" i="3" a="1"/>
  <c r="CX111" i="3" s="1"/>
  <c r="CX110" i="3" a="1"/>
  <c r="CX110" i="3" s="1"/>
  <c r="CX97" i="3" a="1"/>
  <c r="CX97" i="3" s="1"/>
  <c r="CX98" i="3" a="1"/>
  <c r="CX98" i="3" s="1"/>
  <c r="CX109" i="3" a="1"/>
  <c r="CX109" i="3" s="1"/>
  <c r="CX96" i="3" a="1"/>
  <c r="CX96" i="3" s="1"/>
  <c r="CX106" i="3" a="1"/>
  <c r="CX106" i="3" s="1"/>
  <c r="CX108" i="3" a="1"/>
  <c r="CX108" i="3" s="1"/>
  <c r="CX95" i="3" a="1"/>
  <c r="CX95" i="3" s="1"/>
  <c r="CX107" i="3" a="1"/>
  <c r="CX107" i="3" s="1"/>
  <c r="CX104" i="3" a="1"/>
  <c r="CX104" i="3" s="1"/>
  <c r="CX103" i="3" a="1"/>
  <c r="CX103" i="3" s="1"/>
  <c r="CX93" i="3" a="1"/>
  <c r="CX93" i="3" s="1"/>
  <c r="CW114" i="3" a="1"/>
  <c r="CW114" i="3" s="1"/>
  <c r="CW110" i="3" a="1"/>
  <c r="CW110" i="3" s="1"/>
  <c r="CW107" i="3" a="1"/>
  <c r="CW107" i="3" s="1"/>
  <c r="CW101" i="3" a="1"/>
  <c r="CW101" i="3" s="1"/>
  <c r="CW97" i="3" a="1"/>
  <c r="CW97" i="3" s="1"/>
  <c r="CW106" i="3" a="1"/>
  <c r="CW106" i="3" s="1"/>
  <c r="CW113" i="3" a="1"/>
  <c r="CW113" i="3" s="1"/>
  <c r="CW95" i="3" a="1"/>
  <c r="CW95" i="3" s="1"/>
  <c r="CW104" i="3" a="1"/>
  <c r="CW104" i="3" s="1"/>
  <c r="CW100" i="3" a="1"/>
  <c r="CW100" i="3" s="1"/>
  <c r="CW92" i="3" a="1"/>
  <c r="CW92" i="3" s="1"/>
  <c r="CW105" i="3" a="1"/>
  <c r="CW105" i="3" s="1"/>
  <c r="CW112" i="3" a="1"/>
  <c r="CW112" i="3" s="1"/>
  <c r="CW94" i="3" a="1"/>
  <c r="CW94" i="3" s="1"/>
  <c r="CW115" i="3" a="1"/>
  <c r="CW115" i="3" s="1"/>
  <c r="CW111" i="3" a="1"/>
  <c r="CW111" i="3" s="1"/>
  <c r="CW109" i="3" a="1"/>
  <c r="CW109" i="3" s="1"/>
  <c r="CW102" i="3" a="1"/>
  <c r="CW102" i="3" s="1"/>
  <c r="CW98" i="3" a="1"/>
  <c r="CW98" i="3" s="1"/>
  <c r="CW96" i="3" a="1"/>
  <c r="CW96" i="3" s="1"/>
  <c r="CW103" i="3" a="1"/>
  <c r="CW103" i="3" s="1"/>
  <c r="CW99" i="3" a="1"/>
  <c r="CW99" i="3" s="1"/>
  <c r="CW108" i="3" a="1"/>
  <c r="CW108" i="3" s="1"/>
  <c r="CW93" i="3" a="1"/>
  <c r="CW93" i="3" s="1"/>
  <c r="B21" i="3" a="1"/>
  <c r="B21" i="3" s="1"/>
  <c r="B20" i="3" a="1"/>
  <c r="B20" i="3" s="1"/>
  <c r="B19" i="3" a="1"/>
  <c r="B19" i="3" s="1"/>
  <c r="CX91" i="3" a="1"/>
  <c r="CX91" i="3" s="1"/>
  <c r="CX63" i="3" a="1"/>
  <c r="CX63" i="3" s="1"/>
  <c r="CX90" i="3" a="1"/>
  <c r="CX90" i="3" s="1"/>
  <c r="CX89" i="3" a="1"/>
  <c r="CX89" i="3" s="1"/>
  <c r="CX78" i="3" a="1"/>
  <c r="CX78" i="3" s="1"/>
  <c r="CX75" i="3" a="1"/>
  <c r="CX75" i="3" s="1"/>
  <c r="CX71" i="3" a="1"/>
  <c r="CX71" i="3" s="1"/>
  <c r="CX62" i="3" a="1"/>
  <c r="CX62" i="3" s="1"/>
  <c r="CX64" i="3" a="1"/>
  <c r="CX64" i="3" s="1"/>
  <c r="CX60" i="3" a="1"/>
  <c r="CX60" i="3" s="1"/>
  <c r="CX66" i="3" a="1"/>
  <c r="CX66" i="3" s="1"/>
  <c r="CX88" i="3" a="1"/>
  <c r="CX88" i="3" s="1"/>
  <c r="CX72" i="3" a="1"/>
  <c r="CX72" i="3" s="1"/>
  <c r="CX87" i="3" a="1"/>
  <c r="CX87" i="3" s="1"/>
  <c r="CX56" i="3" a="1"/>
  <c r="CX56" i="3" s="1"/>
  <c r="CX65" i="3" a="1"/>
  <c r="CX65" i="3" s="1"/>
  <c r="CX57" i="3" a="1"/>
  <c r="CX57" i="3" s="1"/>
  <c r="CX86" i="3" a="1"/>
  <c r="CX86" i="3" s="1"/>
  <c r="CX85" i="3" a="1"/>
  <c r="CX85" i="3" s="1"/>
  <c r="CX74" i="3" a="1"/>
  <c r="CX74" i="3" s="1"/>
  <c r="CX80" i="3" a="1"/>
  <c r="CX80" i="3" s="1"/>
  <c r="CX77" i="3" a="1"/>
  <c r="CX77" i="3" s="1"/>
  <c r="CX69" i="3" a="1"/>
  <c r="CX69" i="3" s="1"/>
  <c r="CX70" i="3" a="1"/>
  <c r="CX70" i="3" s="1"/>
  <c r="CX68" i="3" a="1"/>
  <c r="CX68" i="3" s="1"/>
  <c r="CX58" i="3" a="1"/>
  <c r="CX58" i="3" s="1"/>
  <c r="CX84" i="3" a="1"/>
  <c r="CX84" i="3" s="1"/>
  <c r="CX59" i="3" a="1"/>
  <c r="CX59" i="3" s="1"/>
  <c r="CX83" i="3" a="1"/>
  <c r="CX83" i="3" s="1"/>
  <c r="CX79" i="3" a="1"/>
  <c r="CX79" i="3" s="1"/>
  <c r="CX67" i="3" a="1"/>
  <c r="CX67" i="3" s="1"/>
  <c r="CX82" i="3" a="1"/>
  <c r="CX82" i="3" s="1"/>
  <c r="CX81" i="3" a="1"/>
  <c r="CX81" i="3" s="1"/>
  <c r="CX76" i="3" a="1"/>
  <c r="CX76" i="3" s="1"/>
  <c r="CX73" i="3" a="1"/>
  <c r="CX73" i="3" s="1"/>
  <c r="CX61" i="3" a="1"/>
  <c r="CX61" i="3" s="1"/>
  <c r="CW91" i="3" a="1"/>
  <c r="CW91" i="3" s="1"/>
  <c r="CW56" i="3" a="1"/>
  <c r="CW56" i="3" s="1"/>
  <c r="CW86" i="3" a="1"/>
  <c r="CW86" i="3" s="1"/>
  <c r="CW60" i="3" a="1"/>
  <c r="CW60" i="3" s="1"/>
  <c r="CW90" i="3" a="1"/>
  <c r="CW90" i="3" s="1"/>
  <c r="CW75" i="3" a="1"/>
  <c r="CW75" i="3" s="1"/>
  <c r="CW57" i="3" a="1"/>
  <c r="CW57" i="3" s="1"/>
  <c r="CW83" i="3" a="1"/>
  <c r="CW83" i="3" s="1"/>
  <c r="CW79" i="3" a="1"/>
  <c r="CW79" i="3" s="1"/>
  <c r="CW88" i="3" a="1"/>
  <c r="CW88" i="3" s="1"/>
  <c r="CW72" i="3" a="1"/>
  <c r="CW72" i="3" s="1"/>
  <c r="CW82" i="3" a="1"/>
  <c r="CW82" i="3" s="1"/>
  <c r="CW58" i="3" a="1"/>
  <c r="CW58" i="3" s="1"/>
  <c r="CW73" i="3" a="1"/>
  <c r="CW73" i="3" s="1"/>
  <c r="CW76" i="3" a="1"/>
  <c r="CW76" i="3" s="1"/>
  <c r="CW68" i="3" a="1"/>
  <c r="CW68" i="3" s="1"/>
  <c r="CW78" i="3" a="1"/>
  <c r="CW78" i="3" s="1"/>
  <c r="CW85" i="3" a="1"/>
  <c r="CW85" i="3" s="1"/>
  <c r="CW77" i="3" a="1"/>
  <c r="CW77" i="3" s="1"/>
  <c r="CW62" i="3" a="1"/>
  <c r="CW62" i="3" s="1"/>
  <c r="CW70" i="3" a="1"/>
  <c r="CW70" i="3" s="1"/>
  <c r="CW74" i="3" a="1"/>
  <c r="CW74" i="3" s="1"/>
  <c r="CW63" i="3" a="1"/>
  <c r="CW63" i="3" s="1"/>
  <c r="CW61" i="3" a="1"/>
  <c r="CW61" i="3" s="1"/>
  <c r="CW69" i="3" a="1"/>
  <c r="CW69" i="3" s="1"/>
  <c r="CW84" i="3" a="1"/>
  <c r="CW84" i="3" s="1"/>
  <c r="CW66" i="3" a="1"/>
  <c r="CW66" i="3" s="1"/>
  <c r="CW81" i="3" a="1"/>
  <c r="CW81" i="3" s="1"/>
  <c r="CW71" i="3" a="1"/>
  <c r="CW71" i="3" s="1"/>
  <c r="CW89" i="3" a="1"/>
  <c r="CW89" i="3" s="1"/>
  <c r="CW65" i="3" a="1"/>
  <c r="CW65" i="3" s="1"/>
  <c r="CW59" i="3" a="1"/>
  <c r="CW59" i="3" s="1"/>
  <c r="CW80" i="3" a="1"/>
  <c r="CW80" i="3" s="1"/>
  <c r="CW67" i="3" a="1"/>
  <c r="CW67" i="3" s="1"/>
  <c r="CW64" i="3" a="1"/>
  <c r="CW64" i="3" s="1"/>
  <c r="CW87" i="3" a="1"/>
  <c r="CW87" i="3" s="1"/>
  <c r="BC6" i="3" a="1"/>
  <c r="BC6" i="3" s="1"/>
  <c r="CP41" i="3" a="1"/>
  <c r="CP41" i="3" s="1"/>
  <c r="CR40" i="3" a="1"/>
  <c r="CR40" i="3" s="1"/>
  <c r="CR35" i="3" a="1"/>
  <c r="CR35" i="3" s="1"/>
  <c r="CR42" i="3" a="1"/>
  <c r="CR42" i="3" s="1"/>
  <c r="CP40" i="3" a="1"/>
  <c r="CP40" i="3" s="1"/>
  <c r="CR43" i="3" a="1"/>
  <c r="CR43" i="3" s="1"/>
  <c r="CK39" i="3" a="1"/>
  <c r="CK39" i="3" s="1"/>
  <c r="CR33" i="3" a="1"/>
  <c r="CR33" i="3" s="1"/>
  <c r="CR39" i="3" a="1"/>
  <c r="CR39" i="3" s="1"/>
  <c r="CR41" i="3" a="1"/>
  <c r="CR41" i="3" s="1"/>
  <c r="CP38" i="3" a="1"/>
  <c r="CP38" i="3" s="1"/>
  <c r="CK38" i="3" a="1"/>
  <c r="CK38" i="3" s="1"/>
  <c r="CR38" i="3" a="1"/>
  <c r="CR38" i="3" s="1"/>
  <c r="CP39" i="3" a="1"/>
  <c r="CP39" i="3" s="1"/>
  <c r="CK36" i="3" a="1"/>
  <c r="CK36" i="3" s="1"/>
  <c r="CK43" i="3" a="1"/>
  <c r="CK43" i="3" s="1"/>
  <c r="CP36" i="3" a="1"/>
  <c r="CP36" i="3" s="1"/>
  <c r="CK34" i="3" a="1"/>
  <c r="CK34" i="3" s="1"/>
  <c r="CK37" i="3" a="1"/>
  <c r="CK37" i="3" s="1"/>
  <c r="CP37" i="3" a="1"/>
  <c r="CP37" i="3" s="1"/>
  <c r="CK40" i="3" a="1"/>
  <c r="CK40" i="3" s="1"/>
  <c r="CP32" i="3" a="1"/>
  <c r="CP32" i="3" s="1"/>
  <c r="CP35" i="3" a="1"/>
  <c r="CP35" i="3" s="1"/>
  <c r="CK41" i="3" a="1"/>
  <c r="CK41" i="3" s="1"/>
  <c r="CK42" i="3" a="1"/>
  <c r="CK42" i="3" s="1"/>
  <c r="CP34" i="3" a="1"/>
  <c r="CP34" i="3" s="1"/>
  <c r="CR36" i="3" a="1"/>
  <c r="CR36" i="3" s="1"/>
  <c r="CP42" i="3" a="1"/>
  <c r="CP42" i="3" s="1"/>
  <c r="CS42" i="3" s="1"/>
  <c r="CR37" i="3" a="1"/>
  <c r="CR37" i="3" s="1"/>
  <c r="CK32" i="3" a="1"/>
  <c r="CK32" i="3" s="1"/>
  <c r="CK35" i="3" a="1"/>
  <c r="CK35" i="3" s="1"/>
  <c r="CP33" i="3" a="1"/>
  <c r="CP33" i="3" s="1"/>
  <c r="CS33" i="3" s="1"/>
  <c r="CP43" i="3" a="1"/>
  <c r="CP43" i="3" s="1"/>
  <c r="CR34" i="3" a="1"/>
  <c r="CR34" i="3" s="1"/>
  <c r="CK33" i="3" a="1"/>
  <c r="CK33" i="3" s="1"/>
  <c r="CR32" i="3" a="1"/>
  <c r="CR32" i="3" s="1"/>
  <c r="CQ34" i="3" a="1"/>
  <c r="CQ34" i="3" s="1"/>
  <c r="CQ32" i="3" a="1"/>
  <c r="CQ32" i="3" s="1"/>
  <c r="CQ36" i="3" a="1"/>
  <c r="CQ36" i="3" s="1"/>
  <c r="CQ39" i="3" a="1"/>
  <c r="CQ39" i="3" s="1"/>
  <c r="CQ42" i="3" a="1"/>
  <c r="CQ42" i="3" s="1"/>
  <c r="CQ41" i="3" a="1"/>
  <c r="CQ41" i="3" s="1"/>
  <c r="CQ40" i="3" a="1"/>
  <c r="CQ40" i="3" s="1"/>
  <c r="CQ37" i="3" a="1"/>
  <c r="CQ37" i="3" s="1"/>
  <c r="CQ43" i="3" a="1"/>
  <c r="CQ43" i="3" s="1"/>
  <c r="CQ33" i="3" a="1"/>
  <c r="CQ33" i="3" s="1"/>
  <c r="CQ38" i="3" a="1"/>
  <c r="CQ38" i="3" s="1"/>
  <c r="CQ35" i="3" a="1"/>
  <c r="CQ35" i="3" s="1"/>
  <c r="B33" i="8" a="1"/>
  <c r="B33" i="8" s="1"/>
  <c r="B29" i="8" a="1"/>
  <c r="B29" i="8" s="1"/>
  <c r="B54" i="8" a="1"/>
  <c r="B54" i="8" s="1"/>
  <c r="B57" i="8" a="1"/>
  <c r="B57" i="8" s="1"/>
  <c r="B58" i="8" a="1"/>
  <c r="B58" i="8" s="1"/>
  <c r="B55" i="8" a="1"/>
  <c r="B55" i="8" s="1"/>
  <c r="B56" i="8" a="1"/>
  <c r="B56" i="8" s="1"/>
  <c r="D56" i="8" s="1" a="1"/>
  <c r="D56" i="8" s="1"/>
  <c r="B32" i="8" a="1"/>
  <c r="B32" i="8" s="1"/>
  <c r="FY11" i="3"/>
  <c r="FZ11" i="3"/>
  <c r="B15" i="11" s="1"/>
  <c r="B30" i="8" a="1"/>
  <c r="B30" i="8" s="1"/>
  <c r="B31" i="8" a="1"/>
  <c r="B31" i="8" s="1"/>
  <c r="AH7" i="3" a="1"/>
  <c r="AH7" i="3" s="1"/>
  <c r="B18" i="3" a="1"/>
  <c r="B18" i="3" s="1"/>
  <c r="CX54" i="3" a="1"/>
  <c r="CX54" i="3" s="1"/>
  <c r="CX47" i="3" a="1"/>
  <c r="CX47" i="3" s="1"/>
  <c r="CX46" i="3" a="1"/>
  <c r="CX46" i="3" s="1"/>
  <c r="CX51" i="3" a="1"/>
  <c r="CX51" i="3" s="1"/>
  <c r="CX48" i="3" a="1"/>
  <c r="CX48" i="3" s="1"/>
  <c r="CX50" i="3" a="1"/>
  <c r="CX50" i="3" s="1"/>
  <c r="CX49" i="3" a="1"/>
  <c r="CX49" i="3" s="1"/>
  <c r="CX55" i="3" a="1"/>
  <c r="CX55" i="3" s="1"/>
  <c r="CX52" i="3" a="1"/>
  <c r="CX52" i="3" s="1"/>
  <c r="CX45" i="3" a="1"/>
  <c r="CX45" i="3" s="1"/>
  <c r="CX53" i="3" a="1"/>
  <c r="CX53" i="3" s="1"/>
  <c r="CX44" i="3" a="1"/>
  <c r="CX44" i="3" s="1"/>
  <c r="CW50" i="3" a="1"/>
  <c r="CW50" i="3" s="1"/>
  <c r="CW49" i="3" a="1"/>
  <c r="CW49" i="3" s="1"/>
  <c r="CW55" i="3" a="1"/>
  <c r="CW55" i="3" s="1"/>
  <c r="CW46" i="3" a="1"/>
  <c r="CW46" i="3" s="1"/>
  <c r="CW44" i="3" a="1"/>
  <c r="CW44" i="3" s="1"/>
  <c r="CW51" i="3" a="1"/>
  <c r="CW51" i="3" s="1"/>
  <c r="CW45" i="3" a="1"/>
  <c r="CW45" i="3" s="1"/>
  <c r="CW47" i="3" a="1"/>
  <c r="CW47" i="3" s="1"/>
  <c r="CW52" i="3" a="1"/>
  <c r="CW52" i="3" s="1"/>
  <c r="CW53" i="3" a="1"/>
  <c r="CW53" i="3" s="1"/>
  <c r="CW48" i="3" a="1"/>
  <c r="CW48" i="3" s="1"/>
  <c r="CW54" i="3" a="1"/>
  <c r="CW54" i="3" s="1"/>
  <c r="CX21" i="3" a="1"/>
  <c r="CX21" i="3" s="1"/>
  <c r="CY21" i="3" s="1" a="1"/>
  <c r="CY21" i="3" s="1"/>
  <c r="CX23" i="3" a="1"/>
  <c r="CX23" i="3" s="1"/>
  <c r="CY23" i="3" s="1" a="1"/>
  <c r="CY23" i="3" s="1"/>
  <c r="CX25" i="3" a="1"/>
  <c r="CX25" i="3" s="1"/>
  <c r="CY25" i="3" s="1" a="1"/>
  <c r="CY25" i="3" s="1"/>
  <c r="CX27" i="3" a="1"/>
  <c r="CX27" i="3" s="1"/>
  <c r="CY27" i="3" s="1" a="1"/>
  <c r="CY27" i="3" s="1"/>
  <c r="CX24" i="3" a="1"/>
  <c r="CX24" i="3" s="1"/>
  <c r="CY24" i="3" s="1" a="1"/>
  <c r="CY24" i="3" s="1"/>
  <c r="CX30" i="3" a="1"/>
  <c r="CX30" i="3" s="1"/>
  <c r="CY30" i="3" s="1" a="1"/>
  <c r="CY30" i="3" s="1"/>
  <c r="CX34" i="3" a="1"/>
  <c r="CX34" i="3" s="1"/>
  <c r="CY34" i="3" s="1" a="1"/>
  <c r="CY34" i="3" s="1"/>
  <c r="CX38" i="3" a="1"/>
  <c r="CX38" i="3" s="1"/>
  <c r="CY38" i="3" s="1" a="1"/>
  <c r="CY38" i="3" s="1"/>
  <c r="CX42" i="3" a="1"/>
  <c r="CX42" i="3" s="1"/>
  <c r="CY42" i="3" s="1" a="1"/>
  <c r="CY42" i="3" s="1"/>
  <c r="CX26" i="3" a="1"/>
  <c r="CX26" i="3" s="1"/>
  <c r="CY26" i="3" s="1" a="1"/>
  <c r="CY26" i="3" s="1"/>
  <c r="CX31" i="3" a="1"/>
  <c r="CX31" i="3" s="1"/>
  <c r="CY31" i="3" s="1" a="1"/>
  <c r="CY31" i="3" s="1"/>
  <c r="CX35" i="3" a="1"/>
  <c r="CX35" i="3" s="1"/>
  <c r="CY35" i="3" s="1" a="1"/>
  <c r="CY35" i="3" s="1"/>
  <c r="CX39" i="3" a="1"/>
  <c r="CX39" i="3" s="1"/>
  <c r="CY39" i="3" s="1" a="1"/>
  <c r="CY39" i="3" s="1"/>
  <c r="CX43" i="3" a="1"/>
  <c r="CX43" i="3" s="1"/>
  <c r="CY43" i="3" s="1" a="1"/>
  <c r="CY43" i="3" s="1"/>
  <c r="CX20" i="3" a="1"/>
  <c r="CX20" i="3" s="1"/>
  <c r="CY20" i="3" s="1" a="1"/>
  <c r="CY20" i="3" s="1"/>
  <c r="CX28" i="3" a="1"/>
  <c r="CX28" i="3" s="1"/>
  <c r="CY28" i="3" s="1" a="1"/>
  <c r="CY28" i="3" s="1"/>
  <c r="CX32" i="3" a="1"/>
  <c r="CX32" i="3" s="1"/>
  <c r="CY32" i="3" s="1" a="1"/>
  <c r="CY32" i="3" s="1"/>
  <c r="CX36" i="3" a="1"/>
  <c r="CX36" i="3" s="1"/>
  <c r="CY36" i="3" s="1" a="1"/>
  <c r="CY36" i="3" s="1"/>
  <c r="CX40" i="3" a="1"/>
  <c r="CX40" i="3" s="1"/>
  <c r="CY40" i="3" s="1" a="1"/>
  <c r="CY40" i="3" s="1"/>
  <c r="CX33" i="3" a="1"/>
  <c r="CX33" i="3" s="1"/>
  <c r="CY33" i="3" s="1" a="1"/>
  <c r="CY33" i="3" s="1"/>
  <c r="CW22" i="3" a="1"/>
  <c r="CW22" i="3" s="1"/>
  <c r="CW26" i="3" a="1"/>
  <c r="CW26" i="3" s="1"/>
  <c r="CW29" i="3" a="1"/>
  <c r="CW29" i="3" s="1"/>
  <c r="CW32" i="3" a="1"/>
  <c r="CW32" i="3" s="1"/>
  <c r="CW38" i="3" a="1"/>
  <c r="CW38" i="3" s="1"/>
  <c r="CW42" i="3" a="1"/>
  <c r="CW42" i="3" s="1"/>
  <c r="CX37" i="3" a="1"/>
  <c r="CX37" i="3" s="1"/>
  <c r="CY37" i="3" s="1" a="1"/>
  <c r="CY37" i="3" s="1"/>
  <c r="CW20" i="3" a="1"/>
  <c r="CW20" i="3" s="1"/>
  <c r="CW23" i="3" a="1"/>
  <c r="CW23" i="3" s="1"/>
  <c r="CW27" i="3" a="1"/>
  <c r="CW27" i="3" s="1"/>
  <c r="CW33" i="3" a="1"/>
  <c r="CW33" i="3" s="1"/>
  <c r="CW36" i="3" a="1"/>
  <c r="CW36" i="3" s="1"/>
  <c r="CW39" i="3" a="1"/>
  <c r="CW39" i="3" s="1"/>
  <c r="CW43" i="3" a="1"/>
  <c r="CW43" i="3" s="1"/>
  <c r="CX22" i="3" a="1"/>
  <c r="CX22" i="3" s="1"/>
  <c r="CY22" i="3" s="1" a="1"/>
  <c r="CY22" i="3" s="1"/>
  <c r="CX41" i="3" a="1"/>
  <c r="CX41" i="3" s="1"/>
  <c r="CY41" i="3" s="1" a="1"/>
  <c r="CY41" i="3" s="1"/>
  <c r="CW21" i="3" a="1"/>
  <c r="CW21" i="3" s="1"/>
  <c r="CW24" i="3" a="1"/>
  <c r="CW24" i="3" s="1"/>
  <c r="CW30" i="3" a="1"/>
  <c r="CW30" i="3" s="1"/>
  <c r="CW34" i="3" a="1"/>
  <c r="CW34" i="3" s="1"/>
  <c r="CW37" i="3" a="1"/>
  <c r="CW37" i="3" s="1"/>
  <c r="CW40" i="3" a="1"/>
  <c r="CW40" i="3" s="1"/>
  <c r="CW35" i="3" a="1"/>
  <c r="CW35" i="3" s="1"/>
  <c r="CW25" i="3" a="1"/>
  <c r="CW25" i="3" s="1"/>
  <c r="CX29" i="3" a="1"/>
  <c r="CX29" i="3" s="1"/>
  <c r="CY29" i="3" s="1" a="1"/>
  <c r="CY29" i="3" s="1"/>
  <c r="CW28" i="3" a="1"/>
  <c r="CW28" i="3" s="1"/>
  <c r="CW41" i="3" a="1"/>
  <c r="CW41" i="3" s="1"/>
  <c r="CW31" i="3" a="1"/>
  <c r="CW31" i="3" s="1"/>
  <c r="CR20" i="3" a="1"/>
  <c r="CR20" i="3" s="1"/>
  <c r="CR23" i="3" a="1"/>
  <c r="CR23" i="3" s="1"/>
  <c r="CR28" i="3" a="1"/>
  <c r="CR28" i="3" s="1"/>
  <c r="CR31" i="3" a="1"/>
  <c r="CR31" i="3" s="1"/>
  <c r="CQ20" i="3" a="1"/>
  <c r="CQ20" i="3" s="1"/>
  <c r="CQ22" i="3" a="1"/>
  <c r="CQ22" i="3" s="1"/>
  <c r="CQ24" i="3" a="1"/>
  <c r="CQ24" i="3" s="1"/>
  <c r="CQ26" i="3" a="1"/>
  <c r="CQ26" i="3" s="1"/>
  <c r="CQ28" i="3" a="1"/>
  <c r="CQ28" i="3" s="1"/>
  <c r="CQ30" i="3" a="1"/>
  <c r="CQ30" i="3" s="1"/>
  <c r="CP20" i="3" a="1"/>
  <c r="CP20" i="3" s="1"/>
  <c r="CP23" i="3" a="1"/>
  <c r="CP23" i="3" s="1"/>
  <c r="CP28" i="3" a="1"/>
  <c r="CP28" i="3" s="1"/>
  <c r="CP31" i="3" a="1"/>
  <c r="CP31" i="3" s="1"/>
  <c r="CR30" i="3" a="1"/>
  <c r="CR30" i="3" s="1"/>
  <c r="CR21" i="3" a="1"/>
  <c r="CR21" i="3" s="1"/>
  <c r="CR26" i="3" a="1"/>
  <c r="CR26" i="3" s="1"/>
  <c r="CR29" i="3" a="1"/>
  <c r="CR29" i="3" s="1"/>
  <c r="CP21" i="3" a="1"/>
  <c r="CP21" i="3" s="1"/>
  <c r="CP26" i="3" a="1"/>
  <c r="CP26" i="3" s="1"/>
  <c r="CP29" i="3" a="1"/>
  <c r="CP29" i="3" s="1"/>
  <c r="CR22" i="3" a="1"/>
  <c r="CR22" i="3" s="1"/>
  <c r="CR24" i="3" a="1"/>
  <c r="CR24" i="3" s="1"/>
  <c r="CR27" i="3" a="1"/>
  <c r="CR27" i="3" s="1"/>
  <c r="CQ21" i="3" a="1"/>
  <c r="CQ21" i="3" s="1"/>
  <c r="CQ23" i="3" a="1"/>
  <c r="CQ23" i="3" s="1"/>
  <c r="CQ25" i="3" a="1"/>
  <c r="CQ25" i="3" s="1"/>
  <c r="CQ27" i="3" a="1"/>
  <c r="CQ27" i="3" s="1"/>
  <c r="CQ29" i="3" a="1"/>
  <c r="CQ29" i="3" s="1"/>
  <c r="CQ31" i="3" a="1"/>
  <c r="CQ31" i="3" s="1"/>
  <c r="CP24" i="3" a="1"/>
  <c r="CP24" i="3" s="1"/>
  <c r="CP27" i="3" a="1"/>
  <c r="CP27" i="3" s="1"/>
  <c r="CR25" i="3" a="1"/>
  <c r="CR25" i="3" s="1"/>
  <c r="CP22" i="3" a="1"/>
  <c r="CP22" i="3" s="1"/>
  <c r="CP25" i="3" a="1"/>
  <c r="CP25" i="3" s="1"/>
  <c r="CP30" i="3" a="1"/>
  <c r="CP30" i="3" s="1"/>
  <c r="CK20" i="3" a="1"/>
  <c r="CK20" i="3" s="1"/>
  <c r="CL20" i="3" s="1" a="1"/>
  <c r="CL20" i="3" s="1"/>
  <c r="CK22" i="3" a="1"/>
  <c r="CK22" i="3" s="1"/>
  <c r="CL22" i="3" s="1" a="1"/>
  <c r="CL22" i="3" s="1"/>
  <c r="CK24" i="3" a="1"/>
  <c r="CK24" i="3" s="1"/>
  <c r="CL24" i="3" s="1" a="1"/>
  <c r="CL24" i="3" s="1"/>
  <c r="CK26" i="3" a="1"/>
  <c r="CK26" i="3" s="1"/>
  <c r="CL26" i="3" s="1" a="1"/>
  <c r="CL26" i="3" s="1"/>
  <c r="CK28" i="3" a="1"/>
  <c r="CK28" i="3" s="1"/>
  <c r="CL28" i="3" s="1" a="1"/>
  <c r="CL28" i="3" s="1"/>
  <c r="CK30" i="3" a="1"/>
  <c r="CK30" i="3" s="1"/>
  <c r="CL30" i="3" s="1" a="1"/>
  <c r="CL30" i="3" s="1"/>
  <c r="CK21" i="3" a="1"/>
  <c r="CK21" i="3" s="1"/>
  <c r="CL21" i="3" s="1" a="1"/>
  <c r="CL21" i="3" s="1"/>
  <c r="CK23" i="3" a="1"/>
  <c r="CK23" i="3" s="1"/>
  <c r="CL23" i="3" s="1" a="1"/>
  <c r="CL23" i="3" s="1"/>
  <c r="CK25" i="3" a="1"/>
  <c r="CK25" i="3" s="1"/>
  <c r="CL25" i="3" s="1" a="1"/>
  <c r="CL25" i="3" s="1"/>
  <c r="CK27" i="3" a="1"/>
  <c r="CK27" i="3" s="1"/>
  <c r="CL27" i="3" s="1" a="1"/>
  <c r="CL27" i="3" s="1"/>
  <c r="CK29" i="3" a="1"/>
  <c r="CK29" i="3" s="1"/>
  <c r="CL29" i="3" s="1" a="1"/>
  <c r="CL29" i="3" s="1"/>
  <c r="CK31" i="3" a="1"/>
  <c r="CK31" i="3" s="1"/>
  <c r="CL31" i="3" s="1" a="1"/>
  <c r="CL31" i="3" s="1"/>
  <c r="BC5" i="3" a="1"/>
  <c r="BC5" i="3" s="1"/>
  <c r="C48" i="8" s="1" a="1"/>
  <c r="C48" i="8" s="1"/>
  <c r="B17" i="3" a="1"/>
  <c r="B17" i="3" s="1"/>
  <c r="C17" i="3" s="1" a="1"/>
  <c r="C17" i="3" s="1"/>
  <c r="B16" i="3" a="1"/>
  <c r="B16" i="3" s="1"/>
  <c r="AH31" i="3"/>
  <c r="AH32" i="3" s="1"/>
  <c r="C34" i="5"/>
  <c r="FY10" i="3" a="1"/>
  <c r="FY10" i="3" s="1"/>
  <c r="FZ10" i="3" a="1"/>
  <c r="FZ10" i="3" s="1"/>
  <c r="B10" i="11" s="1"/>
  <c r="AH26" i="3"/>
  <c r="D27" i="8"/>
  <c r="AH14" i="3" a="1"/>
  <c r="AH14" i="3" s="1"/>
  <c r="E5" i="3" a="1"/>
  <c r="E5" i="3" s="1"/>
  <c r="BZ3" i="3"/>
  <c r="CF9" i="3" a="1"/>
  <c r="CF9" i="3" s="1"/>
  <c r="CF8" i="3" a="1"/>
  <c r="CF8" i="3" s="1"/>
  <c r="CF12" i="3" a="1"/>
  <c r="CF12" i="3" s="1"/>
  <c r="CF15" i="3" a="1"/>
  <c r="CF15" i="3" s="1"/>
  <c r="CF4" i="3" a="1"/>
  <c r="CF4" i="3" s="1"/>
  <c r="CF11" i="3" a="1"/>
  <c r="CF11" i="3" s="1"/>
  <c r="CF7" i="3" a="1"/>
  <c r="CF7" i="3" s="1"/>
  <c r="CF6" i="3" a="1"/>
  <c r="CF6" i="3" s="1"/>
  <c r="CF5" i="3" a="1"/>
  <c r="CF5" i="3" s="1"/>
  <c r="CF14" i="3" a="1"/>
  <c r="CF14" i="3" s="1"/>
  <c r="CF13" i="3" a="1"/>
  <c r="CF13" i="3" s="1"/>
  <c r="CF10" i="3" a="1"/>
  <c r="CF10" i="3" s="1"/>
  <c r="EM18" i="3"/>
  <c r="AH15" i="3" a="1"/>
  <c r="AH15" i="3" s="1"/>
  <c r="L21" i="10"/>
  <c r="GE23" i="3"/>
  <c r="C37" i="8" l="1"/>
  <c r="D37" i="8"/>
  <c r="E37" i="8"/>
  <c r="CY179" i="3" a="1"/>
  <c r="CY179" i="3" s="1"/>
  <c r="CZ179" i="3" s="1"/>
  <c r="CY183" i="3" a="1"/>
  <c r="CY183" i="3" s="1"/>
  <c r="CZ183" i="3" s="1"/>
  <c r="CY174" i="3" a="1"/>
  <c r="CY174" i="3" s="1"/>
  <c r="CZ174" i="3" s="1"/>
  <c r="CY167" i="3" a="1"/>
  <c r="CY167" i="3" s="1"/>
  <c r="CZ167" i="3" s="1"/>
  <c r="CY164" i="3" a="1"/>
  <c r="CY164" i="3" s="1"/>
  <c r="CZ164" i="3" s="1"/>
  <c r="CY186" i="3" a="1"/>
  <c r="CY186" i="3" s="1"/>
  <c r="CZ186" i="3" s="1"/>
  <c r="CY180" i="3" a="1"/>
  <c r="CY180" i="3" s="1"/>
  <c r="CZ180" i="3" s="1"/>
  <c r="CY173" i="3" a="1"/>
  <c r="CY173" i="3" s="1"/>
  <c r="CY185" i="3" a="1"/>
  <c r="CY185" i="3" s="1"/>
  <c r="CY166" i="3" a="1"/>
  <c r="CY166" i="3" s="1"/>
  <c r="CY168" i="3" a="1"/>
  <c r="CY168" i="3" s="1"/>
  <c r="CZ168" i="3" s="1"/>
  <c r="CY187" i="3" a="1"/>
  <c r="CY187" i="3" s="1"/>
  <c r="CY165" i="3" a="1"/>
  <c r="CY165" i="3" s="1"/>
  <c r="CZ165" i="3" s="1"/>
  <c r="CY171" i="3" a="1"/>
  <c r="CY171" i="3" s="1"/>
  <c r="CZ171" i="3" s="1"/>
  <c r="CY172" i="3" a="1"/>
  <c r="CY172" i="3" s="1"/>
  <c r="CZ172" i="3" s="1"/>
  <c r="C28" i="3" a="1"/>
  <c r="C28" i="3" s="1"/>
  <c r="D28" i="3" s="1"/>
  <c r="CY176" i="3" a="1"/>
  <c r="CY176" i="3" s="1"/>
  <c r="CZ176" i="3" s="1"/>
  <c r="CY170" i="3" a="1"/>
  <c r="CY170" i="3" s="1"/>
  <c r="CZ170" i="3" s="1"/>
  <c r="CY184" i="3" a="1"/>
  <c r="CY184" i="3" s="1"/>
  <c r="CZ184" i="3" s="1"/>
  <c r="C29" i="3" a="1"/>
  <c r="C29" i="3" s="1"/>
  <c r="D29" i="3" s="1"/>
  <c r="CY178" i="3" a="1"/>
  <c r="CY178" i="3" s="1"/>
  <c r="CY182" i="3" a="1"/>
  <c r="CY182" i="3" s="1"/>
  <c r="CZ182" i="3" s="1"/>
  <c r="CY169" i="3" a="1"/>
  <c r="CY169" i="3" s="1"/>
  <c r="CY177" i="3" a="1"/>
  <c r="CY177" i="3" s="1"/>
  <c r="CZ177" i="3" s="1"/>
  <c r="CY181" i="3" a="1"/>
  <c r="CY181" i="3" s="1"/>
  <c r="CZ181" i="3" s="1"/>
  <c r="CY175" i="3" a="1"/>
  <c r="CY175" i="3" s="1"/>
  <c r="CZ175" i="3" s="1"/>
  <c r="D62" i="8" a="1"/>
  <c r="D62" i="8" s="1"/>
  <c r="CY162" i="3" a="1"/>
  <c r="CY162" i="3" s="1"/>
  <c r="CZ162" i="3" s="1"/>
  <c r="CY159" i="3" a="1"/>
  <c r="CY159" i="3" s="1"/>
  <c r="CZ159" i="3" s="1"/>
  <c r="CY158" i="3" a="1"/>
  <c r="CY158" i="3" s="1"/>
  <c r="CZ158" i="3" s="1"/>
  <c r="CY161" i="3" a="1"/>
  <c r="CY161" i="3" s="1"/>
  <c r="CY142" i="3" a="1"/>
  <c r="CY142" i="3" s="1"/>
  <c r="CZ142" i="3" s="1"/>
  <c r="CY157" i="3" a="1"/>
  <c r="CY157" i="3" s="1"/>
  <c r="CZ157" i="3" s="1"/>
  <c r="CY149" i="3" a="1"/>
  <c r="CY149" i="3" s="1"/>
  <c r="CY141" i="3" a="1"/>
  <c r="CY141" i="3" s="1"/>
  <c r="CZ141" i="3" s="1"/>
  <c r="CY160" i="3" a="1"/>
  <c r="CY160" i="3" s="1"/>
  <c r="CY144" i="3" a="1"/>
  <c r="CY144" i="3" s="1"/>
  <c r="CY152" i="3" a="1"/>
  <c r="CY152" i="3" s="1"/>
  <c r="CZ152" i="3" s="1"/>
  <c r="CY163" i="3" a="1"/>
  <c r="CY163" i="3" s="1"/>
  <c r="CY151" i="3" a="1"/>
  <c r="CY151" i="3" s="1"/>
  <c r="CZ151" i="3" s="1"/>
  <c r="CY148" i="3" a="1"/>
  <c r="CY148" i="3" s="1"/>
  <c r="CY147" i="3" a="1"/>
  <c r="CY147" i="3" s="1"/>
  <c r="CZ147" i="3" s="1"/>
  <c r="C27" i="3" a="1"/>
  <c r="C27" i="3" s="1"/>
  <c r="D27" i="3" s="1"/>
  <c r="CY154" i="3" a="1"/>
  <c r="CY154" i="3" s="1"/>
  <c r="CY143" i="3" a="1"/>
  <c r="CY143" i="3" s="1"/>
  <c r="CZ143" i="3" s="1"/>
  <c r="CY146" i="3" a="1"/>
  <c r="CY146" i="3" s="1"/>
  <c r="CZ146" i="3" s="1"/>
  <c r="C26" i="3" a="1"/>
  <c r="C26" i="3" s="1"/>
  <c r="D26" i="3" s="1"/>
  <c r="CY150" i="3" a="1"/>
  <c r="CY150" i="3" s="1"/>
  <c r="CY153" i="3" a="1"/>
  <c r="CY153" i="3" s="1"/>
  <c r="CZ153" i="3" s="1"/>
  <c r="CY145" i="3" a="1"/>
  <c r="CY145" i="3" s="1"/>
  <c r="CY140" i="3" a="1"/>
  <c r="CY140" i="3" s="1"/>
  <c r="CZ140" i="3" s="1"/>
  <c r="CY156" i="3" a="1"/>
  <c r="CY156" i="3" s="1"/>
  <c r="CZ156" i="3" s="1"/>
  <c r="CY155" i="3" a="1"/>
  <c r="CY155" i="3" s="1"/>
  <c r="D61" i="8" a="1"/>
  <c r="D61" i="8" s="1"/>
  <c r="CY128" i="3" a="1"/>
  <c r="CY128" i="3" s="1"/>
  <c r="CZ128" i="3" s="1"/>
  <c r="CY118" i="3" a="1"/>
  <c r="CY118" i="3" s="1"/>
  <c r="CZ118" i="3" s="1"/>
  <c r="CY123" i="3" a="1"/>
  <c r="CY123" i="3" s="1"/>
  <c r="CZ123" i="3" s="1"/>
  <c r="CY129" i="3" a="1"/>
  <c r="CY129" i="3" s="1"/>
  <c r="CZ129" i="3" s="1"/>
  <c r="CY127" i="3" a="1"/>
  <c r="CY127" i="3" s="1"/>
  <c r="CZ127" i="3" s="1"/>
  <c r="CY125" i="3" a="1"/>
  <c r="CY125" i="3" s="1"/>
  <c r="CZ125" i="3" s="1"/>
  <c r="CY138" i="3" a="1"/>
  <c r="CY138" i="3" s="1"/>
  <c r="CY133" i="3" a="1"/>
  <c r="CY133" i="3" s="1"/>
  <c r="CY132" i="3" a="1"/>
  <c r="CY132" i="3" s="1"/>
  <c r="CY130" i="3" a="1"/>
  <c r="CY130" i="3" s="1"/>
  <c r="CZ130" i="3" s="1"/>
  <c r="CY137" i="3" a="1"/>
  <c r="CY137" i="3" s="1"/>
  <c r="CY126" i="3" a="1"/>
  <c r="CY126" i="3" s="1"/>
  <c r="CZ126" i="3" s="1"/>
  <c r="CY117" i="3" a="1"/>
  <c r="CY117" i="3" s="1"/>
  <c r="CZ117" i="3" s="1"/>
  <c r="CY122" i="3" a="1"/>
  <c r="CY122" i="3" s="1"/>
  <c r="C24" i="3" a="1"/>
  <c r="C24" i="3" s="1"/>
  <c r="D24" i="3" s="1"/>
  <c r="CY131" i="3" a="1"/>
  <c r="CY131" i="3" s="1"/>
  <c r="CZ131" i="3" s="1"/>
  <c r="CY135" i="3" a="1"/>
  <c r="CY135" i="3" s="1"/>
  <c r="CZ135" i="3" s="1"/>
  <c r="CY136" i="3" a="1"/>
  <c r="CY136" i="3" s="1"/>
  <c r="C25" i="3" a="1"/>
  <c r="C25" i="3" s="1"/>
  <c r="D25" i="3" s="1"/>
  <c r="CY119" i="3" a="1"/>
  <c r="CY119" i="3" s="1"/>
  <c r="CY120" i="3" a="1"/>
  <c r="CY120" i="3" s="1"/>
  <c r="CY139" i="3" a="1"/>
  <c r="CY139" i="3" s="1"/>
  <c r="CY124" i="3" a="1"/>
  <c r="CY124" i="3" s="1"/>
  <c r="CY116" i="3" a="1"/>
  <c r="CY116" i="3" s="1"/>
  <c r="CZ116" i="3" s="1"/>
  <c r="CY134" i="3" a="1"/>
  <c r="CY134" i="3" s="1"/>
  <c r="CZ134" i="3" s="1"/>
  <c r="CY121" i="3" a="1"/>
  <c r="CY121" i="3" s="1"/>
  <c r="D60" i="8" a="1"/>
  <c r="D60" i="8" s="1"/>
  <c r="CY95" i="3" a="1"/>
  <c r="CY95" i="3" s="1"/>
  <c r="CZ95" i="3" s="1"/>
  <c r="CY111" i="3" a="1"/>
  <c r="CY111" i="3" s="1"/>
  <c r="CZ111" i="3" s="1"/>
  <c r="CY102" i="3" a="1"/>
  <c r="CY102" i="3" s="1"/>
  <c r="CZ102" i="3" s="1"/>
  <c r="CY108" i="3" a="1"/>
  <c r="CY108" i="3" s="1"/>
  <c r="CZ108" i="3" s="1"/>
  <c r="CY92" i="3" a="1"/>
  <c r="CY92" i="3" s="1"/>
  <c r="CY101" i="3" a="1"/>
  <c r="CY101" i="3" s="1"/>
  <c r="CZ101" i="3" s="1"/>
  <c r="CY106" i="3" a="1"/>
  <c r="CY106" i="3" s="1"/>
  <c r="CZ106" i="3" s="1"/>
  <c r="CY105" i="3" a="1"/>
  <c r="CY105" i="3" s="1"/>
  <c r="CZ105" i="3" s="1"/>
  <c r="CY114" i="3" a="1"/>
  <c r="CY114" i="3" s="1"/>
  <c r="CY96" i="3" a="1"/>
  <c r="CY96" i="3" s="1"/>
  <c r="CY99" i="3" a="1"/>
  <c r="CY99" i="3" s="1"/>
  <c r="CZ99" i="3" s="1"/>
  <c r="CY115" i="3" a="1"/>
  <c r="CY115" i="3" s="1"/>
  <c r="CZ115" i="3" s="1"/>
  <c r="CS38" i="3"/>
  <c r="CY93" i="3" a="1"/>
  <c r="CY93" i="3" s="1"/>
  <c r="CZ93" i="3" s="1"/>
  <c r="CY109" i="3" a="1"/>
  <c r="CY109" i="3" s="1"/>
  <c r="CY112" i="3" a="1"/>
  <c r="CY112" i="3" s="1"/>
  <c r="CZ112" i="3" s="1"/>
  <c r="C22" i="3" a="1"/>
  <c r="C22" i="3" s="1"/>
  <c r="D22" i="3" s="1"/>
  <c r="CY103" i="3" a="1"/>
  <c r="CY103" i="3" s="1"/>
  <c r="CY98" i="3" a="1"/>
  <c r="CY98" i="3" s="1"/>
  <c r="CY94" i="3" a="1"/>
  <c r="CY94" i="3" s="1"/>
  <c r="CZ94" i="3" s="1"/>
  <c r="C23" i="3" a="1"/>
  <c r="C23" i="3" s="1"/>
  <c r="D23" i="3" s="1"/>
  <c r="CY104" i="3" a="1"/>
  <c r="CY104" i="3" s="1"/>
  <c r="CY97" i="3" a="1"/>
  <c r="CY97" i="3" s="1"/>
  <c r="CZ97" i="3" s="1"/>
  <c r="CY100" i="3" a="1"/>
  <c r="CY100" i="3" s="1"/>
  <c r="CZ100" i="3" s="1"/>
  <c r="CY107" i="3" a="1"/>
  <c r="CY107" i="3" s="1"/>
  <c r="CY110" i="3" a="1"/>
  <c r="CY110" i="3" s="1"/>
  <c r="CY113" i="3" a="1"/>
  <c r="CY113" i="3" s="1"/>
  <c r="D59" i="8" a="1"/>
  <c r="D59" i="8" s="1"/>
  <c r="CS43" i="3"/>
  <c r="CS32" i="3"/>
  <c r="CL43" i="3" a="1"/>
  <c r="CL43" i="3" s="1"/>
  <c r="CM43" i="3" s="1"/>
  <c r="CY81" i="3" a="1"/>
  <c r="CY81" i="3" s="1"/>
  <c r="CZ81" i="3" s="1"/>
  <c r="CY57" i="3" a="1"/>
  <c r="CY57" i="3" s="1"/>
  <c r="CZ57" i="3" s="1"/>
  <c r="CY91" i="3" a="1"/>
  <c r="CY91" i="3" s="1"/>
  <c r="CZ91" i="3" s="1"/>
  <c r="CL35" i="3" a="1"/>
  <c r="CL35" i="3" s="1"/>
  <c r="CS35" i="3"/>
  <c r="CL36" i="3" a="1"/>
  <c r="CL36" i="3" s="1"/>
  <c r="CM36" i="3" s="1"/>
  <c r="CL39" i="3" a="1"/>
  <c r="CL39" i="3" s="1"/>
  <c r="CY82" i="3" a="1"/>
  <c r="CY82" i="3" s="1"/>
  <c r="CZ82" i="3" s="1"/>
  <c r="CY70" i="3" a="1"/>
  <c r="CY70" i="3" s="1"/>
  <c r="CZ70" i="3" s="1"/>
  <c r="CY65" i="3" a="1"/>
  <c r="CY65" i="3" s="1"/>
  <c r="CZ65" i="3" s="1"/>
  <c r="CY62" i="3" a="1"/>
  <c r="CY62" i="3" s="1"/>
  <c r="CZ62" i="3" s="1"/>
  <c r="CL41" i="3" a="1"/>
  <c r="CL41" i="3" s="1"/>
  <c r="CM41" i="3" s="1"/>
  <c r="C49" i="8" a="1"/>
  <c r="C49" i="8" s="1"/>
  <c r="CY68" i="3" a="1"/>
  <c r="CY68" i="3" s="1"/>
  <c r="CZ68" i="3" s="1"/>
  <c r="CY64" i="3" a="1"/>
  <c r="CY64" i="3" s="1"/>
  <c r="CZ64" i="3" s="1"/>
  <c r="CL32" i="3" a="1"/>
  <c r="CL32" i="3" s="1"/>
  <c r="CM32" i="3" s="1"/>
  <c r="CS39" i="3"/>
  <c r="CY67" i="3" a="1"/>
  <c r="CY67" i="3" s="1"/>
  <c r="CZ67" i="3" s="1"/>
  <c r="CY69" i="3" a="1"/>
  <c r="CY69" i="3" s="1"/>
  <c r="CY56" i="3" a="1"/>
  <c r="CY56" i="3" s="1"/>
  <c r="CZ56" i="3" s="1"/>
  <c r="CY71" i="3" a="1"/>
  <c r="CY71" i="3" s="1"/>
  <c r="CL40" i="3" a="1"/>
  <c r="CL40" i="3" s="1"/>
  <c r="CS40" i="3"/>
  <c r="CY79" i="3" a="1"/>
  <c r="CY79" i="3" s="1"/>
  <c r="CZ79" i="3" s="1"/>
  <c r="CY77" i="3" a="1"/>
  <c r="CY77" i="3" s="1"/>
  <c r="CZ77" i="3" s="1"/>
  <c r="CY87" i="3" a="1"/>
  <c r="CY87" i="3" s="1"/>
  <c r="CZ87" i="3" s="1"/>
  <c r="CY75" i="3" a="1"/>
  <c r="CY75" i="3" s="1"/>
  <c r="CZ75" i="3" s="1"/>
  <c r="C19" i="3" a="1"/>
  <c r="C19" i="3" s="1"/>
  <c r="D19" i="3" s="1"/>
  <c r="CS37" i="3"/>
  <c r="CL38" i="3" a="1"/>
  <c r="CL38" i="3" s="1"/>
  <c r="CM38" i="3" s="1"/>
  <c r="CY83" i="3" a="1"/>
  <c r="CY83" i="3" s="1"/>
  <c r="CZ83" i="3" s="1"/>
  <c r="CY80" i="3" a="1"/>
  <c r="CY80" i="3" s="1"/>
  <c r="CY72" i="3" a="1"/>
  <c r="CY72" i="3" s="1"/>
  <c r="CY78" i="3" a="1"/>
  <c r="CY78" i="3" s="1"/>
  <c r="C20" i="3" a="1"/>
  <c r="C20" i="3" s="1"/>
  <c r="D20" i="3" s="1"/>
  <c r="CL33" i="3" a="1"/>
  <c r="CL33" i="3" s="1"/>
  <c r="CM33" i="3" s="1"/>
  <c r="CL37" i="3" a="1"/>
  <c r="CL37" i="3" s="1"/>
  <c r="CY61" i="3" a="1"/>
  <c r="CY61" i="3" s="1"/>
  <c r="CY59" i="3" a="1"/>
  <c r="CY59" i="3" s="1"/>
  <c r="CY74" i="3" a="1"/>
  <c r="CY74" i="3" s="1"/>
  <c r="CZ74" i="3" s="1"/>
  <c r="CY88" i="3" a="1"/>
  <c r="CY88" i="3" s="1"/>
  <c r="CZ88" i="3" s="1"/>
  <c r="CY89" i="3" a="1"/>
  <c r="CY89" i="3" s="1"/>
  <c r="CZ89" i="3" s="1"/>
  <c r="C21" i="3" a="1"/>
  <c r="C21" i="3" s="1"/>
  <c r="CS34" i="3"/>
  <c r="CL34" i="3" a="1"/>
  <c r="CL34" i="3" s="1"/>
  <c r="CY73" i="3" a="1"/>
  <c r="CY73" i="3" s="1"/>
  <c r="CZ73" i="3" s="1"/>
  <c r="CY84" i="3" a="1"/>
  <c r="CY84" i="3" s="1"/>
  <c r="CY85" i="3" a="1"/>
  <c r="CY85" i="3" s="1"/>
  <c r="CY66" i="3" a="1"/>
  <c r="CY66" i="3" s="1"/>
  <c r="CY90" i="3" a="1"/>
  <c r="CY90" i="3" s="1"/>
  <c r="CL42" i="3" a="1"/>
  <c r="CL42" i="3" s="1"/>
  <c r="CS36" i="3"/>
  <c r="CS41" i="3"/>
  <c r="CY76" i="3" a="1"/>
  <c r="CY76" i="3" s="1"/>
  <c r="CZ76" i="3" s="1"/>
  <c r="CY58" i="3" a="1"/>
  <c r="CY58" i="3" s="1"/>
  <c r="CY86" i="3" a="1"/>
  <c r="CY86" i="3" s="1"/>
  <c r="CY60" i="3" a="1"/>
  <c r="CY60" i="3" s="1"/>
  <c r="CY63" i="3" a="1"/>
  <c r="CY63" i="3" s="1"/>
  <c r="D29" i="8"/>
  <c r="C29" i="8"/>
  <c r="E29" i="8"/>
  <c r="C54" i="8" a="1"/>
  <c r="C54" i="8" s="1"/>
  <c r="E54" i="8" a="1"/>
  <c r="E54" i="8" s="1"/>
  <c r="D54" i="8" a="1"/>
  <c r="D54" i="8" s="1"/>
  <c r="D55" i="8" a="1"/>
  <c r="D55" i="8" s="1"/>
  <c r="D58" i="8" a="1"/>
  <c r="D58" i="8" s="1"/>
  <c r="D57" i="8" a="1"/>
  <c r="D57" i="8" s="1"/>
  <c r="CY53" i="3" a="1"/>
  <c r="CY53" i="3" s="1"/>
  <c r="CZ53" i="3" s="1"/>
  <c r="CY46" i="3" a="1"/>
  <c r="CY46" i="3" s="1"/>
  <c r="CZ46" i="3" s="1"/>
  <c r="CY45" i="3" a="1"/>
  <c r="CY45" i="3" s="1"/>
  <c r="CY49" i="3" a="1"/>
  <c r="CY49" i="3" s="1"/>
  <c r="CZ49" i="3" s="1"/>
  <c r="CY47" i="3" a="1"/>
  <c r="CY47" i="3" s="1"/>
  <c r="CZ47" i="3" s="1"/>
  <c r="C18" i="3" a="1"/>
  <c r="C18" i="3" s="1"/>
  <c r="CY52" i="3" a="1"/>
  <c r="CY52" i="3" s="1"/>
  <c r="CY50" i="3" a="1"/>
  <c r="CY50" i="3" s="1"/>
  <c r="CY48" i="3" a="1"/>
  <c r="CY48" i="3" s="1"/>
  <c r="CY54" i="3" a="1"/>
  <c r="CY54" i="3" s="1"/>
  <c r="CZ54" i="3" s="1"/>
  <c r="CY44" i="3" a="1"/>
  <c r="CY44" i="3" s="1"/>
  <c r="CZ44" i="3" s="1"/>
  <c r="CY55" i="3" a="1"/>
  <c r="CY55" i="3" s="1"/>
  <c r="CZ55" i="3" s="1"/>
  <c r="CY51" i="3" a="1"/>
  <c r="CY51" i="3" s="1"/>
  <c r="C16" i="3" a="1"/>
  <c r="C16" i="3" s="1"/>
  <c r="BZ19" i="3"/>
  <c r="CS26" i="3"/>
  <c r="DY21" i="3"/>
  <c r="DO21" i="3"/>
  <c r="DY20" i="3"/>
  <c r="DO20" i="3"/>
  <c r="CJ4" i="3" a="1"/>
  <c r="CJ4" i="3" s="1"/>
  <c r="CL4" i="3" s="1"/>
  <c r="CJ7" i="3" a="1"/>
  <c r="CJ7" i="3" s="1"/>
  <c r="CL7" i="3" s="1"/>
  <c r="CJ12" i="3" a="1"/>
  <c r="CJ12" i="3" s="1"/>
  <c r="CL12" i="3" s="1"/>
  <c r="CJ15" i="3" a="1"/>
  <c r="CJ15" i="3" s="1"/>
  <c r="CL15" i="3" s="1"/>
  <c r="CJ5" i="3" a="1"/>
  <c r="CJ5" i="3" s="1"/>
  <c r="CL5" i="3" s="1"/>
  <c r="CJ10" i="3" a="1"/>
  <c r="CJ10" i="3" s="1"/>
  <c r="CL10" i="3" s="1"/>
  <c r="C7" i="9" s="1"/>
  <c r="CJ13" i="3" a="1"/>
  <c r="CJ13" i="3" s="1"/>
  <c r="CL13" i="3" s="1"/>
  <c r="CJ8" i="3" a="1"/>
  <c r="CJ8" i="3" s="1"/>
  <c r="CL8" i="3" s="1"/>
  <c r="CJ11" i="3" a="1"/>
  <c r="CJ11" i="3" s="1"/>
  <c r="CL11" i="3" s="1"/>
  <c r="CJ6" i="3" a="1"/>
  <c r="CJ6" i="3" s="1"/>
  <c r="CL6" i="3" s="1"/>
  <c r="CJ9" i="3" a="1"/>
  <c r="CJ9" i="3" s="1"/>
  <c r="CL9" i="3" s="1"/>
  <c r="CJ14" i="3" a="1"/>
  <c r="CJ14" i="3" s="1"/>
  <c r="CL14" i="3" s="1"/>
  <c r="CS20" i="3"/>
  <c r="CS24" i="3"/>
  <c r="CS28" i="3"/>
  <c r="CZ22" i="3"/>
  <c r="CZ34" i="3"/>
  <c r="CS21" i="3"/>
  <c r="CS25" i="3"/>
  <c r="CS29" i="3"/>
  <c r="CZ30" i="3"/>
  <c r="CZ42" i="3"/>
  <c r="CS22" i="3"/>
  <c r="CS30" i="3"/>
  <c r="CM24" i="3"/>
  <c r="CZ21" i="3"/>
  <c r="CS23" i="3"/>
  <c r="CS27" i="3"/>
  <c r="CS31" i="3"/>
  <c r="CM21" i="3"/>
  <c r="CM25" i="3"/>
  <c r="CM29" i="3"/>
  <c r="EM42" i="3"/>
  <c r="EO42" i="3" s="1"/>
  <c r="B49" i="9" a="1"/>
  <c r="B49" i="9" s="1"/>
  <c r="CH5" i="3"/>
  <c r="CH10" i="3"/>
  <c r="C6" i="9" s="1"/>
  <c r="CH6" i="3"/>
  <c r="CH15" i="3"/>
  <c r="CH14" i="3"/>
  <c r="CH4" i="3"/>
  <c r="CH13" i="3"/>
  <c r="CH12" i="3"/>
  <c r="CH11" i="3"/>
  <c r="CH9" i="3"/>
  <c r="CH8" i="3"/>
  <c r="CH7" i="3"/>
  <c r="EM28" i="3"/>
  <c r="EM27" i="3"/>
  <c r="EM41" i="3"/>
  <c r="EM29" i="3"/>
  <c r="EM36" i="3"/>
  <c r="EM43" i="3"/>
  <c r="E53" i="9" a="1"/>
  <c r="E53" i="9" s="1"/>
  <c r="EM34" i="3"/>
  <c r="EM45" i="3"/>
  <c r="EM35" i="3"/>
  <c r="EM39" i="3"/>
  <c r="EM32" i="3"/>
  <c r="EM31" i="3"/>
  <c r="EM25" i="3"/>
  <c r="EM30" i="3"/>
  <c r="EM40" i="3"/>
  <c r="EM44" i="3"/>
  <c r="EM38" i="3"/>
  <c r="EM26" i="3"/>
  <c r="EM33" i="3"/>
  <c r="EM37" i="3"/>
  <c r="GF23" i="3"/>
  <c r="M19" i="10" s="1"/>
  <c r="L19" i="10"/>
  <c r="BC7" i="3" a="1"/>
  <c r="BC7" i="3" s="1"/>
  <c r="GE24" i="3"/>
  <c r="CZ169" i="3" l="1"/>
  <c r="CZ173" i="3"/>
  <c r="CZ166" i="3"/>
  <c r="E28" i="3" a="1"/>
  <c r="E28" i="3" s="1"/>
  <c r="E29" i="3" a="1"/>
  <c r="E29" i="3" s="1"/>
  <c r="CZ185" i="3"/>
  <c r="CZ178" i="3"/>
  <c r="CZ187" i="3"/>
  <c r="CZ144" i="3"/>
  <c r="E27" i="3" a="1"/>
  <c r="E27" i="3" s="1"/>
  <c r="CZ154" i="3"/>
  <c r="CZ160" i="3"/>
  <c r="CZ163" i="3"/>
  <c r="CZ149" i="3"/>
  <c r="CZ150" i="3"/>
  <c r="CZ155" i="3"/>
  <c r="CZ148" i="3"/>
  <c r="E26" i="3" a="1"/>
  <c r="E26" i="3" s="1"/>
  <c r="CZ145" i="3"/>
  <c r="CZ161" i="3"/>
  <c r="E25" i="3" a="1"/>
  <c r="E25" i="3" s="1"/>
  <c r="CZ138" i="3"/>
  <c r="E24" i="3" a="1"/>
  <c r="E24" i="3" s="1"/>
  <c r="CZ139" i="3"/>
  <c r="CZ132" i="3"/>
  <c r="CZ121" i="3"/>
  <c r="CZ136" i="3"/>
  <c r="CZ133" i="3"/>
  <c r="CZ120" i="3"/>
  <c r="CZ122" i="3"/>
  <c r="CZ137" i="3"/>
  <c r="CZ119" i="3"/>
  <c r="CZ124" i="3"/>
  <c r="CZ104" i="3"/>
  <c r="CZ96" i="3"/>
  <c r="CZ109" i="3"/>
  <c r="E22" i="3" a="1"/>
  <c r="E22" i="3" s="1"/>
  <c r="CZ113" i="3"/>
  <c r="CZ92" i="3"/>
  <c r="E23" i="3" a="1"/>
  <c r="E23" i="3" s="1"/>
  <c r="CZ114" i="3"/>
  <c r="CZ98" i="3"/>
  <c r="CZ107" i="3"/>
  <c r="CZ103" i="3"/>
  <c r="CZ110" i="3"/>
  <c r="E21" i="3" a="1"/>
  <c r="E21" i="3" s="1"/>
  <c r="CZ72" i="3"/>
  <c r="CZ66" i="3"/>
  <c r="CM34" i="3"/>
  <c r="CM39" i="3"/>
  <c r="CZ61" i="3"/>
  <c r="CZ78" i="3"/>
  <c r="CZ80" i="3"/>
  <c r="CM42" i="3"/>
  <c r="E19" i="3" a="1"/>
  <c r="E19" i="3" s="1"/>
  <c r="CM40" i="3"/>
  <c r="CZ69" i="3"/>
  <c r="CZ85" i="3"/>
  <c r="CZ63" i="3"/>
  <c r="CZ86" i="3"/>
  <c r="CZ58" i="3"/>
  <c r="CZ71" i="3"/>
  <c r="CZ59" i="3"/>
  <c r="E20" i="3" a="1"/>
  <c r="E20" i="3" s="1"/>
  <c r="CZ84" i="3"/>
  <c r="CZ90" i="3"/>
  <c r="CM35" i="3"/>
  <c r="D21" i="3"/>
  <c r="CM37" i="3"/>
  <c r="CZ60" i="3"/>
  <c r="EO25" i="3"/>
  <c r="D18" i="3"/>
  <c r="CZ51" i="3"/>
  <c r="CZ50" i="3"/>
  <c r="CZ52" i="3"/>
  <c r="CZ48" i="3"/>
  <c r="E18" i="3" a="1"/>
  <c r="E18" i="3" s="1"/>
  <c r="O18" i="3" s="1" a="1"/>
  <c r="O18" i="3" s="1"/>
  <c r="CZ45" i="3"/>
  <c r="CZ43" i="3"/>
  <c r="CZ25" i="3"/>
  <c r="CZ26" i="3"/>
  <c r="CM30" i="3"/>
  <c r="E17" i="3" a="1"/>
  <c r="E17" i="3" s="1"/>
  <c r="D17" i="3"/>
  <c r="CZ39" i="3"/>
  <c r="CZ23" i="3"/>
  <c r="CM26" i="3"/>
  <c r="CZ20" i="3"/>
  <c r="CZ27" i="3"/>
  <c r="CZ37" i="3"/>
  <c r="CM28" i="3"/>
  <c r="CM20" i="3"/>
  <c r="CM27" i="3"/>
  <c r="CZ29" i="3"/>
  <c r="CM22" i="3"/>
  <c r="CZ38" i="3"/>
  <c r="CZ31" i="3"/>
  <c r="E16" i="3" a="1"/>
  <c r="E16" i="3" s="1"/>
  <c r="D16" i="3"/>
  <c r="CZ41" i="3"/>
  <c r="CZ33" i="3"/>
  <c r="CZ40" i="3"/>
  <c r="CZ32" i="3"/>
  <c r="CZ28" i="3"/>
  <c r="CZ24" i="3"/>
  <c r="CM31" i="3"/>
  <c r="CM23" i="3"/>
  <c r="CP9" i="3"/>
  <c r="CQ9" i="3" s="1"/>
  <c r="CI14" i="3"/>
  <c r="CM14" i="3" s="1"/>
  <c r="CI11" i="3"/>
  <c r="CM11" i="3" s="1"/>
  <c r="CI12" i="3"/>
  <c r="CM12" i="3" s="1"/>
  <c r="CI13" i="3"/>
  <c r="CM13" i="3" s="1"/>
  <c r="CI5" i="3"/>
  <c r="CM5" i="3" s="1"/>
  <c r="CP4" i="3"/>
  <c r="CQ4" i="3" s="1"/>
  <c r="CH16" i="3"/>
  <c r="CI10" i="3"/>
  <c r="CI4" i="3"/>
  <c r="CM4" i="3" s="1"/>
  <c r="CP14" i="3"/>
  <c r="CI15" i="3"/>
  <c r="CM15" i="3" s="1"/>
  <c r="CP12" i="3"/>
  <c r="CP5" i="3"/>
  <c r="CP11" i="3"/>
  <c r="CQ11" i="3" s="1"/>
  <c r="CI6" i="3"/>
  <c r="CM6" i="3" s="1"/>
  <c r="CI7" i="3"/>
  <c r="CM7" i="3" s="1"/>
  <c r="EO33" i="3"/>
  <c r="EO40" i="3"/>
  <c r="EO32" i="3"/>
  <c r="EO34" i="3"/>
  <c r="EO29" i="3"/>
  <c r="CI8" i="3"/>
  <c r="CM8" i="3" s="1"/>
  <c r="EO26" i="3"/>
  <c r="EO30" i="3"/>
  <c r="EO39" i="3"/>
  <c r="EO41" i="3"/>
  <c r="EO38" i="3"/>
  <c r="EO35" i="3"/>
  <c r="EO43" i="3"/>
  <c r="EO27" i="3"/>
  <c r="CI9" i="3"/>
  <c r="CM9" i="3" s="1"/>
  <c r="EO37" i="3"/>
  <c r="EO44" i="3"/>
  <c r="EO31" i="3"/>
  <c r="EO45" i="3"/>
  <c r="EO36" i="3"/>
  <c r="EO28" i="3"/>
  <c r="CP8" i="3"/>
  <c r="CQ8" i="3" s="1"/>
  <c r="CP10" i="3"/>
  <c r="C8" i="9" s="1"/>
  <c r="CP7" i="3"/>
  <c r="CQ7" i="3" s="1"/>
  <c r="CP6" i="3"/>
  <c r="CP15" i="3"/>
  <c r="GF24" i="3"/>
  <c r="M20" i="10" s="1"/>
  <c r="L20" i="10"/>
  <c r="G29" i="3" l="1"/>
  <c r="H29" i="3"/>
  <c r="Y29" i="3"/>
  <c r="O29" i="3" a="1"/>
  <c r="O29" i="3" s="1"/>
  <c r="L29" i="3"/>
  <c r="AA29" i="3"/>
  <c r="P29" i="3"/>
  <c r="F29" i="3"/>
  <c r="F28" i="3"/>
  <c r="L28" i="3"/>
  <c r="G28" i="3"/>
  <c r="H28" i="3"/>
  <c r="Y28" i="3"/>
  <c r="O28" i="3" a="1"/>
  <c r="O28" i="3" s="1"/>
  <c r="AA28" i="3"/>
  <c r="P28" i="3"/>
  <c r="G26" i="3"/>
  <c r="P26" i="3"/>
  <c r="AA26" i="3"/>
  <c r="L26" i="3"/>
  <c r="F26" i="3"/>
  <c r="O26" i="3" a="1"/>
  <c r="O26" i="3" s="1"/>
  <c r="H26" i="3"/>
  <c r="Y26" i="3"/>
  <c r="H27" i="3"/>
  <c r="Y27" i="3"/>
  <c r="AA27" i="3"/>
  <c r="L27" i="3"/>
  <c r="F27" i="3"/>
  <c r="O27" i="3" a="1"/>
  <c r="O27" i="3" s="1"/>
  <c r="G27" i="3"/>
  <c r="P27" i="3"/>
  <c r="F25" i="3"/>
  <c r="L25" i="3"/>
  <c r="G25" i="3"/>
  <c r="H25" i="3"/>
  <c r="Y25" i="3"/>
  <c r="O25" i="3" a="1"/>
  <c r="O25" i="3" s="1"/>
  <c r="AA25" i="3"/>
  <c r="P25" i="3"/>
  <c r="O24" i="3" a="1"/>
  <c r="O24" i="3" s="1"/>
  <c r="F24" i="3"/>
  <c r="G24" i="3"/>
  <c r="H24" i="3"/>
  <c r="Y24" i="3"/>
  <c r="AA24" i="3"/>
  <c r="P24" i="3"/>
  <c r="L24" i="3"/>
  <c r="F23" i="3"/>
  <c r="L23" i="3"/>
  <c r="G23" i="3"/>
  <c r="H23" i="3"/>
  <c r="Y23" i="3"/>
  <c r="O23" i="3" a="1"/>
  <c r="O23" i="3" s="1"/>
  <c r="AA23" i="3"/>
  <c r="P23" i="3"/>
  <c r="F22" i="3"/>
  <c r="L22" i="3"/>
  <c r="G22" i="3"/>
  <c r="H22" i="3"/>
  <c r="Y22" i="3"/>
  <c r="AA22" i="3"/>
  <c r="P22" i="3"/>
  <c r="O22" i="3" a="1"/>
  <c r="O22" i="3" s="1"/>
  <c r="F20" i="3"/>
  <c r="L20" i="3"/>
  <c r="G20" i="3"/>
  <c r="H20" i="3"/>
  <c r="C34" i="8" s="1"/>
  <c r="Y20" i="3"/>
  <c r="O20" i="3" a="1"/>
  <c r="O20" i="3" s="1"/>
  <c r="D34" i="8" s="1"/>
  <c r="AA20" i="3"/>
  <c r="P20" i="3"/>
  <c r="F21" i="3"/>
  <c r="L21" i="3"/>
  <c r="G21" i="3"/>
  <c r="H21" i="3"/>
  <c r="C35" i="8" s="1"/>
  <c r="Y21" i="3"/>
  <c r="O21" i="3" a="1"/>
  <c r="O21" i="3" s="1"/>
  <c r="D35" i="8" s="1"/>
  <c r="AA21" i="3"/>
  <c r="P21" i="3"/>
  <c r="F19" i="3"/>
  <c r="L19" i="3"/>
  <c r="G19" i="3"/>
  <c r="P19" i="3"/>
  <c r="H19" i="3"/>
  <c r="C33" i="8" s="1"/>
  <c r="Y19" i="3"/>
  <c r="O19" i="3" a="1"/>
  <c r="O19" i="3" s="1"/>
  <c r="AA19" i="3"/>
  <c r="D32" i="8"/>
  <c r="AA16" i="3"/>
  <c r="O16" i="3" a="1"/>
  <c r="O16" i="3" s="1"/>
  <c r="W16" i="3" s="1"/>
  <c r="AA17" i="3"/>
  <c r="O17" i="3" a="1"/>
  <c r="O17" i="3" s="1"/>
  <c r="D31" i="8" s="1"/>
  <c r="F18" i="3"/>
  <c r="L18" i="3"/>
  <c r="AA18" i="3"/>
  <c r="G18" i="3"/>
  <c r="P18" i="3"/>
  <c r="H18" i="3"/>
  <c r="C32" i="8" s="1"/>
  <c r="Y18" i="3"/>
  <c r="EP38" i="3"/>
  <c r="EP36" i="3"/>
  <c r="EP37" i="3"/>
  <c r="EP35" i="3"/>
  <c r="EP34" i="3"/>
  <c r="CM10" i="3"/>
  <c r="CQ10" i="3"/>
  <c r="F16" i="3"/>
  <c r="K16" i="3" s="1" a="1"/>
  <c r="K16" i="3" s="1"/>
  <c r="Y16" i="3"/>
  <c r="G16" i="3"/>
  <c r="L16" i="3"/>
  <c r="P16" i="3"/>
  <c r="H16" i="3"/>
  <c r="C30" i="8" s="1"/>
  <c r="G17" i="3"/>
  <c r="L17" i="3"/>
  <c r="P17" i="3"/>
  <c r="H17" i="3"/>
  <c r="C31" i="8" s="1"/>
  <c r="F17" i="3"/>
  <c r="K17" i="3" s="1" a="1"/>
  <c r="Y17" i="3"/>
  <c r="CR6" i="3"/>
  <c r="CQ6" i="3"/>
  <c r="CR14" i="3"/>
  <c r="CQ14" i="3"/>
  <c r="CR5" i="3"/>
  <c r="CQ5" i="3"/>
  <c r="CR12" i="3"/>
  <c r="CQ12" i="3"/>
  <c r="CR15" i="3"/>
  <c r="CQ15" i="3"/>
  <c r="CR4" i="3"/>
  <c r="EP44" i="3"/>
  <c r="EQ44" i="3"/>
  <c r="EQ41" i="3"/>
  <c r="EQ43" i="3"/>
  <c r="EQ34" i="3"/>
  <c r="EQ40" i="3"/>
  <c r="EQ45" i="3"/>
  <c r="EQ38" i="3"/>
  <c r="EQ37" i="3"/>
  <c r="EQ42" i="3"/>
  <c r="EQ36" i="3"/>
  <c r="EQ35" i="3"/>
  <c r="EQ39" i="3"/>
  <c r="CR10" i="3"/>
  <c r="CR8" i="3"/>
  <c r="CR7" i="3"/>
  <c r="CP13" i="3"/>
  <c r="CR9" i="3"/>
  <c r="CR11" i="3"/>
  <c r="EP25" i="3"/>
  <c r="EP40" i="3"/>
  <c r="EP42" i="3"/>
  <c r="EP45" i="3"/>
  <c r="EP39" i="3"/>
  <c r="EP41" i="3"/>
  <c r="EP43" i="3"/>
  <c r="BM6" i="3" l="1" a="1"/>
  <c r="BM6" i="3" s="1"/>
  <c r="D36" i="8"/>
  <c r="C36" i="8"/>
  <c r="Z28" i="3"/>
  <c r="AB28" i="3" s="1" a="1"/>
  <c r="AB28" i="3" s="1"/>
  <c r="Z29" i="3"/>
  <c r="AB29" i="3" s="1" a="1"/>
  <c r="AB29" i="3" s="1"/>
  <c r="I28" i="3"/>
  <c r="I29" i="3"/>
  <c r="R28" i="3" a="1"/>
  <c r="R28" i="3" s="1"/>
  <c r="U28" i="3" s="1" a="1"/>
  <c r="U28" i="3" s="1"/>
  <c r="V28" i="3" s="1"/>
  <c r="Q28" i="3"/>
  <c r="Q29" i="3"/>
  <c r="R29" i="3" a="1"/>
  <c r="R29" i="3" s="1"/>
  <c r="U29" i="3" s="1" a="1"/>
  <c r="U29" i="3" s="1"/>
  <c r="V29" i="3" s="1"/>
  <c r="I26" i="3"/>
  <c r="I27" i="3"/>
  <c r="Q26" i="3"/>
  <c r="R26" i="3" a="1"/>
  <c r="R26" i="3" s="1"/>
  <c r="U26" i="3" s="1" a="1"/>
  <c r="U26" i="3" s="1"/>
  <c r="V26" i="3" s="1"/>
  <c r="Z27" i="3"/>
  <c r="AB27" i="3" s="1" a="1"/>
  <c r="AB27" i="3" s="1"/>
  <c r="Z26" i="3"/>
  <c r="AB26" i="3" s="1" a="1"/>
  <c r="AB26" i="3" s="1"/>
  <c r="Q27" i="3"/>
  <c r="R27" i="3" a="1"/>
  <c r="R27" i="3" s="1"/>
  <c r="U27" i="3" s="1" a="1"/>
  <c r="U27" i="3" s="1"/>
  <c r="V27" i="3" s="1"/>
  <c r="I24" i="3"/>
  <c r="Q24" i="3"/>
  <c r="I25" i="3"/>
  <c r="Q25" i="3"/>
  <c r="Z24" i="3"/>
  <c r="AB24" i="3" s="1" a="1"/>
  <c r="AB24" i="3" s="1"/>
  <c r="Z25" i="3"/>
  <c r="AB25" i="3" s="1" a="1"/>
  <c r="AB25" i="3" s="1"/>
  <c r="Q22" i="3"/>
  <c r="Z22" i="3"/>
  <c r="AB22" i="3" s="1" a="1"/>
  <c r="AB22" i="3" s="1"/>
  <c r="I23" i="3"/>
  <c r="Q23" i="3"/>
  <c r="I22" i="3"/>
  <c r="D33" i="8"/>
  <c r="Z23" i="3"/>
  <c r="AB23" i="3" s="1" a="1"/>
  <c r="AB23" i="3" s="1"/>
  <c r="I20" i="3"/>
  <c r="I19" i="3"/>
  <c r="I21" i="3"/>
  <c r="Q20" i="3"/>
  <c r="Q21" i="3"/>
  <c r="Z19" i="3"/>
  <c r="AB19" i="3" s="1" a="1"/>
  <c r="AB19" i="3" s="1"/>
  <c r="Z20" i="3"/>
  <c r="AB20" i="3" s="1" a="1"/>
  <c r="AB20" i="3" s="1"/>
  <c r="Z21" i="3"/>
  <c r="AB21" i="3" s="1" a="1"/>
  <c r="AB21" i="3" s="1"/>
  <c r="Q19" i="3"/>
  <c r="R19" i="3" a="1"/>
  <c r="R19" i="3" s="1"/>
  <c r="U19" i="3" s="1" a="1"/>
  <c r="U19" i="3" s="1"/>
  <c r="E33" i="8" s="1"/>
  <c r="EQ33" i="3"/>
  <c r="EQ32" i="3"/>
  <c r="EQ31" i="3"/>
  <c r="D30" i="8"/>
  <c r="K17" i="3"/>
  <c r="EQ30" i="3"/>
  <c r="EQ29" i="3"/>
  <c r="EQ28" i="3"/>
  <c r="EQ27" i="3"/>
  <c r="EQ26" i="3"/>
  <c r="Z17" i="3"/>
  <c r="AB17" i="3" s="1" a="1"/>
  <c r="AB17" i="3" s="1"/>
  <c r="Z16" i="3"/>
  <c r="Q18" i="3"/>
  <c r="I18" i="3"/>
  <c r="Z18" i="3"/>
  <c r="BM5" i="3" a="1"/>
  <c r="BM5" i="3" s="1"/>
  <c r="FD25" i="3" a="1"/>
  <c r="FD25" i="3" s="1"/>
  <c r="I16" i="3"/>
  <c r="J16" i="3" s="1" a="1"/>
  <c r="J16" i="3" s="1"/>
  <c r="I17" i="3"/>
  <c r="CQ13" i="3"/>
  <c r="Q17" i="3"/>
  <c r="Q16" i="3"/>
  <c r="W17" i="3" s="1"/>
  <c r="EP29" i="3"/>
  <c r="EP32" i="3"/>
  <c r="EP33" i="3"/>
  <c r="CR13" i="3"/>
  <c r="EP31" i="3"/>
  <c r="K18" i="3" a="1"/>
  <c r="K22" i="3" a="1"/>
  <c r="K20" i="3" a="1"/>
  <c r="K19" i="3" a="1"/>
  <c r="K21" i="3" a="1"/>
  <c r="K24" i="3" a="1"/>
  <c r="J17" i="3" a="1"/>
  <c r="C62" i="8" l="1" a="1"/>
  <c r="C62" i="8" s="1"/>
  <c r="DC175" i="3"/>
  <c r="DC177" i="3"/>
  <c r="DC171" i="3"/>
  <c r="DC185" i="3"/>
  <c r="AD29" i="3"/>
  <c r="DC187" i="3"/>
  <c r="DC173" i="3"/>
  <c r="DC169" i="3"/>
  <c r="DC183" i="3"/>
  <c r="S28" i="3"/>
  <c r="T28" i="3" a="1"/>
  <c r="T28" i="3" s="1"/>
  <c r="DC181" i="3"/>
  <c r="DC167" i="3"/>
  <c r="DC168" i="3"/>
  <c r="AD28" i="3"/>
  <c r="DC186" i="3"/>
  <c r="DC172" i="3"/>
  <c r="DC165" i="3"/>
  <c r="DC179" i="3"/>
  <c r="DC178" i="3"/>
  <c r="DC170" i="3"/>
  <c r="DC184" i="3"/>
  <c r="S29" i="3"/>
  <c r="T29" i="3" a="1"/>
  <c r="T29" i="3" s="1"/>
  <c r="DC147" i="3"/>
  <c r="DC159" i="3"/>
  <c r="DC158" i="3"/>
  <c r="S27" i="3"/>
  <c r="T27" i="3" a="1"/>
  <c r="T27" i="3" s="1"/>
  <c r="DC145" i="3"/>
  <c r="DC157" i="3"/>
  <c r="DC156" i="3"/>
  <c r="DC144" i="3"/>
  <c r="DC161" i="3"/>
  <c r="DC149" i="3"/>
  <c r="DC155" i="3"/>
  <c r="DC143" i="3"/>
  <c r="AD26" i="3"/>
  <c r="DC141" i="3"/>
  <c r="DC153" i="3"/>
  <c r="AD27" i="3"/>
  <c r="DC163" i="3"/>
  <c r="DC151" i="3"/>
  <c r="S26" i="3"/>
  <c r="T26" i="3" a="1"/>
  <c r="T26" i="3" s="1"/>
  <c r="K24" i="3"/>
  <c r="DC136" i="3"/>
  <c r="DC125" i="3"/>
  <c r="DC135" i="3"/>
  <c r="DC124" i="3"/>
  <c r="DC137" i="3"/>
  <c r="DC117" i="3"/>
  <c r="DC127" i="3"/>
  <c r="DC133" i="3"/>
  <c r="DC123" i="3"/>
  <c r="AD24" i="3"/>
  <c r="DC138" i="3"/>
  <c r="DC131" i="3"/>
  <c r="DC121" i="3"/>
  <c r="AD25" i="3"/>
  <c r="DC126" i="3"/>
  <c r="DC139" i="3"/>
  <c r="DC129" i="3"/>
  <c r="DC119" i="3"/>
  <c r="K22" i="3"/>
  <c r="DC113" i="3"/>
  <c r="DC97" i="3"/>
  <c r="DC105" i="3"/>
  <c r="DC96" i="3"/>
  <c r="AD22" i="3"/>
  <c r="DC98" i="3"/>
  <c r="DC114" i="3"/>
  <c r="DC103" i="3"/>
  <c r="DC95" i="3"/>
  <c r="DC111" i="3"/>
  <c r="DC101" i="3"/>
  <c r="DC93" i="3"/>
  <c r="DC109" i="3"/>
  <c r="AD23" i="3"/>
  <c r="DC107" i="3"/>
  <c r="DC115" i="3"/>
  <c r="DC99" i="3"/>
  <c r="BE6" i="3"/>
  <c r="K21" i="3"/>
  <c r="K19" i="3"/>
  <c r="K20" i="3"/>
  <c r="V19" i="3"/>
  <c r="S19" i="3"/>
  <c r="T19" i="3" a="1"/>
  <c r="T19" i="3" s="1"/>
  <c r="AD19" i="3"/>
  <c r="BP6" i="3"/>
  <c r="DC65" i="3"/>
  <c r="DC59" i="3"/>
  <c r="DC77" i="3"/>
  <c r="DC71" i="3"/>
  <c r="DC89" i="3"/>
  <c r="DC83" i="3"/>
  <c r="DC63" i="3"/>
  <c r="DC81" i="3"/>
  <c r="DC87" i="3"/>
  <c r="DC75" i="3"/>
  <c r="DC57" i="3"/>
  <c r="DC69" i="3"/>
  <c r="AD20" i="3"/>
  <c r="DC66" i="3"/>
  <c r="AD21" i="3"/>
  <c r="DC67" i="3"/>
  <c r="DC79" i="3"/>
  <c r="DC73" i="3"/>
  <c r="DC91" i="3"/>
  <c r="DC85" i="3"/>
  <c r="DC61" i="3"/>
  <c r="W18" i="3"/>
  <c r="W19" i="3" s="1"/>
  <c r="W20" i="3" s="1"/>
  <c r="W21" i="3" s="1"/>
  <c r="W22" i="3" s="1"/>
  <c r="W23" i="3" s="1"/>
  <c r="K18" i="3"/>
  <c r="BM7" i="3"/>
  <c r="EY25" i="3" s="1" a="1"/>
  <c r="EY25" i="3" s="1"/>
  <c r="J17" i="3"/>
  <c r="BE5" i="3"/>
  <c r="K28" i="3" a="1"/>
  <c r="K23" i="3" a="1"/>
  <c r="K25" i="3" a="1"/>
  <c r="J18" i="3" a="1"/>
  <c r="K27" i="3" a="1"/>
  <c r="K26" i="3" a="1"/>
  <c r="M29" i="3" a="1"/>
  <c r="K29" i="3" a="1"/>
  <c r="K29" i="3" l="1"/>
  <c r="AM11" i="3" s="1" a="1"/>
  <c r="AM11" i="3" s="1"/>
  <c r="C61" i="8" s="1" a="1"/>
  <c r="C61" i="8" s="1"/>
  <c r="M29" i="3"/>
  <c r="K28" i="3"/>
  <c r="K27" i="3"/>
  <c r="K26" i="3"/>
  <c r="K25" i="3"/>
  <c r="K23" i="3"/>
  <c r="W24" i="3"/>
  <c r="W25" i="3" s="1"/>
  <c r="AQ8" i="3"/>
  <c r="G30" i="5" s="1" a="1"/>
  <c r="G30" i="5" s="1"/>
  <c r="AP8" i="3"/>
  <c r="BF6" i="3"/>
  <c r="AH16" i="3"/>
  <c r="AM6" i="3" a="1"/>
  <c r="AM6" i="3" s="1"/>
  <c r="C56" i="8" s="1" a="1"/>
  <c r="C56" i="8" s="1"/>
  <c r="J18" i="3"/>
  <c r="FE25" i="3" a="1"/>
  <c r="FE25" i="3" s="1"/>
  <c r="EU25" i="3" a="1"/>
  <c r="EU25" i="3" s="1"/>
  <c r="DC21" i="3"/>
  <c r="AD17" i="3"/>
  <c r="J19" i="3" a="1"/>
  <c r="M28" i="3" a="1"/>
  <c r="AM10" i="3" l="1" a="1"/>
  <c r="AM10" i="3" s="1"/>
  <c r="C60" i="8" s="1" a="1"/>
  <c r="C60" i="8" s="1"/>
  <c r="AM8" i="3" a="1"/>
  <c r="AM8" i="3" s="1"/>
  <c r="C58" i="8" s="1" a="1"/>
  <c r="C58" i="8" s="1"/>
  <c r="AM9" i="3" a="1"/>
  <c r="AM9" i="3" s="1"/>
  <c r="C59" i="8" s="1" a="1"/>
  <c r="C59" i="8" s="1"/>
  <c r="M28" i="3"/>
  <c r="W26" i="3"/>
  <c r="W27" i="3" s="1"/>
  <c r="W28" i="3" s="1"/>
  <c r="W29" i="3" s="1"/>
  <c r="BO6" i="3" s="1" a="1"/>
  <c r="BO6" i="3" s="1"/>
  <c r="J19" i="3"/>
  <c r="R20" i="3" a="1"/>
  <c r="R20" i="3" s="1"/>
  <c r="U20" i="3" s="1" a="1"/>
  <c r="U20" i="3" s="1"/>
  <c r="E34" i="8" s="1"/>
  <c r="AM7" i="3" a="1"/>
  <c r="AM7" i="3" s="1"/>
  <c r="C57" i="8" s="1" a="1"/>
  <c r="C57" i="8" s="1"/>
  <c r="M27" i="3" a="1"/>
  <c r="J20" i="3" a="1"/>
  <c r="M27" i="3" l="1"/>
  <c r="J20" i="3"/>
  <c r="R21" i="3" a="1"/>
  <c r="R21" i="3" s="1"/>
  <c r="U21" i="3" s="1" a="1"/>
  <c r="U21" i="3" s="1"/>
  <c r="V20" i="3"/>
  <c r="T20" i="3" a="1"/>
  <c r="T20" i="3" s="1"/>
  <c r="S20" i="3"/>
  <c r="DC51" i="3"/>
  <c r="M26" i="3" a="1"/>
  <c r="J21" i="3" a="1"/>
  <c r="M26" i="3" l="1"/>
  <c r="J21" i="3"/>
  <c r="V21" i="3"/>
  <c r="E35" i="8"/>
  <c r="T21" i="3" a="1"/>
  <c r="T21" i="3" s="1"/>
  <c r="R22" i="3" a="1"/>
  <c r="R22" i="3" s="1"/>
  <c r="U22" i="3" s="1" a="1"/>
  <c r="U22" i="3" s="1"/>
  <c r="S21" i="3"/>
  <c r="AP9" i="3"/>
  <c r="AQ9" i="3"/>
  <c r="ER27" i="3"/>
  <c r="AM5" i="3" a="1"/>
  <c r="AM5" i="3" s="1"/>
  <c r="C55" i="8" s="1" a="1"/>
  <c r="C55" i="8" s="1"/>
  <c r="J22" i="3" a="1"/>
  <c r="M25" i="3" a="1"/>
  <c r="M25" i="3" l="1"/>
  <c r="J22" i="3"/>
  <c r="V22" i="3"/>
  <c r="AQ10" i="3"/>
  <c r="AP10" i="3"/>
  <c r="G31" i="5" a="1"/>
  <c r="G31" i="5" s="1"/>
  <c r="E59" i="8" a="1"/>
  <c r="E59" i="8" s="1"/>
  <c r="S22" i="3"/>
  <c r="T22" i="3" a="1"/>
  <c r="T22" i="3" s="1"/>
  <c r="ER26" i="3"/>
  <c r="BO5" i="3" a="1"/>
  <c r="BO5" i="3" s="1"/>
  <c r="J23" i="3" a="1"/>
  <c r="M24" i="3" a="1"/>
  <c r="J23" i="3" l="1"/>
  <c r="M24" i="3"/>
  <c r="AQ11" i="3"/>
  <c r="AP11" i="3"/>
  <c r="G32" i="5" a="1"/>
  <c r="G32" i="5" s="1"/>
  <c r="E60" i="8" a="1"/>
  <c r="E60" i="8" s="1"/>
  <c r="ER28" i="3"/>
  <c r="ER29" i="3"/>
  <c r="ER30" i="3"/>
  <c r="ER33" i="3"/>
  <c r="M23" i="3" a="1"/>
  <c r="J24" i="3" a="1"/>
  <c r="J24" i="3" l="1"/>
  <c r="M23" i="3"/>
  <c r="AY6" i="3" s="1"/>
  <c r="AZ6" i="3" s="1" a="1"/>
  <c r="AZ6" i="3" s="1"/>
  <c r="BA6" i="3" s="1"/>
  <c r="G33" i="5" a="1"/>
  <c r="G33" i="5" s="1"/>
  <c r="E61" i="8" a="1"/>
  <c r="E61" i="8" s="1"/>
  <c r="ER31" i="3"/>
  <c r="ES31" i="3" s="1" a="1"/>
  <c r="ES31" i="3" s="1"/>
  <c r="ES33" i="3" a="1"/>
  <c r="ES33" i="3" s="1"/>
  <c r="ER32" i="3"/>
  <c r="ES32" i="3" s="1" a="1"/>
  <c r="ES32" i="3" s="1"/>
  <c r="ES28" i="3" a="1"/>
  <c r="ES28" i="3" s="1"/>
  <c r="ES26" i="3" a="1"/>
  <c r="ES26" i="3" s="1"/>
  <c r="ES29" i="3" a="1"/>
  <c r="ES29" i="3" s="1"/>
  <c r="ES27" i="3" a="1"/>
  <c r="ES27" i="3" s="1"/>
  <c r="ES25" i="3" a="1"/>
  <c r="ES25" i="3" s="1"/>
  <c r="ES30" i="3" a="1"/>
  <c r="ES30" i="3" s="1"/>
  <c r="ER34" i="3"/>
  <c r="ES34" i="3" s="1" a="1"/>
  <c r="ES34" i="3" s="1"/>
  <c r="M22" i="3" a="1"/>
  <c r="J25" i="3" a="1"/>
  <c r="BB6" i="3" l="1"/>
  <c r="J25" i="3"/>
  <c r="M22" i="3"/>
  <c r="ER35" i="3"/>
  <c r="ES35" i="3" s="1" a="1"/>
  <c r="ES35" i="3" s="1"/>
  <c r="J26" i="3" a="1"/>
  <c r="M21" i="3" a="1"/>
  <c r="J26" i="3" l="1"/>
  <c r="M21" i="3"/>
  <c r="ER36" i="3"/>
  <c r="ES36" i="3" s="1" a="1"/>
  <c r="ES36" i="3" s="1"/>
  <c r="J27" i="3" a="1"/>
  <c r="M20" i="3" a="1"/>
  <c r="J27" i="3" l="1"/>
  <c r="M20" i="3"/>
  <c r="ER37" i="3"/>
  <c r="ES37" i="3" s="1" a="1"/>
  <c r="ES37" i="3" s="1"/>
  <c r="J28" i="3" a="1"/>
  <c r="M19" i="3" a="1"/>
  <c r="J28" i="3" l="1"/>
  <c r="M19" i="3"/>
  <c r="ER38" i="3"/>
  <c r="ES38" i="3" s="1" a="1"/>
  <c r="ES38" i="3" s="1"/>
  <c r="J29" i="3" a="1"/>
  <c r="J29" i="3" l="1"/>
  <c r="AW6" i="3" s="1" a="1"/>
  <c r="AW6" i="3" s="1"/>
  <c r="ER39" i="3"/>
  <c r="ES39" i="3" s="1" a="1"/>
  <c r="ES39" i="3" s="1"/>
  <c r="EP30" i="3"/>
  <c r="EP28" i="3"/>
  <c r="EP27" i="3"/>
  <c r="AW5" i="3" l="1" a="1"/>
  <c r="AW5" i="3" s="1"/>
  <c r="AX5" i="3" s="1"/>
  <c r="AX6" i="3" s="1"/>
  <c r="ER40" i="3"/>
  <c r="ES40" i="3" s="1" a="1"/>
  <c r="ES40" i="3" s="1"/>
  <c r="EP26" i="3"/>
  <c r="ER41" i="3" l="1"/>
  <c r="ES41" i="3" s="1" a="1"/>
  <c r="ES41" i="3" s="1"/>
  <c r="ER42" i="3" l="1"/>
  <c r="ES42" i="3" s="1" a="1"/>
  <c r="ES42" i="3" s="1"/>
  <c r="ER43" i="3" l="1"/>
  <c r="ES43" i="3" s="1" a="1"/>
  <c r="ES43" i="3" s="1"/>
  <c r="M18" i="3" a="1"/>
  <c r="M18" i="3" l="1"/>
  <c r="ER44" i="3"/>
  <c r="ES44" i="3" s="1" a="1"/>
  <c r="ES44" i="3" s="1"/>
  <c r="ER45" i="3"/>
  <c r="ES45" i="3" s="1" a="1"/>
  <c r="ES45" i="3" s="1"/>
  <c r="AB18" i="3" l="1" a="1"/>
  <c r="AB18" i="3" s="1"/>
  <c r="DC150" i="3" l="1"/>
  <c r="DC182" i="3"/>
  <c r="DC166" i="3"/>
  <c r="DC176" i="3"/>
  <c r="DC134" i="3"/>
  <c r="DC162" i="3"/>
  <c r="DC142" i="3"/>
  <c r="DC154" i="3"/>
  <c r="DC106" i="3"/>
  <c r="DC122" i="3"/>
  <c r="DC72" i="3"/>
  <c r="DC112" i="3"/>
  <c r="DC102" i="3"/>
  <c r="DC94" i="3"/>
  <c r="DC78" i="3"/>
  <c r="DC58" i="3"/>
  <c r="DC64" i="3"/>
  <c r="DC82" i="3"/>
  <c r="DC88" i="3"/>
  <c r="DC54" i="3"/>
  <c r="DC22" i="3"/>
  <c r="AD18" i="3"/>
  <c r="DC46" i="3"/>
  <c r="DC49" i="3"/>
  <c r="AX7" i="3" a="1"/>
  <c r="AX7" i="3" s="1"/>
  <c r="FY7" i="3" l="1" a="1"/>
  <c r="FY7" i="3" s="1"/>
  <c r="FZ7" i="3" a="1"/>
  <c r="FZ7" i="3" s="1"/>
  <c r="C17" i="9" l="1"/>
  <c r="B7" i="11"/>
  <c r="C11" i="8"/>
  <c r="B17" i="11" l="1"/>
  <c r="CW12" i="3" l="1"/>
  <c r="CY12" i="3" s="1"/>
  <c r="CZ12" i="3" s="1"/>
  <c r="CW11" i="3"/>
  <c r="CY11" i="3" s="1"/>
  <c r="CZ11" i="3" s="1"/>
  <c r="CW7" i="3"/>
  <c r="CY7" i="3" s="1"/>
  <c r="CZ7" i="3" s="1"/>
  <c r="CW5" i="3"/>
  <c r="CY5" i="3" s="1"/>
  <c r="CZ5" i="3" s="1"/>
  <c r="CW4" i="3" l="1"/>
  <c r="CY4" i="3" s="1"/>
  <c r="CV4" i="3" s="1"/>
  <c r="CW13" i="3"/>
  <c r="CY13" i="3" s="1"/>
  <c r="CV13" i="3" s="1"/>
  <c r="CW8" i="3"/>
  <c r="CY8" i="3" s="1"/>
  <c r="M17" i="3" a="1"/>
  <c r="M17" i="3" l="1"/>
  <c r="CZ13" i="3"/>
  <c r="CV8" i="3"/>
  <c r="CZ8" i="3"/>
  <c r="CU4" i="3"/>
  <c r="CE20" i="3" a="1"/>
  <c r="CE20" i="3" s="1"/>
  <c r="CF20" i="3" s="1"/>
  <c r="CG20" i="3" s="1" a="1"/>
  <c r="CG20" i="3" s="1"/>
  <c r="CH20" i="3" s="1"/>
  <c r="CU13" i="3"/>
  <c r="CE29" i="3" a="1"/>
  <c r="CE29" i="3" s="1"/>
  <c r="CF29" i="3" s="1"/>
  <c r="CG29" i="3" s="1" a="1"/>
  <c r="CG29" i="3" s="1"/>
  <c r="CH29" i="3" s="1"/>
  <c r="CZ4" i="3"/>
  <c r="M16" i="3" a="1"/>
  <c r="M16" i="3" l="1"/>
  <c r="AB16" i="3" s="1" a="1"/>
  <c r="AB16" i="3" s="1"/>
  <c r="CU8" i="3"/>
  <c r="CE24" i="3" a="1"/>
  <c r="CE24" i="3" s="1"/>
  <c r="CF24" i="3" s="1"/>
  <c r="CG24" i="3" s="1" a="1"/>
  <c r="CG24" i="3" s="1"/>
  <c r="CH24" i="3" s="1"/>
  <c r="CI20" i="3"/>
  <c r="CI29" i="3"/>
  <c r="DC180" i="3" l="1"/>
  <c r="DC164" i="3"/>
  <c r="DC148" i="3"/>
  <c r="DC174" i="3"/>
  <c r="DC160" i="3"/>
  <c r="DC146" i="3"/>
  <c r="DC132" i="3"/>
  <c r="DC118" i="3"/>
  <c r="DC152" i="3"/>
  <c r="DC140" i="3"/>
  <c r="DC128" i="3"/>
  <c r="DC104" i="3"/>
  <c r="DC116" i="3"/>
  <c r="DC120" i="3"/>
  <c r="DC130" i="3"/>
  <c r="DC90" i="3"/>
  <c r="DC110" i="3"/>
  <c r="DC70" i="3"/>
  <c r="DC100" i="3"/>
  <c r="DC108" i="3"/>
  <c r="DC92" i="3"/>
  <c r="DC84" i="3"/>
  <c r="DC60" i="3"/>
  <c r="DC76" i="3"/>
  <c r="DC56" i="3"/>
  <c r="DC86" i="3"/>
  <c r="DC80" i="3"/>
  <c r="DC68" i="3"/>
  <c r="DC62" i="3"/>
  <c r="DC74" i="3"/>
  <c r="DC53" i="3"/>
  <c r="DC47" i="3"/>
  <c r="DC55" i="3"/>
  <c r="DC45" i="3"/>
  <c r="DC30" i="3"/>
  <c r="DC50" i="3"/>
  <c r="DC44" i="3"/>
  <c r="AC16" i="3" a="1"/>
  <c r="AC16" i="3" s="1"/>
  <c r="DC48" i="3"/>
  <c r="DC52" i="3"/>
  <c r="AD16" i="3"/>
  <c r="DC20" i="3"/>
  <c r="DC32" i="3"/>
  <c r="AY5" i="3"/>
  <c r="AZ5" i="3" s="1" a="1"/>
  <c r="AZ5" i="3" s="1"/>
  <c r="BA5" i="3" s="1"/>
  <c r="BB5" i="3"/>
  <c r="CI24" i="3"/>
  <c r="CV5" i="3"/>
  <c r="CW6" i="3"/>
  <c r="CY6" i="3" s="1"/>
  <c r="CV7" i="3"/>
  <c r="CW9" i="3"/>
  <c r="CY9" i="3" s="1"/>
  <c r="CV9" i="3" s="1"/>
  <c r="CW10" i="3"/>
  <c r="CV11" i="3"/>
  <c r="CV12" i="3"/>
  <c r="CW14" i="3"/>
  <c r="CY14" i="3" s="1"/>
  <c r="CV14" i="3" s="1"/>
  <c r="CW15" i="3"/>
  <c r="CY15" i="3" s="1"/>
  <c r="AC17" i="3" a="1"/>
  <c r="DD174" i="3" l="1"/>
  <c r="DD146" i="3"/>
  <c r="DD160" i="3"/>
  <c r="AC17" i="3"/>
  <c r="DD20" i="3"/>
  <c r="DC34" i="3"/>
  <c r="CY10" i="3"/>
  <c r="CV10" i="3" s="1"/>
  <c r="C9" i="9"/>
  <c r="CE25" i="3" a="1"/>
  <c r="CE25" i="3" s="1"/>
  <c r="CF25" i="3" s="1"/>
  <c r="CG25" i="3" s="1" a="1"/>
  <c r="CG25" i="3" s="1"/>
  <c r="CH25" i="3" s="1"/>
  <c r="CI25" i="3" s="1"/>
  <c r="CE28" i="3" a="1"/>
  <c r="CE28" i="3" s="1"/>
  <c r="CF28" i="3" s="1"/>
  <c r="CG28" i="3" s="1" a="1"/>
  <c r="CG28" i="3" s="1"/>
  <c r="CH28" i="3" s="1"/>
  <c r="CZ9" i="3"/>
  <c r="CU11" i="3"/>
  <c r="CU12" i="3"/>
  <c r="CE27" i="3" a="1"/>
  <c r="CE27" i="3" s="1"/>
  <c r="CF27" i="3" s="1"/>
  <c r="CG27" i="3" s="1" a="1"/>
  <c r="CG27" i="3" s="1"/>
  <c r="CH27" i="3" s="1"/>
  <c r="CU9" i="3"/>
  <c r="CV15" i="3"/>
  <c r="CZ15" i="3"/>
  <c r="CZ14" i="3"/>
  <c r="CE21" i="3" a="1"/>
  <c r="CE21" i="3" s="1"/>
  <c r="CF21" i="3" s="1"/>
  <c r="CG21" i="3" s="1" a="1"/>
  <c r="CG21" i="3" s="1"/>
  <c r="CH21" i="3" s="1"/>
  <c r="CE23" i="3" a="1"/>
  <c r="CE23" i="3" s="1"/>
  <c r="CF23" i="3" s="1"/>
  <c r="CG23" i="3" s="1" a="1"/>
  <c r="CG23" i="3" s="1"/>
  <c r="CH23" i="3" s="1"/>
  <c r="CU7" i="3"/>
  <c r="CU5" i="3"/>
  <c r="CU14" i="3"/>
  <c r="CE30" i="3" a="1"/>
  <c r="CE30" i="3" s="1"/>
  <c r="CF30" i="3" s="1"/>
  <c r="CG30" i="3" s="1" a="1"/>
  <c r="CG30" i="3" s="1"/>
  <c r="CH30" i="3" s="1"/>
  <c r="CV6" i="3"/>
  <c r="CZ6" i="3"/>
  <c r="AC18" i="3" a="1"/>
  <c r="DD175" i="3" l="1"/>
  <c r="DD147" i="3"/>
  <c r="DD161" i="3"/>
  <c r="DD77" i="3"/>
  <c r="AC18" i="3"/>
  <c r="DD21" i="3"/>
  <c r="DC33" i="3"/>
  <c r="DC31" i="3"/>
  <c r="DC38" i="3"/>
  <c r="DC36" i="3"/>
  <c r="DC37" i="3"/>
  <c r="DC35" i="3"/>
  <c r="DC40" i="3"/>
  <c r="DC41" i="3"/>
  <c r="DC39" i="3"/>
  <c r="DC42" i="3"/>
  <c r="DC43" i="3"/>
  <c r="DC28" i="3"/>
  <c r="DC29" i="3"/>
  <c r="DC26" i="3"/>
  <c r="DC27" i="3"/>
  <c r="DC23" i="3"/>
  <c r="BP5" i="3"/>
  <c r="DC24" i="3"/>
  <c r="DC25" i="3"/>
  <c r="CU10" i="3"/>
  <c r="CZ10" i="3"/>
  <c r="CE26" i="3" a="1"/>
  <c r="CE26" i="3" s="1"/>
  <c r="CF26" i="3" s="1"/>
  <c r="CG26" i="3" s="1" a="1"/>
  <c r="CG26" i="3" s="1"/>
  <c r="CH26" i="3" s="1"/>
  <c r="CI30" i="3"/>
  <c r="CI28" i="3"/>
  <c r="CI27" i="3"/>
  <c r="CI21" i="3"/>
  <c r="CI23" i="3"/>
  <c r="CU15" i="3"/>
  <c r="CE31" i="3" a="1"/>
  <c r="CE31" i="3" s="1"/>
  <c r="CF31" i="3" s="1"/>
  <c r="CG31" i="3" s="1" a="1"/>
  <c r="CG31" i="3" s="1"/>
  <c r="CH31" i="3" s="1"/>
  <c r="CU6" i="3"/>
  <c r="CE22" i="3" a="1"/>
  <c r="CE22" i="3" s="1"/>
  <c r="CF22" i="3" s="1"/>
  <c r="CG22" i="3" s="1" a="1"/>
  <c r="CG22" i="3" s="1"/>
  <c r="CH22" i="3" s="1"/>
  <c r="AC19" i="3" a="1"/>
  <c r="DF146" i="3" l="1" a="1"/>
  <c r="DF146" i="3" s="1"/>
  <c r="DF147" i="3" a="1"/>
  <c r="DF147" i="3" s="1"/>
  <c r="DF161" i="3" a="1"/>
  <c r="DF161" i="3" s="1"/>
  <c r="DF174" i="3" a="1"/>
  <c r="DF174" i="3" s="1"/>
  <c r="DF175" i="3" a="1"/>
  <c r="DF175" i="3" s="1"/>
  <c r="DD176" i="3"/>
  <c r="DD148" i="3"/>
  <c r="DF148" i="3" s="1" a="1"/>
  <c r="DF148" i="3" s="1"/>
  <c r="DD162" i="3"/>
  <c r="DF162" i="3" s="1" a="1"/>
  <c r="DF162" i="3" s="1"/>
  <c r="DF160" i="3" a="1"/>
  <c r="DF160" i="3" s="1"/>
  <c r="DD118" i="3"/>
  <c r="DF118" i="3" s="1" a="1"/>
  <c r="DF118" i="3" s="1"/>
  <c r="DD92" i="3"/>
  <c r="DF92" i="3" s="1" a="1"/>
  <c r="DF92" i="3" s="1"/>
  <c r="AC19" i="3"/>
  <c r="DF77" i="3" a="1"/>
  <c r="DF77" i="3" s="1"/>
  <c r="DD78" i="3"/>
  <c r="DF78" i="3" s="1" a="1"/>
  <c r="DF78" i="3" s="1"/>
  <c r="DD62" i="3"/>
  <c r="DF62" i="3" s="1" a="1"/>
  <c r="DF62" i="3" s="1"/>
  <c r="DD76" i="3"/>
  <c r="EV26" i="3"/>
  <c r="DD22" i="3"/>
  <c r="DF22" i="3" s="1" a="1"/>
  <c r="DF22" i="3" s="1"/>
  <c r="CI26" i="3"/>
  <c r="DF20" i="3" a="1"/>
  <c r="DF20" i="3" s="1"/>
  <c r="DF21" i="3" a="1"/>
  <c r="DF21" i="3" s="1"/>
  <c r="BF5" i="3"/>
  <c r="BZ38" i="3" s="1"/>
  <c r="EX25" i="3" a="1"/>
  <c r="EX25" i="3" s="1"/>
  <c r="EM19" i="3" a="1"/>
  <c r="EM19" i="3" s="1"/>
  <c r="EM21" i="3" s="1"/>
  <c r="CI31" i="3"/>
  <c r="CI22" i="3"/>
  <c r="BZ41" i="3" a="1"/>
  <c r="BZ41" i="3" s="1"/>
  <c r="BZ42" i="3" a="1"/>
  <c r="BZ42" i="3" s="1"/>
  <c r="AC20" i="3" a="1"/>
  <c r="DF176" i="3" l="1" a="1"/>
  <c r="DF176" i="3" s="1"/>
  <c r="DD177" i="3"/>
  <c r="DD135" i="3"/>
  <c r="DF135" i="3" s="1" a="1"/>
  <c r="DF135" i="3" s="1"/>
  <c r="DD149" i="3"/>
  <c r="DF149" i="3" s="1" a="1"/>
  <c r="DF149" i="3" s="1"/>
  <c r="DD65" i="3"/>
  <c r="DF65" i="3" s="1" a="1"/>
  <c r="DF65" i="3" s="1"/>
  <c r="DD163" i="3"/>
  <c r="DF163" i="3" s="1" a="1"/>
  <c r="DF163" i="3" s="1"/>
  <c r="DD119" i="3"/>
  <c r="DF119" i="3" s="1" a="1"/>
  <c r="DF119" i="3" s="1"/>
  <c r="AC20" i="3"/>
  <c r="DD93" i="3"/>
  <c r="DF93" i="3" s="1" a="1"/>
  <c r="DF93" i="3" s="1"/>
  <c r="DD79" i="3"/>
  <c r="DF79" i="3" s="1" a="1"/>
  <c r="DF79" i="3" s="1"/>
  <c r="DD63" i="3"/>
  <c r="DF63" i="3" s="1" a="1"/>
  <c r="DF63" i="3" s="1"/>
  <c r="DF76" i="3" a="1"/>
  <c r="DF76" i="3" s="1"/>
  <c r="DD23" i="3"/>
  <c r="DF23" i="3" s="1" a="1"/>
  <c r="DF23" i="3" s="1"/>
  <c r="FZ17" i="3"/>
  <c r="B25" i="11" s="1"/>
  <c r="D40" i="9"/>
  <c r="FY17" i="3"/>
  <c r="AC21" i="3" a="1"/>
  <c r="DF177" i="3" l="1" a="1"/>
  <c r="DF177" i="3" s="1"/>
  <c r="DD164" i="3"/>
  <c r="DD178" i="3"/>
  <c r="DD136" i="3"/>
  <c r="DF136" i="3" s="1" a="1"/>
  <c r="DF136" i="3" s="1"/>
  <c r="DD150" i="3"/>
  <c r="DF150" i="3" s="1" a="1"/>
  <c r="DF150" i="3" s="1"/>
  <c r="DD66" i="3"/>
  <c r="DF66" i="3" s="1" a="1"/>
  <c r="DF66" i="3" s="1"/>
  <c r="DD80" i="3"/>
  <c r="DF80" i="3" s="1" a="1"/>
  <c r="DF80" i="3" s="1"/>
  <c r="AC21" i="3"/>
  <c r="DD120" i="3"/>
  <c r="DF120" i="3" s="1" a="1"/>
  <c r="DF120" i="3" s="1"/>
  <c r="DD108" i="3"/>
  <c r="DF108" i="3" s="1" a="1"/>
  <c r="DF108" i="3" s="1"/>
  <c r="DD132" i="3"/>
  <c r="DF132" i="3" s="1" a="1"/>
  <c r="DF132" i="3" s="1"/>
  <c r="DD134" i="3"/>
  <c r="DD104" i="3"/>
  <c r="DF104" i="3" s="1" a="1"/>
  <c r="DF104" i="3" s="1"/>
  <c r="DD64" i="3"/>
  <c r="DF64" i="3" s="1" a="1"/>
  <c r="DF64" i="3" s="1"/>
  <c r="DD94" i="3"/>
  <c r="DF94" i="3" s="1" a="1"/>
  <c r="DF94" i="3" s="1"/>
  <c r="DD24" i="3"/>
  <c r="DF24" i="3" s="1" a="1"/>
  <c r="DF24" i="3" s="1"/>
  <c r="AC22" i="3" a="1"/>
  <c r="DD105" i="3" l="1"/>
  <c r="DF105" i="3" s="1" a="1"/>
  <c r="DF105" i="3" s="1"/>
  <c r="AC22" i="3"/>
  <c r="DF178" i="3" a="1"/>
  <c r="DF178" i="3" s="1"/>
  <c r="DD165" i="3"/>
  <c r="DD137" i="3"/>
  <c r="DF137" i="3" s="1" a="1"/>
  <c r="DF137" i="3" s="1"/>
  <c r="DD67" i="3"/>
  <c r="DF67" i="3" s="1" a="1"/>
  <c r="DF67" i="3" s="1"/>
  <c r="DD151" i="3"/>
  <c r="DF151" i="3" s="1" a="1"/>
  <c r="DF151" i="3" s="1"/>
  <c r="DD179" i="3"/>
  <c r="DD81" i="3"/>
  <c r="DF81" i="3" s="1" a="1"/>
  <c r="DF81" i="3" s="1"/>
  <c r="DD95" i="3"/>
  <c r="DF95" i="3" s="1" a="1"/>
  <c r="DF95" i="3" s="1"/>
  <c r="DF164" i="3" a="1"/>
  <c r="DF164" i="3" s="1"/>
  <c r="DD109" i="3"/>
  <c r="DF109" i="3" s="1" a="1"/>
  <c r="DF109" i="3" s="1"/>
  <c r="DD121" i="3"/>
  <c r="DF121" i="3" s="1" a="1"/>
  <c r="DF121" i="3" s="1"/>
  <c r="DD133" i="3"/>
  <c r="DF133" i="3" s="1" a="1"/>
  <c r="DF133" i="3" s="1"/>
  <c r="DF134" i="3" a="1"/>
  <c r="DF134" i="3" s="1"/>
  <c r="DD25" i="3"/>
  <c r="AC23" i="3" a="1"/>
  <c r="AC23" i="3" l="1"/>
  <c r="DD90" i="3"/>
  <c r="DF90" i="3" s="1" a="1"/>
  <c r="DF90" i="3" s="1"/>
  <c r="DD106" i="3"/>
  <c r="DF106" i="3" s="1" a="1"/>
  <c r="DF106" i="3" s="1"/>
  <c r="DD122" i="3"/>
  <c r="DF122" i="3" s="1" a="1"/>
  <c r="DF122" i="3" s="1"/>
  <c r="DF179" i="3" a="1"/>
  <c r="DF179" i="3" s="1"/>
  <c r="DF165" i="3" a="1"/>
  <c r="DF165" i="3" s="1"/>
  <c r="DD166" i="3"/>
  <c r="DD180" i="3"/>
  <c r="DD138" i="3"/>
  <c r="DF138" i="3" s="1" a="1"/>
  <c r="DF138" i="3" s="1"/>
  <c r="DD152" i="3"/>
  <c r="DF152" i="3" s="1" a="1"/>
  <c r="DF152" i="3" s="1"/>
  <c r="DD68" i="3"/>
  <c r="DF68" i="3" s="1" a="1"/>
  <c r="DF68" i="3" s="1"/>
  <c r="DD82" i="3"/>
  <c r="DF82" i="3" s="1" a="1"/>
  <c r="DF82" i="3" s="1"/>
  <c r="DD110" i="3"/>
  <c r="DF110" i="3" s="1" a="1"/>
  <c r="DF110" i="3" s="1"/>
  <c r="DD96" i="3"/>
  <c r="DF96" i="3" s="1" a="1"/>
  <c r="DF96" i="3" s="1"/>
  <c r="DD124" i="3"/>
  <c r="DF124" i="3" s="1" a="1"/>
  <c r="DF124" i="3" s="1"/>
  <c r="DD26" i="3"/>
  <c r="DF26" i="3" s="1" a="1"/>
  <c r="DF26" i="3" s="1"/>
  <c r="DF25" i="3" a="1"/>
  <c r="DF25" i="3" s="1"/>
  <c r="AC24" i="3" a="1"/>
  <c r="AC24" i="3" l="1"/>
  <c r="DD125" i="3"/>
  <c r="DF125" i="3" s="1" a="1"/>
  <c r="DF125" i="3" s="1"/>
  <c r="DD181" i="3"/>
  <c r="DF181" i="3" s="1" a="1"/>
  <c r="DF181" i="3" s="1"/>
  <c r="DD69" i="3"/>
  <c r="DF69" i="3" s="1" a="1"/>
  <c r="DF69" i="3" s="1"/>
  <c r="DD167" i="3"/>
  <c r="DF167" i="3" s="1" a="1"/>
  <c r="DF167" i="3" s="1"/>
  <c r="DD111" i="3"/>
  <c r="DF111" i="3" s="1" a="1"/>
  <c r="DF111" i="3" s="1"/>
  <c r="DD83" i="3"/>
  <c r="DF83" i="3" s="1" a="1"/>
  <c r="DF83" i="3" s="1"/>
  <c r="DD153" i="3"/>
  <c r="DF153" i="3" s="1" a="1"/>
  <c r="DF153" i="3" s="1"/>
  <c r="DD97" i="3"/>
  <c r="DF97" i="3" s="1" a="1"/>
  <c r="DF97" i="3" s="1"/>
  <c r="DD139" i="3"/>
  <c r="DF139" i="3" s="1" a="1"/>
  <c r="DF139" i="3" s="1"/>
  <c r="DD91" i="3"/>
  <c r="DF91" i="3" s="1" a="1"/>
  <c r="DF91" i="3" s="1"/>
  <c r="DD107" i="3"/>
  <c r="DF107" i="3" s="1" a="1"/>
  <c r="DF107" i="3" s="1"/>
  <c r="DD123" i="3"/>
  <c r="DF123" i="3" s="1" a="1"/>
  <c r="DF123" i="3" s="1"/>
  <c r="DF180" i="3" a="1"/>
  <c r="DF180" i="3" s="1"/>
  <c r="DF166" i="3" a="1"/>
  <c r="DF166" i="3" s="1"/>
  <c r="DD27" i="3"/>
  <c r="AC25" i="3" a="1"/>
  <c r="AC25" i="3" l="1"/>
  <c r="DD126" i="3"/>
  <c r="DF126" i="3" s="1" a="1"/>
  <c r="DF126" i="3" s="1"/>
  <c r="DD98" i="3"/>
  <c r="DF98" i="3" s="1" a="1"/>
  <c r="DF98" i="3" s="1"/>
  <c r="DD140" i="3"/>
  <c r="DF140" i="3" s="1" a="1"/>
  <c r="DF140" i="3" s="1"/>
  <c r="DD182" i="3"/>
  <c r="DF182" i="3" s="1" a="1"/>
  <c r="DF182" i="3" s="1"/>
  <c r="DD70" i="3"/>
  <c r="DF70" i="3" s="1" a="1"/>
  <c r="DF70" i="3" s="1"/>
  <c r="DD112" i="3"/>
  <c r="DF112" i="3" s="1" a="1"/>
  <c r="DF112" i="3" s="1"/>
  <c r="DD168" i="3"/>
  <c r="DF168" i="3" s="1" a="1"/>
  <c r="DF168" i="3" s="1"/>
  <c r="DD56" i="3"/>
  <c r="DF56" i="3" s="1" a="1"/>
  <c r="DF56" i="3" s="1"/>
  <c r="DD84" i="3"/>
  <c r="DF84" i="3" s="1" a="1"/>
  <c r="DF84" i="3" s="1"/>
  <c r="DD154" i="3"/>
  <c r="DF154" i="3" s="1" a="1"/>
  <c r="DF154" i="3" s="1"/>
  <c r="DD28" i="3"/>
  <c r="DF28" i="3" s="1" a="1"/>
  <c r="DF28" i="3" s="1"/>
  <c r="DF27" i="3" a="1"/>
  <c r="DF27" i="3" s="1"/>
  <c r="AC26" i="3" a="1"/>
  <c r="AC26" i="3" l="1"/>
  <c r="DD127" i="3"/>
  <c r="DF127" i="3" s="1" a="1"/>
  <c r="DF127" i="3" s="1"/>
  <c r="DD99" i="3"/>
  <c r="DF99" i="3" s="1" a="1"/>
  <c r="DF99" i="3" s="1"/>
  <c r="DD141" i="3"/>
  <c r="DF141" i="3" s="1" a="1"/>
  <c r="DF141" i="3" s="1"/>
  <c r="DD183" i="3"/>
  <c r="DF183" i="3" s="1" a="1"/>
  <c r="DF183" i="3" s="1"/>
  <c r="DD71" i="3"/>
  <c r="DF71" i="3" s="1" a="1"/>
  <c r="DF71" i="3" s="1"/>
  <c r="DD113" i="3"/>
  <c r="DF113" i="3" s="1" a="1"/>
  <c r="DF113" i="3" s="1"/>
  <c r="DD169" i="3"/>
  <c r="DF169" i="3" s="1" a="1"/>
  <c r="DF169" i="3" s="1"/>
  <c r="DD85" i="3"/>
  <c r="DF85" i="3" s="1" a="1"/>
  <c r="DF85" i="3" s="1"/>
  <c r="DD57" i="3"/>
  <c r="DF57" i="3" s="1" a="1"/>
  <c r="DF57" i="3" s="1"/>
  <c r="DD155" i="3"/>
  <c r="DF155" i="3" s="1" a="1"/>
  <c r="DF155" i="3" s="1"/>
  <c r="DD29" i="3"/>
  <c r="DF29" i="3" s="1" a="1"/>
  <c r="DF29" i="3" s="1"/>
  <c r="AC27" i="3" a="1"/>
  <c r="AC27" i="3" l="1"/>
  <c r="DD100" i="3"/>
  <c r="DF100" i="3" s="1" a="1"/>
  <c r="DF100" i="3" s="1"/>
  <c r="DD128" i="3"/>
  <c r="DF128" i="3" s="1" a="1"/>
  <c r="DF128" i="3" s="1"/>
  <c r="DD142" i="3"/>
  <c r="DF142" i="3" s="1" a="1"/>
  <c r="DF142" i="3" s="1"/>
  <c r="DD86" i="3"/>
  <c r="DF86" i="3" s="1" a="1"/>
  <c r="DF86" i="3" s="1"/>
  <c r="DD184" i="3"/>
  <c r="DF184" i="3" s="1" a="1"/>
  <c r="DF184" i="3" s="1"/>
  <c r="DD72" i="3"/>
  <c r="DF72" i="3" s="1" a="1"/>
  <c r="DF72" i="3" s="1"/>
  <c r="DD156" i="3"/>
  <c r="DF156" i="3" s="1" a="1"/>
  <c r="DF156" i="3" s="1"/>
  <c r="DD114" i="3"/>
  <c r="DF114" i="3" s="1" a="1"/>
  <c r="DF114" i="3" s="1"/>
  <c r="DD170" i="3"/>
  <c r="DF170" i="3" s="1" a="1"/>
  <c r="DF170" i="3" s="1"/>
  <c r="DD58" i="3"/>
  <c r="DF58" i="3" s="1" a="1"/>
  <c r="DF58" i="3" s="1"/>
  <c r="DD44" i="3"/>
  <c r="DF44" i="3" s="1" a="1"/>
  <c r="DF44" i="3" s="1"/>
  <c r="AC28" i="3" a="1"/>
  <c r="AC28" i="3" l="1"/>
  <c r="DD115" i="3"/>
  <c r="DF115" i="3" s="1" a="1"/>
  <c r="DF115" i="3" s="1"/>
  <c r="DD129" i="3"/>
  <c r="DF129" i="3" s="1" a="1"/>
  <c r="DF129" i="3" s="1"/>
  <c r="DD101" i="3"/>
  <c r="DF101" i="3" s="1" a="1"/>
  <c r="DF101" i="3" s="1"/>
  <c r="DD143" i="3"/>
  <c r="DF143" i="3" s="1" a="1"/>
  <c r="DF143" i="3" s="1"/>
  <c r="DD87" i="3"/>
  <c r="DF87" i="3" s="1" a="1"/>
  <c r="DF87" i="3" s="1"/>
  <c r="DD157" i="3"/>
  <c r="DF157" i="3" s="1" a="1"/>
  <c r="DF157" i="3" s="1"/>
  <c r="DD185" i="3"/>
  <c r="DF185" i="3" s="1" a="1"/>
  <c r="DF185" i="3" s="1"/>
  <c r="DD73" i="3"/>
  <c r="DF73" i="3" s="1" a="1"/>
  <c r="DF73" i="3" s="1"/>
  <c r="DD171" i="3"/>
  <c r="DF171" i="3" s="1" a="1"/>
  <c r="DF171" i="3" s="1"/>
  <c r="DD59" i="3"/>
  <c r="DF59" i="3" s="1" a="1"/>
  <c r="DF59" i="3" s="1"/>
  <c r="DD30" i="3"/>
  <c r="DF30" i="3" s="1" a="1"/>
  <c r="DF30" i="3" s="1"/>
  <c r="DD55" i="3"/>
  <c r="DF55" i="3" s="1" a="1"/>
  <c r="DF55" i="3" s="1"/>
  <c r="DD45" i="3"/>
  <c r="DF45" i="3" s="1" a="1"/>
  <c r="DF45" i="3" s="1"/>
  <c r="DD52" i="3"/>
  <c r="DF52" i="3" s="1" a="1"/>
  <c r="DF52" i="3" s="1"/>
  <c r="AC29" i="3" a="1"/>
  <c r="AC29" i="3" l="1"/>
  <c r="DD172" i="3"/>
  <c r="DF172" i="3" s="1" a="1"/>
  <c r="DF172" i="3" s="1"/>
  <c r="DD158" i="3"/>
  <c r="DF158" i="3" s="1" a="1"/>
  <c r="DF158" i="3" s="1"/>
  <c r="DD116" i="3"/>
  <c r="DF116" i="3" s="1" a="1"/>
  <c r="DF116" i="3" s="1"/>
  <c r="DD102" i="3"/>
  <c r="DF102" i="3" s="1" a="1"/>
  <c r="DF102" i="3" s="1"/>
  <c r="DD130" i="3"/>
  <c r="DF130" i="3" s="1" a="1"/>
  <c r="DF130" i="3" s="1"/>
  <c r="DD60" i="3"/>
  <c r="DF60" i="3" s="1" a="1"/>
  <c r="DF60" i="3" s="1"/>
  <c r="DD88" i="3"/>
  <c r="DF88" i="3" s="1" a="1"/>
  <c r="DF88" i="3" s="1"/>
  <c r="DD144" i="3"/>
  <c r="DF144" i="3" s="1" a="1"/>
  <c r="DF144" i="3" s="1"/>
  <c r="DD186" i="3"/>
  <c r="DF186" i="3" s="1" a="1"/>
  <c r="DF186" i="3" s="1"/>
  <c r="DD74" i="3"/>
  <c r="DF74" i="3" s="1" a="1"/>
  <c r="DF74" i="3" s="1"/>
  <c r="DD31" i="3"/>
  <c r="DF31" i="3" s="1" a="1"/>
  <c r="DF31" i="3" s="1"/>
  <c r="DD46" i="3"/>
  <c r="DF46" i="3" s="1" a="1"/>
  <c r="DF46" i="3" s="1"/>
  <c r="DD53" i="3"/>
  <c r="DF53" i="3" s="1" a="1"/>
  <c r="DF53" i="3" s="1"/>
  <c r="DD159" i="3" l="1"/>
  <c r="DF159" i="3" s="1" a="1"/>
  <c r="DF159" i="3" s="1"/>
  <c r="DD173" i="3"/>
  <c r="DF173" i="3" s="1" a="1"/>
  <c r="DF173" i="3" s="1"/>
  <c r="DD117" i="3"/>
  <c r="DF117" i="3" s="1" a="1"/>
  <c r="DF117" i="3" s="1"/>
  <c r="DD103" i="3"/>
  <c r="DF103" i="3" s="1" a="1"/>
  <c r="DF103" i="3" s="1"/>
  <c r="DD131" i="3"/>
  <c r="DF131" i="3" s="1" a="1"/>
  <c r="DF131" i="3" s="1"/>
  <c r="DD89" i="3"/>
  <c r="DF89" i="3" s="1" a="1"/>
  <c r="DF89" i="3" s="1"/>
  <c r="DD145" i="3"/>
  <c r="DF145" i="3" s="1" a="1"/>
  <c r="DF145" i="3" s="1"/>
  <c r="DD61" i="3"/>
  <c r="DF61" i="3" s="1" a="1"/>
  <c r="DF61" i="3" s="1"/>
  <c r="DD75" i="3"/>
  <c r="DF75" i="3" s="1" a="1"/>
  <c r="DF75" i="3" s="1"/>
  <c r="DD187" i="3"/>
  <c r="DF187" i="3" s="1" a="1"/>
  <c r="DF187" i="3" s="1"/>
  <c r="DD48" i="3"/>
  <c r="DF48" i="3" s="1" a="1"/>
  <c r="DF48" i="3" s="1"/>
  <c r="DD32" i="3"/>
  <c r="DF32" i="3" s="1" a="1"/>
  <c r="DF32" i="3" s="1"/>
  <c r="DD33" i="3"/>
  <c r="DF33" i="3" s="1" a="1"/>
  <c r="DF33" i="3" s="1"/>
  <c r="DD47" i="3"/>
  <c r="DF47" i="3" s="1" a="1"/>
  <c r="DF47" i="3" s="1"/>
  <c r="DD54" i="3"/>
  <c r="DF54" i="3" s="1" a="1"/>
  <c r="DF54" i="3" s="1"/>
  <c r="DD49" i="3" l="1"/>
  <c r="DF49" i="3" s="1" a="1"/>
  <c r="DF49" i="3" s="1"/>
  <c r="DD34" i="3"/>
  <c r="DF34" i="3" s="1" a="1"/>
  <c r="DF34" i="3" s="1"/>
  <c r="FD26" i="3" s="1" a="1"/>
  <c r="FD26" i="3" s="1"/>
  <c r="EU26" i="3" s="1" a="1"/>
  <c r="EU26" i="3" s="1"/>
  <c r="EW26" i="3"/>
  <c r="EX26" i="3" s="1" a="1"/>
  <c r="EX26" i="3" s="1"/>
  <c r="DD50" i="3" l="1"/>
  <c r="DF50" i="3" s="1" a="1"/>
  <c r="DF50" i="3" s="1"/>
  <c r="DD35" i="3"/>
  <c r="DD36" i="3"/>
  <c r="DD51" i="3" l="1"/>
  <c r="DF51" i="3" s="1" a="1"/>
  <c r="DF51" i="3" s="1"/>
  <c r="DD37" i="3"/>
  <c r="DF37" i="3" s="1" a="1"/>
  <c r="DF37" i="3" s="1"/>
  <c r="DD38" i="3" l="1"/>
  <c r="DF38" i="3" s="1" a="1"/>
  <c r="DF38" i="3" s="1"/>
  <c r="DD39" i="3" l="1"/>
  <c r="DF39" i="3" s="1" a="1"/>
  <c r="DF39" i="3" s="1"/>
  <c r="DD40" i="3" l="1"/>
  <c r="DF40" i="3" s="1" a="1"/>
  <c r="DF40" i="3" s="1"/>
  <c r="DD41" i="3" l="1"/>
  <c r="DF41" i="3" s="1" a="1"/>
  <c r="DF41" i="3" s="1"/>
  <c r="DD42" i="3" l="1"/>
  <c r="DF42" i="3" s="1" a="1"/>
  <c r="DF42" i="3" s="1"/>
  <c r="DD43" i="3" l="1"/>
  <c r="DF43" i="3" s="1" a="1"/>
  <c r="DF43" i="3" s="1"/>
  <c r="CZ35" i="3" l="1"/>
  <c r="DF35" i="3" a="1"/>
  <c r="DF35" i="3" s="1"/>
  <c r="CZ36" i="3" l="1"/>
  <c r="DF36" i="3" a="1"/>
  <c r="DF36" i="3" s="1"/>
  <c r="FD27" i="3" l="1" a="1"/>
  <c r="FD27" i="3" s="1"/>
  <c r="EU27" i="3" s="1" a="1"/>
  <c r="EU27" i="3" s="1"/>
  <c r="EV27" i="3"/>
  <c r="EW27" i="3"/>
  <c r="EX27" i="3" s="1" a="1"/>
  <c r="EX27" i="3" s="1"/>
  <c r="FD43" i="3" a="1"/>
  <c r="FD43" i="3" s="1"/>
  <c r="EU43" i="3" s="1" a="1"/>
  <c r="EU43" i="3" s="1"/>
  <c r="FD45" i="3" a="1"/>
  <c r="FD45" i="3" s="1"/>
  <c r="EU45" i="3" s="1" a="1"/>
  <c r="EU45" i="3" s="1"/>
  <c r="ET42" i="3" a="1"/>
  <c r="ET42" i="3" s="1"/>
  <c r="FE40" i="3" a="1"/>
  <c r="FE40" i="3" s="1"/>
  <c r="EY45" i="3" a="1"/>
  <c r="EY45" i="3" s="1"/>
  <c r="ET43" i="3" a="1"/>
  <c r="ET43" i="3" s="1"/>
  <c r="ET44" i="3" a="1"/>
  <c r="ET44" i="3" s="1"/>
  <c r="EY39" i="3" a="1"/>
  <c r="EY39" i="3" s="1"/>
  <c r="EV43" i="3"/>
  <c r="EZ41" i="3"/>
  <c r="FA41" i="3" s="1"/>
  <c r="FC41" i="3" s="1"/>
  <c r="EV37" i="3"/>
  <c r="EW42" i="3"/>
  <c r="EX42" i="3" s="1" a="1"/>
  <c r="EX42" i="3" s="1"/>
  <c r="EV40" i="3"/>
  <c r="EV28" i="3"/>
  <c r="EV33" i="3"/>
  <c r="EV30" i="3"/>
  <c r="FD29" i="3" a="1"/>
  <c r="FD29" i="3" s="1"/>
  <c r="EU29" i="3" s="1" a="1"/>
  <c r="EU29" i="3" s="1"/>
  <c r="FD31" i="3" a="1"/>
  <c r="FD31" i="3" s="1"/>
  <c r="EU31" i="3" s="1" a="1"/>
  <c r="EU31" i="3" s="1"/>
  <c r="FD33" i="3" a="1"/>
  <c r="FD33" i="3" s="1"/>
  <c r="EU33" i="3" s="1" a="1"/>
  <c r="EU33" i="3" s="1"/>
  <c r="FD35" i="3" a="1"/>
  <c r="FD35" i="3" s="1"/>
  <c r="EU35" i="3" s="1" a="1"/>
  <c r="EU35" i="3" s="1"/>
  <c r="FD37" i="3" a="1"/>
  <c r="FD37" i="3" s="1"/>
  <c r="EU37" i="3" s="1" a="1"/>
  <c r="EU37" i="3" s="1"/>
  <c r="FD44" i="3" a="1"/>
  <c r="FD44" i="3" s="1"/>
  <c r="EU44" i="3" s="1" a="1"/>
  <c r="EU44" i="3" s="1"/>
  <c r="FE44" i="3" a="1"/>
  <c r="FE44" i="3" s="1"/>
  <c r="ET41" i="3" a="1"/>
  <c r="ET41" i="3" s="1"/>
  <c r="EW44" i="3"/>
  <c r="EX44" i="3" s="1" a="1"/>
  <c r="EX44" i="3" s="1"/>
  <c r="EZ39" i="3"/>
  <c r="FA39" i="3" s="1"/>
  <c r="FC39" i="3" s="1"/>
  <c r="EV42" i="3"/>
  <c r="EV38" i="3"/>
  <c r="EV31" i="3"/>
  <c r="FD30" i="3" a="1"/>
  <c r="FD30" i="3" s="1"/>
  <c r="EU30" i="3" s="1" a="1"/>
  <c r="EU30" i="3" s="1"/>
  <c r="FD34" i="3" a="1"/>
  <c r="FD34" i="3" s="1"/>
  <c r="EU34" i="3" s="1" a="1"/>
  <c r="EU34" i="3" s="1"/>
  <c r="FD38" i="3" a="1"/>
  <c r="FD38" i="3" s="1"/>
  <c r="EU38" i="3" s="1" a="1"/>
  <c r="EU38" i="3" s="1"/>
  <c r="FD41" i="3" a="1"/>
  <c r="FD41" i="3" s="1"/>
  <c r="EU41" i="3" s="1" a="1"/>
  <c r="EU41" i="3" s="1"/>
  <c r="ET45" i="3" a="1"/>
  <c r="ET45" i="3" s="1"/>
  <c r="FE42" i="3" a="1"/>
  <c r="FE42" i="3" s="1"/>
  <c r="EV44" i="3"/>
  <c r="EZ40" i="3"/>
  <c r="FA40" i="3" s="1"/>
  <c r="FC40" i="3" s="1"/>
  <c r="EV39" i="3"/>
  <c r="EV29" i="3"/>
  <c r="EW29" i="3"/>
  <c r="EX29" i="3" s="1" a="1"/>
  <c r="EX29" i="3" s="1"/>
  <c r="EW33" i="3"/>
  <c r="EX33" i="3" s="1" a="1"/>
  <c r="EX33" i="3" s="1"/>
  <c r="FD40" i="3" a="1"/>
  <c r="FD40" i="3" s="1"/>
  <c r="EU40" i="3" s="1" a="1"/>
  <c r="EU40" i="3" s="1"/>
  <c r="EZ25" i="3"/>
  <c r="FA25" i="3" s="1"/>
  <c r="FC25" i="3" s="1"/>
  <c r="FE41" i="3" a="1"/>
  <c r="FE41" i="3" s="1"/>
  <c r="EY41" i="3" a="1"/>
  <c r="EY41" i="3" s="1"/>
  <c r="ET39" i="3" a="1"/>
  <c r="ET39" i="3" s="1"/>
  <c r="EY43" i="3" a="1"/>
  <c r="EY43" i="3" s="1"/>
  <c r="FE43" i="3" a="1"/>
  <c r="FE43" i="3" s="1"/>
  <c r="EW43" i="3"/>
  <c r="EX43" i="3" s="1" a="1"/>
  <c r="EX43" i="3" s="1"/>
  <c r="EV41" i="3"/>
  <c r="EZ43" i="3"/>
  <c r="FA43" i="3" s="1"/>
  <c r="FC43" i="3" s="1"/>
  <c r="EZ45" i="3"/>
  <c r="FA45" i="3" s="1"/>
  <c r="FC45" i="3" s="1"/>
  <c r="EW41" i="3"/>
  <c r="EX41" i="3" s="1" a="1"/>
  <c r="EX41" i="3" s="1"/>
  <c r="EW39" i="3"/>
  <c r="EX39" i="3" s="1" a="1"/>
  <c r="EX39" i="3" s="1"/>
  <c r="EW45" i="3"/>
  <c r="EX45" i="3" s="1" a="1"/>
  <c r="EX45" i="3" s="1"/>
  <c r="EV34" i="3"/>
  <c r="EV32" i="3"/>
  <c r="EW30" i="3"/>
  <c r="EX30" i="3" s="1" a="1"/>
  <c r="EX30" i="3" s="1"/>
  <c r="EW32" i="3"/>
  <c r="EX32" i="3" s="1" a="1"/>
  <c r="EX32" i="3" s="1"/>
  <c r="EW34" i="3"/>
  <c r="EX34" i="3" s="1" a="1"/>
  <c r="EX34" i="3" s="1"/>
  <c r="EW36" i="3"/>
  <c r="EX36" i="3" s="1" a="1"/>
  <c r="EX36" i="3" s="1"/>
  <c r="EW38" i="3"/>
  <c r="EX38" i="3" s="1" a="1"/>
  <c r="EX38" i="3" s="1"/>
  <c r="FD39" i="3" a="1"/>
  <c r="FD39" i="3" s="1"/>
  <c r="EU39" i="3" s="1" a="1"/>
  <c r="EU39" i="3" s="1"/>
  <c r="EY40" i="3" a="1"/>
  <c r="EY40" i="3" s="1"/>
  <c r="EY42" i="3" a="1"/>
  <c r="EY42" i="3" s="1"/>
  <c r="ET40" i="3" a="1"/>
  <c r="ET40" i="3" s="1"/>
  <c r="EZ42" i="3"/>
  <c r="FA42" i="3" s="1"/>
  <c r="FC42" i="3" s="1"/>
  <c r="EW40" i="3"/>
  <c r="EX40" i="3" s="1" a="1"/>
  <c r="EX40" i="3" s="1"/>
  <c r="EW28" i="3"/>
  <c r="EX28" i="3" s="1" a="1"/>
  <c r="EX28" i="3" s="1"/>
  <c r="FD28" i="3" a="1"/>
  <c r="FD28" i="3" s="1"/>
  <c r="EU28" i="3" s="1" a="1"/>
  <c r="EU28" i="3" s="1"/>
  <c r="FD32" i="3" a="1"/>
  <c r="FD32" i="3" s="1"/>
  <c r="EU32" i="3" s="1" a="1"/>
  <c r="EU32" i="3" s="1"/>
  <c r="FD36" i="3" a="1"/>
  <c r="FD36" i="3" s="1"/>
  <c r="EU36" i="3" s="1" a="1"/>
  <c r="EU36" i="3" s="1"/>
  <c r="FD42" i="3" a="1"/>
  <c r="FD42" i="3" s="1"/>
  <c r="EU42" i="3" s="1" a="1"/>
  <c r="EU42" i="3" s="1"/>
  <c r="EY44" i="3" a="1"/>
  <c r="EY44" i="3" s="1"/>
  <c r="FE45" i="3" a="1"/>
  <c r="FE45" i="3" s="1"/>
  <c r="FE39" i="3" a="1"/>
  <c r="FE39" i="3" s="1"/>
  <c r="EZ44" i="3"/>
  <c r="FA44" i="3" s="1"/>
  <c r="FC44" i="3" s="1"/>
  <c r="EV36" i="3"/>
  <c r="EV45" i="3"/>
  <c r="EV35" i="3"/>
  <c r="EW31" i="3"/>
  <c r="EX31" i="3" s="1" a="1"/>
  <c r="EX31" i="3" s="1"/>
  <c r="EW35" i="3"/>
  <c r="EX35" i="3" s="1" a="1"/>
  <c r="EX35" i="3" s="1"/>
  <c r="EW37" i="3"/>
  <c r="EX37" i="3" s="1" a="1"/>
  <c r="EX37" i="3" s="1"/>
  <c r="ET34" i="3" a="1"/>
  <c r="ET34" i="3" s="1"/>
  <c r="ET35" i="3" a="1"/>
  <c r="ET35" i="3" s="1"/>
  <c r="EY34" i="3" a="1"/>
  <c r="EY34" i="3" s="1"/>
  <c r="EY35" i="3" a="1"/>
  <c r="EY35" i="3" s="1"/>
  <c r="ET36" i="3" a="1"/>
  <c r="ET36" i="3" s="1"/>
  <c r="EY36" i="3" a="1"/>
  <c r="EY36" i="3" s="1"/>
  <c r="ET37" i="3" a="1"/>
  <c r="ET37" i="3" s="1"/>
  <c r="ET38" i="3" a="1"/>
  <c r="ET38" i="3" s="1"/>
  <c r="EY37" i="3" a="1"/>
  <c r="EY37" i="3" s="1"/>
  <c r="EY38" i="3" a="1"/>
  <c r="EY38" i="3" s="1"/>
  <c r="EZ37" i="3" l="1"/>
  <c r="FA37" i="3" s="1"/>
  <c r="FC37" i="3" s="1"/>
  <c r="EZ34" i="3"/>
  <c r="FA34" i="3" s="1"/>
  <c r="FC34" i="3" s="1"/>
  <c r="EZ38" i="3"/>
  <c r="FA38" i="3" s="1"/>
  <c r="FC38" i="3" s="1"/>
  <c r="EZ36" i="3"/>
  <c r="FA36" i="3" s="1"/>
  <c r="FC36" i="3" s="1"/>
  <c r="EZ35" i="3"/>
  <c r="FA35" i="3" s="1"/>
  <c r="FC35" i="3" s="1"/>
  <c r="FE38" i="3" l="1" a="1"/>
  <c r="FE38" i="3" s="1"/>
  <c r="FE37" i="3" l="1" a="1"/>
  <c r="FE37" i="3" s="1"/>
  <c r="FE36" i="3" l="1" a="1"/>
  <c r="FE36" i="3" s="1"/>
  <c r="FE35" i="3" a="1"/>
  <c r="FE35" i="3" s="1"/>
  <c r="FE34" i="3" a="1"/>
  <c r="FE34" i="3" s="1"/>
  <c r="DO22" i="3" l="1"/>
  <c r="DY22" i="3" l="1"/>
  <c r="E58" i="8" l="1" a="1"/>
  <c r="E58" i="8" s="1"/>
  <c r="R16" i="3" l="1" a="1"/>
  <c r="R16" i="3" s="1"/>
  <c r="U16" i="3" s="1" a="1"/>
  <c r="U16" i="3" s="1"/>
  <c r="V16" i="3" s="1"/>
  <c r="E30" i="8" l="1"/>
  <c r="X16" i="3" a="1"/>
  <c r="X16" i="3" s="1"/>
  <c r="T16" i="3" a="1"/>
  <c r="T16" i="3" s="1"/>
  <c r="S16" i="3"/>
  <c r="DA20" i="3" l="1"/>
  <c r="R18" i="3" l="1" a="1"/>
  <c r="R18" i="3" s="1"/>
  <c r="U18" i="3" l="1" a="1"/>
  <c r="U18" i="3" s="1"/>
  <c r="E32" i="8" s="1"/>
  <c r="V18" i="3" l="1"/>
  <c r="DO25" i="3" l="1"/>
  <c r="DY24" i="3" l="1"/>
  <c r="DY23" i="3"/>
  <c r="S18" i="3" l="1"/>
  <c r="T18" i="3" a="1"/>
  <c r="T18" i="3" s="1"/>
  <c r="DO24" i="3" l="1"/>
  <c r="DO23" i="3" l="1"/>
  <c r="DY25" i="3" l="1"/>
  <c r="U17" i="3" l="1" a="1"/>
  <c r="U17" i="3" s="1"/>
  <c r="X17" i="3" a="1"/>
  <c r="X17" i="3" l="1"/>
  <c r="DA21" i="3" s="1"/>
  <c r="X18" i="3" a="1"/>
  <c r="X18" i="3" l="1"/>
  <c r="DO26" i="3"/>
  <c r="DY26" i="3"/>
  <c r="DO27" i="3"/>
  <c r="DY27" i="3"/>
  <c r="X19" i="3" a="1"/>
  <c r="DA118" i="3" l="1"/>
  <c r="DA22" i="3"/>
  <c r="X19" i="3"/>
  <c r="DO29" i="3"/>
  <c r="X20" i="3" a="1"/>
  <c r="DA119" i="3" l="1"/>
  <c r="X20" i="3"/>
  <c r="DY28" i="3"/>
  <c r="DY30" i="3"/>
  <c r="DA23" i="3"/>
  <c r="DO28" i="3"/>
  <c r="DO32" i="3"/>
  <c r="X21" i="3" a="1"/>
  <c r="DA164" i="3" l="1"/>
  <c r="DA38" i="3"/>
  <c r="X21" i="3"/>
  <c r="DA120" i="3"/>
  <c r="DA36" i="3"/>
  <c r="DA132" i="3"/>
  <c r="DA134" i="3"/>
  <c r="DA104" i="3"/>
  <c r="DA24" i="3"/>
  <c r="X22" i="3" a="1"/>
  <c r="DA105" i="3" l="1"/>
  <c r="X22" i="3"/>
  <c r="DA165" i="3"/>
  <c r="DA25" i="3"/>
  <c r="DA121" i="3"/>
  <c r="DA37" i="3"/>
  <c r="DA133" i="3"/>
  <c r="DA106" i="3" l="1"/>
  <c r="DA122" i="3"/>
  <c r="DA180" i="3"/>
  <c r="DA166" i="3"/>
  <c r="DA152" i="3"/>
  <c r="DA68" i="3"/>
  <c r="DA26" i="3"/>
  <c r="DO31" i="3" l="1"/>
  <c r="DY31" i="3" l="1"/>
  <c r="DY33" i="3"/>
  <c r="R17" i="3" l="1" a="1"/>
  <c r="R17" i="3" s="1"/>
  <c r="V17" i="3"/>
  <c r="S17" i="3" l="1"/>
  <c r="E31" i="8" l="1"/>
  <c r="T17" i="3" l="1" a="1"/>
  <c r="T17" i="3" s="1"/>
  <c r="DA39" i="3"/>
  <c r="DA40" i="3"/>
  <c r="DA52" i="3"/>
  <c r="DA53" i="3"/>
  <c r="DA54" i="3"/>
  <c r="DA90" i="3"/>
  <c r="DA135" i="3"/>
  <c r="DA136" i="3"/>
  <c r="DA137" i="3"/>
  <c r="DA138" i="3"/>
  <c r="DA148" i="3"/>
  <c r="DA149" i="3"/>
  <c r="DA150" i="3"/>
  <c r="DA151" i="3"/>
  <c r="R23" i="3" a="1"/>
  <c r="R23" i="3" s="1"/>
  <c r="BJ5" i="3" l="1"/>
  <c r="U23" i="3" a="1"/>
  <c r="U23" i="3" s="1"/>
  <c r="X23" i="3" s="1" a="1"/>
  <c r="E36" i="8" l="1"/>
  <c r="E38" i="8" s="1"/>
  <c r="BD5" i="3"/>
  <c r="E34" i="5" s="1" a="1"/>
  <c r="E34" i="5" s="1"/>
  <c r="BH5" i="3"/>
  <c r="X23" i="3"/>
  <c r="V23" i="3"/>
  <c r="BK5" i="3" l="1"/>
  <c r="BL5" i="3"/>
  <c r="E48" i="8" s="1" a="1"/>
  <c r="E48" i="8" s="1"/>
  <c r="BG5" i="3"/>
  <c r="BI5" i="3"/>
  <c r="D48" i="8" a="1"/>
  <c r="D48" i="8" s="1"/>
  <c r="DA107" i="3"/>
  <c r="DA91" i="3"/>
  <c r="DA123" i="3"/>
  <c r="DA167" i="3"/>
  <c r="DA181" i="3"/>
  <c r="DA69" i="3"/>
  <c r="DA153" i="3"/>
  <c r="DA27" i="3"/>
  <c r="DA139" i="3"/>
  <c r="DA41" i="3"/>
  <c r="DA55" i="3"/>
  <c r="DB107" i="3" l="1" a="1"/>
  <c r="DB107" i="3" s="1"/>
  <c r="DE107" i="3" s="1"/>
  <c r="DG107" i="3" s="1"/>
  <c r="DH107" i="3" s="1" a="1"/>
  <c r="DH107" i="3" s="1"/>
  <c r="DB91" i="3" a="1"/>
  <c r="DB91" i="3" s="1"/>
  <c r="DE91" i="3" s="1"/>
  <c r="DG91" i="3" s="1"/>
  <c r="DB123" i="3" a="1"/>
  <c r="DB123" i="3" s="1"/>
  <c r="DE123" i="3" s="1"/>
  <c r="DG123" i="3" s="1"/>
  <c r="E62" i="8" a="1"/>
  <c r="E62" i="8" s="1"/>
  <c r="DB20" i="3" a="1"/>
  <c r="DB20" i="3" s="1"/>
  <c r="DB21" i="3" a="1"/>
  <c r="DB21" i="3" s="1"/>
  <c r="DB22" i="3" a="1"/>
  <c r="DB22" i="3" s="1"/>
  <c r="DB118" i="3" a="1"/>
  <c r="DB118" i="3" s="1"/>
  <c r="DE118" i="3" s="1"/>
  <c r="DG118" i="3" s="1"/>
  <c r="DB23" i="3" a="1"/>
  <c r="DB23" i="3" s="1"/>
  <c r="DB119" i="3" a="1"/>
  <c r="DB119" i="3" s="1"/>
  <c r="DE119" i="3" s="1"/>
  <c r="DG119" i="3" s="1"/>
  <c r="DB120" i="3" a="1"/>
  <c r="DB120" i="3" s="1"/>
  <c r="DE120" i="3" s="1"/>
  <c r="DG120" i="3" s="1"/>
  <c r="DB164" i="3" a="1"/>
  <c r="DB164" i="3" s="1"/>
  <c r="DE164" i="3" s="1"/>
  <c r="DG164" i="3" s="1"/>
  <c r="DB104" i="3" a="1"/>
  <c r="DB104" i="3" s="1"/>
  <c r="DE104" i="3" s="1"/>
  <c r="DG104" i="3" s="1"/>
  <c r="DB24" i="3" a="1"/>
  <c r="DB24" i="3" s="1"/>
  <c r="DB132" i="3" a="1"/>
  <c r="DB132" i="3" s="1"/>
  <c r="DE132" i="3" s="1"/>
  <c r="DG132" i="3" s="1"/>
  <c r="DJ132" i="3" s="1" a="1"/>
  <c r="DB36" i="3" a="1"/>
  <c r="DB36" i="3" s="1"/>
  <c r="DE36" i="3" s="1"/>
  <c r="DG36" i="3" s="1"/>
  <c r="DB165" i="3" a="1"/>
  <c r="DB165" i="3" s="1"/>
  <c r="DE165" i="3" s="1"/>
  <c r="DG165" i="3" s="1"/>
  <c r="DB105" i="3" a="1"/>
  <c r="DB105" i="3" s="1"/>
  <c r="DE105" i="3" s="1"/>
  <c r="DG105" i="3" s="1"/>
  <c r="DB133" i="3" a="1"/>
  <c r="DB133" i="3" s="1"/>
  <c r="DE133" i="3" s="1"/>
  <c r="DG133" i="3" s="1"/>
  <c r="DB37" i="3" a="1"/>
  <c r="DB37" i="3" s="1"/>
  <c r="DE37" i="3" s="1"/>
  <c r="DG37" i="3" s="1"/>
  <c r="DB121" i="3" a="1"/>
  <c r="DB121" i="3" s="1"/>
  <c r="DE121" i="3" s="1"/>
  <c r="DG121" i="3" s="1"/>
  <c r="DB25" i="3" a="1"/>
  <c r="DB25" i="3" s="1"/>
  <c r="DB180" i="3" a="1"/>
  <c r="DB180" i="3" s="1"/>
  <c r="DE180" i="3" s="1"/>
  <c r="DG180" i="3" s="1"/>
  <c r="DB68" i="3" a="1"/>
  <c r="DB68" i="3" s="1"/>
  <c r="DE68" i="3" s="1"/>
  <c r="DG68" i="3" s="1"/>
  <c r="DB106" i="3" a="1"/>
  <c r="DB106" i="3" s="1"/>
  <c r="DE106" i="3" s="1"/>
  <c r="DG106" i="3" s="1"/>
  <c r="DB152" i="3" a="1"/>
  <c r="DB152" i="3" s="1"/>
  <c r="DE152" i="3" s="1"/>
  <c r="DG152" i="3" s="1"/>
  <c r="DB166" i="3" a="1"/>
  <c r="DB166" i="3" s="1"/>
  <c r="DE166" i="3" s="1"/>
  <c r="DG166" i="3" s="1"/>
  <c r="CN32" i="3" a="1"/>
  <c r="CN32" i="3" s="1"/>
  <c r="BN5" i="3" s="1"/>
  <c r="D42" i="9" s="1" a="1"/>
  <c r="D42" i="9" s="1"/>
  <c r="CN26" i="3" a="1"/>
  <c r="CN26" i="3" s="1"/>
  <c r="CN38" i="3" a="1"/>
  <c r="CN38" i="3" s="1"/>
  <c r="CN24" i="3" a="1"/>
  <c r="CN24" i="3" s="1"/>
  <c r="CN34" i="3" a="1"/>
  <c r="CN34" i="3" s="1"/>
  <c r="DB38" i="3" a="1"/>
  <c r="DB38" i="3" s="1"/>
  <c r="DE38" i="3" s="1"/>
  <c r="DG38" i="3" s="1"/>
  <c r="DB134" i="3" a="1"/>
  <c r="DB134" i="3" s="1"/>
  <c r="DE134" i="3" s="1"/>
  <c r="DG134" i="3" s="1"/>
  <c r="CN20" i="3" a="1"/>
  <c r="CN20" i="3" s="1"/>
  <c r="CN40" i="3" a="1"/>
  <c r="CN40" i="3" s="1"/>
  <c r="CN28" i="3" a="1"/>
  <c r="CN28" i="3" s="1"/>
  <c r="CN36" i="3" a="1"/>
  <c r="CN36" i="3" s="1"/>
  <c r="C42" i="9" a="1"/>
  <c r="C42" i="9" s="1"/>
  <c r="CN30" i="3" a="1"/>
  <c r="CN30" i="3" s="1"/>
  <c r="DB122" i="3" a="1"/>
  <c r="DB122" i="3" s="1"/>
  <c r="DE122" i="3" s="1"/>
  <c r="DG122" i="3" s="1"/>
  <c r="ET25" i="3" a="1"/>
  <c r="ET25" i="3" s="1"/>
  <c r="CN22" i="3" a="1"/>
  <c r="CN22" i="3" s="1"/>
  <c r="EM20" i="3" a="1"/>
  <c r="EM20" i="3" s="1"/>
  <c r="EM22" i="3" s="1"/>
  <c r="CN42" i="3" a="1"/>
  <c r="CN42" i="3" s="1"/>
  <c r="DB53" i="3" a="1"/>
  <c r="DB53" i="3" s="1"/>
  <c r="DE53" i="3" s="1"/>
  <c r="DG53" i="3" s="1"/>
  <c r="DB39" i="3" a="1"/>
  <c r="DB39" i="3" s="1"/>
  <c r="DE39" i="3" s="1"/>
  <c r="DG39" i="3" s="1"/>
  <c r="DB149" i="3" a="1"/>
  <c r="DB149" i="3" s="1"/>
  <c r="DE149" i="3" s="1"/>
  <c r="DG149" i="3" s="1"/>
  <c r="DB148" i="3" a="1"/>
  <c r="DB148" i="3" s="1"/>
  <c r="DE148" i="3" s="1"/>
  <c r="DG148" i="3" s="1"/>
  <c r="DB52" i="3" a="1"/>
  <c r="DB52" i="3" s="1"/>
  <c r="DE52" i="3" s="1"/>
  <c r="DG52" i="3" s="1"/>
  <c r="DB150" i="3" a="1"/>
  <c r="DB150" i="3" s="1"/>
  <c r="DE150" i="3" s="1"/>
  <c r="DG150" i="3" s="1"/>
  <c r="DB151" i="3" a="1"/>
  <c r="DB151" i="3" s="1"/>
  <c r="DE151" i="3" s="1"/>
  <c r="DG151" i="3" s="1"/>
  <c r="DB40" i="3" a="1"/>
  <c r="DB40" i="3" s="1"/>
  <c r="DE40" i="3" s="1"/>
  <c r="DG40" i="3" s="1"/>
  <c r="DB138" i="3" a="1"/>
  <c r="DB138" i="3" s="1"/>
  <c r="DE138" i="3" s="1"/>
  <c r="DG138" i="3" s="1"/>
  <c r="DB54" i="3" a="1"/>
  <c r="DB54" i="3" s="1"/>
  <c r="DE54" i="3" s="1"/>
  <c r="DG54" i="3" s="1"/>
  <c r="DB137" i="3" a="1"/>
  <c r="DB137" i="3" s="1"/>
  <c r="DE137" i="3" s="1"/>
  <c r="DG137" i="3" s="1"/>
  <c r="DB90" i="3" a="1"/>
  <c r="DB90" i="3" s="1"/>
  <c r="DE90" i="3" s="1"/>
  <c r="DG90" i="3" s="1"/>
  <c r="DB136" i="3" a="1"/>
  <c r="DB136" i="3" s="1"/>
  <c r="DE136" i="3" s="1"/>
  <c r="DG136" i="3" s="1"/>
  <c r="DB135" i="3" a="1"/>
  <c r="DB135" i="3" s="1"/>
  <c r="DE135" i="3" s="1"/>
  <c r="DG135" i="3" s="1"/>
  <c r="DN107" i="3" l="1" a="1"/>
  <c r="DN107" i="3" s="1"/>
  <c r="DJ132" i="3"/>
  <c r="ET31" i="3" a="1"/>
  <c r="ET31" i="3" s="1"/>
  <c r="DE25" i="3"/>
  <c r="DN132" i="3" a="1"/>
  <c r="DN132" i="3" s="1"/>
  <c r="DH132" i="3" a="1"/>
  <c r="DH132" i="3" s="1"/>
  <c r="DH121" i="3" a="1"/>
  <c r="DH121" i="3" s="1"/>
  <c r="DN121" i="3" a="1"/>
  <c r="DN121" i="3" s="1"/>
  <c r="DE24" i="3"/>
  <c r="ET30" i="3" a="1"/>
  <c r="ET30" i="3" s="1"/>
  <c r="DN118" i="3" a="1"/>
  <c r="DN118" i="3" s="1"/>
  <c r="DH118" i="3" a="1"/>
  <c r="DH118" i="3" s="1"/>
  <c r="DH37" i="3" a="1"/>
  <c r="DH37" i="3" s="1"/>
  <c r="DN37" i="3" a="1"/>
  <c r="DN37" i="3" s="1"/>
  <c r="DH104" i="3" a="1"/>
  <c r="DH104" i="3" s="1"/>
  <c r="DN104" i="3" a="1"/>
  <c r="DN104" i="3" s="1"/>
  <c r="DE22" i="3"/>
  <c r="ET28" i="3" a="1"/>
  <c r="ET28" i="3" s="1"/>
  <c r="DN166" i="3" a="1"/>
  <c r="DN166" i="3" s="1"/>
  <c r="DH166" i="3" a="1"/>
  <c r="DH166" i="3" s="1"/>
  <c r="DN133" i="3" a="1"/>
  <c r="DN133" i="3" s="1"/>
  <c r="DH133" i="3" a="1"/>
  <c r="DH133" i="3" s="1"/>
  <c r="DN164" i="3" a="1"/>
  <c r="DN164" i="3" s="1"/>
  <c r="DH164" i="3" a="1"/>
  <c r="DH164" i="3" s="1"/>
  <c r="DN152" i="3" a="1"/>
  <c r="DN152" i="3" s="1"/>
  <c r="DH152" i="3" a="1"/>
  <c r="DH152" i="3" s="1"/>
  <c r="DH120" i="3" a="1"/>
  <c r="DH120" i="3" s="1"/>
  <c r="DN120" i="3" a="1"/>
  <c r="DN120" i="3" s="1"/>
  <c r="DH106" i="3" a="1"/>
  <c r="DH106" i="3" s="1"/>
  <c r="DN106" i="3" a="1"/>
  <c r="DN106" i="3" s="1"/>
  <c r="DH105" i="3" a="1"/>
  <c r="DH105" i="3" s="1"/>
  <c r="DN105" i="3" a="1"/>
  <c r="DN105" i="3" s="1"/>
  <c r="DE21" i="3"/>
  <c r="ET27" i="3" a="1"/>
  <c r="ET27" i="3" s="1"/>
  <c r="DN68" i="3" a="1"/>
  <c r="DN68" i="3" s="1"/>
  <c r="DH68" i="3" a="1"/>
  <c r="DH68" i="3" s="1"/>
  <c r="DN165" i="3" a="1"/>
  <c r="DN165" i="3" s="1"/>
  <c r="DH165" i="3" a="1"/>
  <c r="DH165" i="3" s="1"/>
  <c r="DH119" i="3" a="1"/>
  <c r="DH119" i="3" s="1"/>
  <c r="DN119" i="3" a="1"/>
  <c r="DN119" i="3" s="1"/>
  <c r="DE20" i="3"/>
  <c r="ET26" i="3" a="1"/>
  <c r="ET26" i="3" s="1"/>
  <c r="DH180" i="3" a="1"/>
  <c r="DH180" i="3" s="1"/>
  <c r="DN180" i="3" a="1"/>
  <c r="DN180" i="3" s="1"/>
  <c r="DH36" i="3" a="1"/>
  <c r="DH36" i="3" s="1"/>
  <c r="DN36" i="3" a="1"/>
  <c r="DN36" i="3" s="1"/>
  <c r="DE23" i="3"/>
  <c r="ET29" i="3" a="1"/>
  <c r="ET29" i="3" s="1"/>
  <c r="DN38" i="3" a="1"/>
  <c r="DN38" i="3" s="1"/>
  <c r="DN39" i="3" a="1"/>
  <c r="DN39" i="3" s="1"/>
  <c r="DN40" i="3" a="1"/>
  <c r="DN40" i="3" s="1"/>
  <c r="DN52" i="3" a="1"/>
  <c r="DN52" i="3" s="1"/>
  <c r="DN53" i="3" a="1"/>
  <c r="DN53" i="3" s="1"/>
  <c r="DN54" i="3" a="1"/>
  <c r="DN54" i="3" s="1"/>
  <c r="DN90" i="3" a="1"/>
  <c r="DN90" i="3" s="1"/>
  <c r="DN91" i="3" a="1"/>
  <c r="DN91" i="3" s="1"/>
  <c r="DN122" i="3" a="1"/>
  <c r="DN122" i="3" s="1"/>
  <c r="DN123" i="3" a="1"/>
  <c r="DN123" i="3" s="1"/>
  <c r="DN134" i="3" a="1"/>
  <c r="DN134" i="3" s="1"/>
  <c r="DN135" i="3" a="1"/>
  <c r="DN135" i="3" s="1"/>
  <c r="DN136" i="3" a="1"/>
  <c r="DN136" i="3" s="1"/>
  <c r="DN137" i="3" a="1"/>
  <c r="DN137" i="3" s="1"/>
  <c r="DN138" i="3" a="1"/>
  <c r="DN138" i="3" s="1"/>
  <c r="DN148" i="3" a="1"/>
  <c r="DN148" i="3" s="1"/>
  <c r="DN149" i="3" a="1"/>
  <c r="DN149" i="3" s="1"/>
  <c r="DN150" i="3" a="1"/>
  <c r="DN150" i="3" s="1"/>
  <c r="DN151" i="3" a="1"/>
  <c r="DN151" i="3" s="1"/>
  <c r="DJ133" i="3" a="1"/>
  <c r="DJ133" i="3" l="1"/>
  <c r="EY29" i="3" a="1"/>
  <c r="EY29" i="3" s="1"/>
  <c r="DG23" i="3"/>
  <c r="DG22" i="3"/>
  <c r="EY28" i="3" a="1"/>
  <c r="EY28" i="3" s="1"/>
  <c r="DG24" i="3"/>
  <c r="EY30" i="3" a="1"/>
  <c r="EY30" i="3" s="1"/>
  <c r="DG25" i="3"/>
  <c r="EY31" i="3" a="1"/>
  <c r="EY31" i="3" s="1"/>
  <c r="DG20" i="3"/>
  <c r="EY26" i="3" a="1"/>
  <c r="EY26" i="3" s="1"/>
  <c r="DG21" i="3"/>
  <c r="EY27" i="3" a="1"/>
  <c r="EY27" i="3" s="1"/>
  <c r="DI132" i="3"/>
  <c r="DK132" i="3" a="1"/>
  <c r="DK132" i="3" s="1"/>
  <c r="DQ25" i="3" l="1"/>
  <c r="DH25" i="3" a="1"/>
  <c r="DH25" i="3" s="1"/>
  <c r="DH23" i="3" a="1"/>
  <c r="DH23" i="3" s="1"/>
  <c r="DQ23" i="3"/>
  <c r="DH24" i="3" a="1"/>
  <c r="DH24" i="3" s="1"/>
  <c r="DQ24" i="3"/>
  <c r="DI133" i="3"/>
  <c r="DK133" i="3" a="1"/>
  <c r="DK133" i="3" s="1"/>
  <c r="DQ21" i="3"/>
  <c r="DH21" i="3" a="1"/>
  <c r="DH21" i="3" s="1"/>
  <c r="DQ20" i="3"/>
  <c r="DJ20" i="3" a="1"/>
  <c r="DJ20" i="3" s="1"/>
  <c r="DH20" i="3" a="1"/>
  <c r="DH20" i="3" s="1"/>
  <c r="DQ22" i="3"/>
  <c r="DH22" i="3" a="1"/>
  <c r="DH22" i="3" s="1"/>
  <c r="DH39" i="3" a="1"/>
  <c r="DH39" i="3" s="1"/>
  <c r="DH38" i="3" a="1"/>
  <c r="DH38" i="3" s="1"/>
  <c r="DJ21" i="3" a="1"/>
  <c r="DJ21" i="3" l="1"/>
  <c r="DX23" i="3" a="1"/>
  <c r="DX23" i="3" s="1"/>
  <c r="DZ23" i="3" s="1"/>
  <c r="DR23" i="3" a="1"/>
  <c r="DR23" i="3" s="1"/>
  <c r="DO33" i="3"/>
  <c r="DX21" i="3" a="1"/>
  <c r="DX21" i="3" s="1"/>
  <c r="DZ21" i="3" s="1"/>
  <c r="DY29" i="3" s="1"/>
  <c r="DR21" i="3" a="1"/>
  <c r="DR21" i="3" s="1"/>
  <c r="DX25" i="3" a="1"/>
  <c r="DX25" i="3" s="1"/>
  <c r="DZ25" i="3" s="1"/>
  <c r="DR25" i="3" a="1"/>
  <c r="DR25" i="3" s="1"/>
  <c r="DI20" i="3"/>
  <c r="DX24" i="3" a="1"/>
  <c r="DX24" i="3" s="1"/>
  <c r="DZ24" i="3" s="1"/>
  <c r="DR24" i="3" a="1"/>
  <c r="DR24" i="3" s="1"/>
  <c r="DX20" i="3" a="1"/>
  <c r="DX20" i="3" s="1"/>
  <c r="DZ20" i="3" s="1"/>
  <c r="DY34" i="3" s="1"/>
  <c r="DT20" i="3" a="1"/>
  <c r="DT20" i="3" s="1"/>
  <c r="DR20" i="3" a="1"/>
  <c r="DR20" i="3" s="1"/>
  <c r="DO30" i="3"/>
  <c r="DX22" i="3" a="1"/>
  <c r="DX22" i="3" s="1"/>
  <c r="DZ22" i="3" s="1"/>
  <c r="DR22" i="3" a="1"/>
  <c r="DR22" i="3" s="1"/>
  <c r="DK20" i="3" a="1"/>
  <c r="DJ22" i="3" a="1"/>
  <c r="DT21" i="3" a="1"/>
  <c r="DK20" i="3" l="1"/>
  <c r="DY35" i="3"/>
  <c r="DY37" i="3"/>
  <c r="DT21" i="3"/>
  <c r="DJ22" i="3"/>
  <c r="DS20" i="3"/>
  <c r="DU20" i="3" a="1"/>
  <c r="DU20" i="3" s="1"/>
  <c r="DY36" i="3"/>
  <c r="DI21" i="3"/>
  <c r="DK21" i="3" a="1"/>
  <c r="DT22" i="3" a="1"/>
  <c r="DJ23" i="3" a="1"/>
  <c r="DK21" i="3" l="1"/>
  <c r="DJ23" i="3"/>
  <c r="DT22" i="3"/>
  <c r="DI22" i="3"/>
  <c r="DU21" i="3" a="1"/>
  <c r="DU21" i="3" s="1"/>
  <c r="DS21" i="3"/>
  <c r="DK22" i="3" a="1"/>
  <c r="DT23" i="3" a="1"/>
  <c r="DJ24" i="3" a="1"/>
  <c r="DK22" i="3" l="1"/>
  <c r="DT23" i="3"/>
  <c r="DJ24" i="3"/>
  <c r="DS22" i="3"/>
  <c r="DU22" i="3" a="1"/>
  <c r="DU22" i="3" s="1"/>
  <c r="DI23" i="3"/>
  <c r="DK23" i="3" a="1"/>
  <c r="DT24" i="3" a="1"/>
  <c r="DJ25" i="3" a="1"/>
  <c r="DK23" i="3" l="1"/>
  <c r="DJ25" i="3"/>
  <c r="DT24" i="3"/>
  <c r="DI24" i="3"/>
  <c r="DS23" i="3"/>
  <c r="DU23" i="3" a="1"/>
  <c r="DU23" i="3" s="1"/>
  <c r="DK24" i="3" a="1"/>
  <c r="DT25" i="3" a="1"/>
  <c r="DK24" i="3" l="1"/>
  <c r="DT25" i="3"/>
  <c r="DU24" i="3" a="1"/>
  <c r="DU24" i="3" s="1"/>
  <c r="DS24" i="3"/>
  <c r="DI25" i="3"/>
  <c r="DK25" i="3" a="1"/>
  <c r="DK25" i="3" l="1"/>
  <c r="DS25" i="3"/>
  <c r="DU25" i="3" a="1"/>
  <c r="DU25" i="3" s="1"/>
  <c r="S23" i="3"/>
  <c r="DH52" i="3" l="1" a="1"/>
  <c r="DH52" i="3" s="1"/>
  <c r="DY32" i="3"/>
  <c r="DH40" i="3" a="1"/>
  <c r="DH40" i="3" s="1"/>
  <c r="DY39" i="3" l="1"/>
  <c r="DY38" i="3"/>
  <c r="DH54" i="3" a="1"/>
  <c r="DH54" i="3" s="1"/>
  <c r="DH134" i="3" a="1"/>
  <c r="DH134" i="3" s="1"/>
  <c r="DH123" i="3" a="1"/>
  <c r="DH123" i="3" s="1"/>
  <c r="DH53" i="3" a="1"/>
  <c r="DH53" i="3" s="1"/>
  <c r="DH122" i="3" a="1"/>
  <c r="DH122" i="3" s="1"/>
  <c r="DH91" i="3" a="1"/>
  <c r="DH91" i="3" s="1"/>
  <c r="DH90" i="3" a="1"/>
  <c r="DH90" i="3" s="1"/>
  <c r="DJ134" i="3" a="1"/>
  <c r="DJ134" i="3" l="1"/>
  <c r="DK134" i="3" s="1" a="1"/>
  <c r="DK134" i="3" s="1"/>
  <c r="DI134" i="3"/>
  <c r="DJ135" i="3" a="1"/>
  <c r="DJ135" i="3" l="1"/>
  <c r="DJ136" i="3" a="1"/>
  <c r="DJ136" i="3" l="1"/>
  <c r="DJ137" i="3" a="1"/>
  <c r="DJ137" i="3" l="1"/>
  <c r="DJ138" i="3" a="1"/>
  <c r="DJ138" i="3" l="1"/>
  <c r="DK138" i="3" s="1" a="1"/>
  <c r="DK138" i="3" s="1"/>
  <c r="DK137" i="3" a="1"/>
  <c r="DK137" i="3" s="1"/>
  <c r="DI137" i="3"/>
  <c r="DK136" i="3" a="1"/>
  <c r="DK136" i="3" s="1"/>
  <c r="DI136" i="3"/>
  <c r="DI138" i="3" l="1"/>
  <c r="DK135" i="3" a="1"/>
  <c r="DK135" i="3" s="1"/>
  <c r="DI135" i="3"/>
  <c r="DH138" i="3" a="1"/>
  <c r="DH138" i="3" s="1"/>
  <c r="DH136" i="3" a="1"/>
  <c r="DH136" i="3" s="1"/>
  <c r="DH135" i="3" a="1"/>
  <c r="DH135" i="3" s="1"/>
  <c r="DH137" i="3" a="1"/>
  <c r="DH137" i="3" s="1"/>
  <c r="T23" i="3" a="1"/>
  <c r="T23" i="3" s="1"/>
  <c r="DH149" i="3" a="1"/>
  <c r="DH149" i="3" s="1"/>
  <c r="DH151" i="3" a="1"/>
  <c r="DH151" i="3" s="1"/>
  <c r="DH150" i="3" a="1"/>
  <c r="DH150" i="3" s="1"/>
  <c r="DH148" i="3" a="1"/>
  <c r="DH148" i="3" s="1"/>
  <c r="DB26" i="3" l="1" a="1"/>
  <c r="DB26" i="3" s="1"/>
  <c r="DE26" i="3" s="1"/>
  <c r="DG26" i="3" s="1"/>
  <c r="DQ26" i="3" l="1"/>
  <c r="DX26" i="3" s="1" a="1"/>
  <c r="DX26" i="3" s="1"/>
  <c r="DZ26" i="3" s="1"/>
  <c r="DY40" i="3" s="1"/>
  <c r="DJ104" i="3" a="1"/>
  <c r="DJ104" i="3" l="1"/>
  <c r="DJ105" i="3" a="1"/>
  <c r="DJ105" i="3" l="1"/>
  <c r="DI104" i="3"/>
  <c r="DK104" i="3" a="1"/>
  <c r="DK104" i="3" s="1"/>
  <c r="DJ106" i="3" a="1"/>
  <c r="DJ106" i="3" l="1"/>
  <c r="DK105" i="3" a="1"/>
  <c r="DK105" i="3" s="1"/>
  <c r="DI105" i="3"/>
  <c r="DJ107" i="3" a="1"/>
  <c r="DJ107" i="3" l="1"/>
  <c r="DI106" i="3"/>
  <c r="DK106" i="3" a="1"/>
  <c r="DK106" i="3" s="1"/>
  <c r="DI107" i="3" l="1"/>
  <c r="DK107" i="3" a="1"/>
  <c r="DK107" i="3" s="1"/>
  <c r="DT26" i="3" a="1"/>
  <c r="DT26" i="3" l="1"/>
  <c r="DS26" i="3" s="1"/>
  <c r="DU26" i="3" l="1" a="1"/>
  <c r="DU26" i="3" s="1"/>
  <c r="DA92" i="3"/>
  <c r="DA108" i="3"/>
  <c r="DA124" i="3"/>
  <c r="DA76" i="3"/>
  <c r="DR26" i="3" a="1"/>
  <c r="DR26" i="3" s="1"/>
  <c r="DJ26" i="3" a="1"/>
  <c r="DJ26" i="3" l="1"/>
  <c r="DK26" i="3" a="1"/>
  <c r="DK26" i="3" s="1"/>
  <c r="DI26" i="3"/>
  <c r="AQ5" i="3"/>
  <c r="AP5" i="3"/>
  <c r="E55" i="8" l="1" a="1"/>
  <c r="E55" i="8" s="1"/>
  <c r="G27" i="5" a="1"/>
  <c r="G27" i="5" s="1"/>
  <c r="DJ90" i="3" a="1"/>
  <c r="DJ90" i="3" l="1"/>
  <c r="DJ91" i="3" a="1"/>
  <c r="DJ91" i="3" l="1"/>
  <c r="DI90" i="3"/>
  <c r="DK90" i="3" a="1"/>
  <c r="DK90" i="3" s="1"/>
  <c r="DK91" i="3" l="1" a="1"/>
  <c r="DK91" i="3" s="1"/>
  <c r="DI91" i="3"/>
  <c r="DH26" i="3" l="1" a="1"/>
  <c r="DH26" i="3" s="1"/>
  <c r="EY32" i="3" a="1"/>
  <c r="EY32" i="3" s="1"/>
  <c r="ET32" i="3" a="1"/>
  <c r="ET32" i="3" s="1"/>
  <c r="DJ118" i="3" a="1"/>
  <c r="DJ118" i="3" l="1"/>
  <c r="DJ119" i="3" a="1"/>
  <c r="DJ119" i="3" l="1"/>
  <c r="DI118" i="3"/>
  <c r="DK118" i="3" a="1"/>
  <c r="DK118" i="3" s="1"/>
  <c r="DJ120" i="3" a="1"/>
  <c r="DJ120" i="3" l="1"/>
  <c r="DK119" i="3" a="1"/>
  <c r="DK119" i="3" s="1"/>
  <c r="DI119" i="3"/>
  <c r="DJ121" i="3" a="1"/>
  <c r="DJ121" i="3" l="1"/>
  <c r="DK120" i="3" a="1"/>
  <c r="DK120" i="3" s="1"/>
  <c r="DI120" i="3"/>
  <c r="DJ122" i="3" a="1"/>
  <c r="DJ122" i="3" l="1"/>
  <c r="DI121" i="3"/>
  <c r="DK121" i="3" a="1"/>
  <c r="DK121" i="3" s="1"/>
  <c r="DJ123" i="3" a="1"/>
  <c r="DJ123" i="3" l="1"/>
  <c r="DI122" i="3"/>
  <c r="DK122" i="3" a="1"/>
  <c r="DK122" i="3" s="1"/>
  <c r="DK123" i="3" l="1" a="1"/>
  <c r="DK123" i="3" s="1"/>
  <c r="DI123" i="3"/>
  <c r="DA34" i="3"/>
  <c r="DB34" i="3" s="1" a="1"/>
  <c r="DB34" i="3" s="1"/>
  <c r="DE34" i="3" s="1"/>
  <c r="DG34" i="3" s="1"/>
  <c r="DA35" i="3"/>
  <c r="DB35" i="3" s="1" a="1"/>
  <c r="DB35" i="3" s="1"/>
  <c r="DE35" i="3" s="1"/>
  <c r="DG35" i="3" s="1"/>
  <c r="DA48" i="3"/>
  <c r="DB48" i="3" s="1" a="1"/>
  <c r="DB48" i="3" s="1"/>
  <c r="DE48" i="3" s="1"/>
  <c r="DG48" i="3" s="1"/>
  <c r="DA49" i="3"/>
  <c r="DB49" i="3" s="1" a="1"/>
  <c r="DB49" i="3" s="1"/>
  <c r="DE49" i="3" s="1"/>
  <c r="DG49" i="3" s="1"/>
  <c r="DA50" i="3"/>
  <c r="DB50" i="3" s="1" a="1"/>
  <c r="DB50" i="3" s="1"/>
  <c r="DE50" i="3" s="1"/>
  <c r="DG50" i="3" s="1"/>
  <c r="DA51" i="3"/>
  <c r="DB51" i="3" s="1" a="1"/>
  <c r="DB51" i="3" s="1"/>
  <c r="DE51" i="3" s="1"/>
  <c r="DG51" i="3" s="1"/>
  <c r="DA62" i="3"/>
  <c r="DB62" i="3" s="1" a="1"/>
  <c r="DB62" i="3" s="1"/>
  <c r="DE62" i="3" s="1"/>
  <c r="DG62" i="3" s="1"/>
  <c r="DA63" i="3"/>
  <c r="DB63" i="3" s="1" a="1"/>
  <c r="DB63" i="3" s="1"/>
  <c r="DE63" i="3" s="1"/>
  <c r="DG63" i="3" s="1"/>
  <c r="DA64" i="3"/>
  <c r="DB64" i="3" s="1" a="1"/>
  <c r="DB64" i="3" s="1"/>
  <c r="DE64" i="3" s="1"/>
  <c r="DG64" i="3" s="1"/>
  <c r="DA65" i="3"/>
  <c r="DB65" i="3" s="1" a="1"/>
  <c r="DB65" i="3" s="1"/>
  <c r="DE65" i="3" s="1"/>
  <c r="DG65" i="3" s="1"/>
  <c r="DA66" i="3"/>
  <c r="DB66" i="3" s="1" a="1"/>
  <c r="DB66" i="3" s="1"/>
  <c r="DE66" i="3" s="1"/>
  <c r="DG66" i="3" s="1"/>
  <c r="DA67" i="3"/>
  <c r="DB67" i="3" s="1" a="1"/>
  <c r="DB67" i="3" s="1"/>
  <c r="DE67" i="3" s="1"/>
  <c r="DG67" i="3" s="1"/>
  <c r="DB76" i="3" a="1"/>
  <c r="DB76" i="3" s="1"/>
  <c r="DE76" i="3" s="1"/>
  <c r="DG76" i="3" s="1"/>
  <c r="DA77" i="3"/>
  <c r="DB77" i="3" s="1" a="1"/>
  <c r="DB77" i="3" s="1"/>
  <c r="DE77" i="3" s="1"/>
  <c r="DG77" i="3" s="1"/>
  <c r="DA78" i="3"/>
  <c r="DB78" i="3" s="1" a="1"/>
  <c r="DB78" i="3" s="1"/>
  <c r="DE78" i="3" s="1"/>
  <c r="DG78" i="3" s="1"/>
  <c r="DA79" i="3"/>
  <c r="DB79" i="3" s="1" a="1"/>
  <c r="DB79" i="3" s="1"/>
  <c r="DE79" i="3" s="1"/>
  <c r="DG79" i="3" s="1"/>
  <c r="DA80" i="3"/>
  <c r="DB80" i="3" s="1" a="1"/>
  <c r="DB80" i="3" s="1"/>
  <c r="DE80" i="3" s="1"/>
  <c r="DG80" i="3" s="1"/>
  <c r="DA81" i="3"/>
  <c r="DB81" i="3" s="1" a="1"/>
  <c r="DB81" i="3" s="1"/>
  <c r="DE81" i="3" s="1"/>
  <c r="DG81" i="3" s="1"/>
  <c r="DA82" i="3"/>
  <c r="DB82" i="3" s="1" a="1"/>
  <c r="DB82" i="3" s="1"/>
  <c r="DE82" i="3" s="1"/>
  <c r="DG82" i="3" s="1"/>
  <c r="DA83" i="3"/>
  <c r="DB92" i="3" a="1"/>
  <c r="DB92" i="3" s="1"/>
  <c r="DE92" i="3" s="1"/>
  <c r="DG92" i="3" s="1"/>
  <c r="DA93" i="3"/>
  <c r="DB93" i="3" s="1" a="1"/>
  <c r="DB93" i="3" s="1"/>
  <c r="DE93" i="3" s="1"/>
  <c r="DG93" i="3" s="1"/>
  <c r="DA94" i="3"/>
  <c r="DB94" i="3" s="1" a="1"/>
  <c r="DB94" i="3" s="1"/>
  <c r="DE94" i="3" s="1"/>
  <c r="DG94" i="3" s="1"/>
  <c r="DA95" i="3"/>
  <c r="DB95" i="3" s="1" a="1"/>
  <c r="DB95" i="3" s="1"/>
  <c r="DE95" i="3" s="1"/>
  <c r="DG95" i="3" s="1"/>
  <c r="DA96" i="3"/>
  <c r="DB96" i="3" s="1" a="1"/>
  <c r="DB96" i="3" s="1"/>
  <c r="DE96" i="3" s="1"/>
  <c r="DG96" i="3" s="1"/>
  <c r="DA97" i="3"/>
  <c r="DB108" i="3" a="1"/>
  <c r="DB108" i="3" s="1"/>
  <c r="DE108" i="3" s="1"/>
  <c r="DG108" i="3" s="1"/>
  <c r="DA109" i="3"/>
  <c r="DB109" i="3" s="1" a="1"/>
  <c r="DB109" i="3" s="1"/>
  <c r="DE109" i="3" s="1"/>
  <c r="DG109" i="3" s="1"/>
  <c r="DA110" i="3"/>
  <c r="DB110" i="3" s="1" a="1"/>
  <c r="DB110" i="3" s="1"/>
  <c r="DE110" i="3" s="1"/>
  <c r="DG110" i="3" s="1"/>
  <c r="DA111" i="3"/>
  <c r="DB124" i="3" a="1"/>
  <c r="DB124" i="3" s="1"/>
  <c r="DE124" i="3" s="1"/>
  <c r="DG124" i="3" s="1"/>
  <c r="DA125" i="3"/>
  <c r="DA146" i="3"/>
  <c r="DB146" i="3" s="1" a="1"/>
  <c r="DB146" i="3" s="1"/>
  <c r="DE146" i="3" s="1"/>
  <c r="DG146" i="3" s="1"/>
  <c r="DA147" i="3"/>
  <c r="DB147" i="3" s="1" a="1"/>
  <c r="DB147" i="3" s="1"/>
  <c r="DE147" i="3" s="1"/>
  <c r="DG147" i="3" s="1"/>
  <c r="DA160" i="3"/>
  <c r="DB160" i="3" s="1" a="1"/>
  <c r="DB160" i="3" s="1"/>
  <c r="DE160" i="3" s="1"/>
  <c r="DG160" i="3" s="1"/>
  <c r="DA161" i="3"/>
  <c r="DB161" i="3" s="1" a="1"/>
  <c r="DB161" i="3" s="1"/>
  <c r="DE161" i="3" s="1"/>
  <c r="DG161" i="3" s="1"/>
  <c r="DA162" i="3"/>
  <c r="DB162" i="3" s="1" a="1"/>
  <c r="DB162" i="3" s="1"/>
  <c r="DE162" i="3" s="1"/>
  <c r="DG162" i="3" s="1"/>
  <c r="DA163" i="3"/>
  <c r="DB163" i="3" s="1" a="1"/>
  <c r="DB163" i="3" s="1"/>
  <c r="DE163" i="3" s="1"/>
  <c r="DG163" i="3" s="1"/>
  <c r="DA174" i="3"/>
  <c r="DB174" i="3" s="1" a="1"/>
  <c r="DB174" i="3" s="1"/>
  <c r="DE174" i="3" s="1"/>
  <c r="DG174" i="3" s="1"/>
  <c r="DA175" i="3"/>
  <c r="DB175" i="3" s="1" a="1"/>
  <c r="DB175" i="3" s="1"/>
  <c r="DE175" i="3" s="1"/>
  <c r="DG175" i="3" s="1"/>
  <c r="DA176" i="3"/>
  <c r="DB176" i="3" s="1" a="1"/>
  <c r="DB176" i="3" s="1"/>
  <c r="DE176" i="3" s="1"/>
  <c r="DG176" i="3" s="1"/>
  <c r="DA177" i="3"/>
  <c r="DB177" i="3" s="1" a="1"/>
  <c r="DB177" i="3" s="1"/>
  <c r="DE177" i="3" s="1"/>
  <c r="DG177" i="3" s="1"/>
  <c r="DA178" i="3"/>
  <c r="DB178" i="3" s="1" a="1"/>
  <c r="DB178" i="3" s="1"/>
  <c r="DE178" i="3" s="1"/>
  <c r="DG178" i="3" s="1"/>
  <c r="DA179" i="3"/>
  <c r="DB179" i="3" s="1" a="1"/>
  <c r="DB179" i="3" s="1"/>
  <c r="DE179" i="3" s="1"/>
  <c r="DG179" i="3" s="1"/>
  <c r="DN34" i="3" l="1" a="1"/>
  <c r="DN34" i="3" s="1"/>
  <c r="DN35" i="3" a="1"/>
  <c r="DN35" i="3" s="1"/>
  <c r="DN48" i="3" a="1"/>
  <c r="DN48" i="3" s="1"/>
  <c r="DN49" i="3" a="1"/>
  <c r="DN49" i="3" s="1"/>
  <c r="DN50" i="3" a="1"/>
  <c r="DN50" i="3" s="1"/>
  <c r="DN51" i="3" a="1"/>
  <c r="DN51" i="3" s="1"/>
  <c r="DN62" i="3" a="1"/>
  <c r="DN62" i="3" s="1"/>
  <c r="DN63" i="3" a="1"/>
  <c r="DN63" i="3" s="1"/>
  <c r="DN64" i="3" a="1"/>
  <c r="DN64" i="3" s="1"/>
  <c r="DN65" i="3" a="1"/>
  <c r="DN65" i="3" s="1"/>
  <c r="DN66" i="3" a="1"/>
  <c r="DN66" i="3" s="1"/>
  <c r="DN67" i="3" a="1"/>
  <c r="DN67" i="3" s="1"/>
  <c r="DN76" i="3" a="1"/>
  <c r="DN76" i="3" s="1"/>
  <c r="DN77" i="3" a="1"/>
  <c r="DN77" i="3" s="1"/>
  <c r="DN78" i="3" a="1"/>
  <c r="DN78" i="3" s="1"/>
  <c r="DN79" i="3" a="1"/>
  <c r="DN79" i="3" s="1"/>
  <c r="DN80" i="3" a="1"/>
  <c r="DN80" i="3" s="1"/>
  <c r="DN81" i="3" a="1"/>
  <c r="DN81" i="3" s="1"/>
  <c r="DN82" i="3" a="1"/>
  <c r="DN82" i="3" s="1"/>
  <c r="DN92" i="3" a="1"/>
  <c r="DN92" i="3" s="1"/>
  <c r="DN93" i="3" a="1"/>
  <c r="DN93" i="3" s="1"/>
  <c r="DN94" i="3" a="1"/>
  <c r="DN94" i="3" s="1"/>
  <c r="DN95" i="3" a="1"/>
  <c r="DN95" i="3" s="1"/>
  <c r="DN96" i="3" a="1"/>
  <c r="DN96" i="3" s="1"/>
  <c r="DN108" i="3" a="1"/>
  <c r="DN108" i="3" s="1"/>
  <c r="DN109" i="3" a="1"/>
  <c r="DN109" i="3" s="1"/>
  <c r="DN110" i="3" a="1"/>
  <c r="DN110" i="3" s="1"/>
  <c r="DN124" i="3" a="1"/>
  <c r="DN124" i="3" s="1"/>
  <c r="DN146" i="3" a="1"/>
  <c r="DN146" i="3" s="1"/>
  <c r="DN147" i="3" a="1"/>
  <c r="DN147" i="3" s="1"/>
  <c r="DN160" i="3" a="1"/>
  <c r="DN160" i="3" s="1"/>
  <c r="DN161" i="3" a="1"/>
  <c r="DN161" i="3" s="1"/>
  <c r="DN162" i="3" a="1"/>
  <c r="DN162" i="3" s="1"/>
  <c r="DN163" i="3" a="1"/>
  <c r="DN163" i="3" s="1"/>
  <c r="DN174" i="3" a="1"/>
  <c r="DN174" i="3" s="1"/>
  <c r="DN175" i="3" a="1"/>
  <c r="DN175" i="3" s="1"/>
  <c r="DN176" i="3" a="1"/>
  <c r="DN176" i="3" s="1"/>
  <c r="DN177" i="3" a="1"/>
  <c r="DN177" i="3" s="1"/>
  <c r="DN178" i="3" a="1"/>
  <c r="DN178" i="3" s="1"/>
  <c r="DN179" i="3" a="1"/>
  <c r="DN179" i="3" s="1"/>
  <c r="DJ174" i="3" a="1"/>
  <c r="DJ174" i="3" l="1"/>
  <c r="DJ175" i="3" a="1"/>
  <c r="DJ175" i="3" l="1"/>
  <c r="DJ176" i="3" a="1"/>
  <c r="DJ176" i="3" l="1"/>
  <c r="DJ177" i="3" a="1"/>
  <c r="DJ177" i="3" l="1"/>
  <c r="DJ178" i="3" a="1"/>
  <c r="DJ178" i="3" l="1"/>
  <c r="DJ179" i="3" a="1"/>
  <c r="DJ124" i="3" a="1"/>
  <c r="DJ179" i="3" l="1"/>
  <c r="DK178" i="3" a="1"/>
  <c r="DK178" i="3" s="1"/>
  <c r="DJ124" i="3"/>
  <c r="DJ180" i="3" a="1"/>
  <c r="DJ180" i="3" l="1"/>
  <c r="DK179" i="3" a="1"/>
  <c r="DK179" i="3" s="1"/>
  <c r="DK180" i="3" l="1" a="1"/>
  <c r="DK180" i="3" s="1"/>
  <c r="DI180" i="3"/>
  <c r="DJ76" i="3" a="1"/>
  <c r="DJ76" i="3" s="1"/>
  <c r="R25" i="3" a="1"/>
  <c r="R25" i="3" s="1"/>
  <c r="U25" i="3" s="1" a="1"/>
  <c r="U25" i="3" s="1"/>
  <c r="V25" i="3" s="1"/>
  <c r="DJ77" i="3" a="1"/>
  <c r="DJ92" i="3" a="1"/>
  <c r="DJ92" i="3" l="1"/>
  <c r="DJ77" i="3"/>
  <c r="AQ7" i="3"/>
  <c r="AP7" i="3"/>
  <c r="S25" i="3"/>
  <c r="DJ93" i="3" a="1"/>
  <c r="DJ78" i="3" a="1"/>
  <c r="DJ78" i="3" l="1"/>
  <c r="DJ93" i="3"/>
  <c r="E57" i="8" a="1"/>
  <c r="E57" i="8" s="1"/>
  <c r="G29" i="5" a="1"/>
  <c r="G29" i="5" s="1"/>
  <c r="DJ160" i="3" a="1"/>
  <c r="DJ79" i="3" a="1"/>
  <c r="DJ94" i="3" a="1"/>
  <c r="DJ108" i="3" a="1"/>
  <c r="DJ108" i="3" l="1"/>
  <c r="DJ94" i="3"/>
  <c r="DJ79" i="3"/>
  <c r="DJ160" i="3"/>
  <c r="DK160" i="3" s="1" a="1"/>
  <c r="DK160" i="3" s="1"/>
  <c r="DI160" i="3"/>
  <c r="DJ146" i="3" a="1"/>
  <c r="DJ95" i="3" a="1"/>
  <c r="DJ161" i="3" a="1"/>
  <c r="DJ80" i="3" a="1"/>
  <c r="DJ109" i="3" a="1"/>
  <c r="DJ80" i="3" l="1"/>
  <c r="DJ161" i="3"/>
  <c r="DJ95" i="3"/>
  <c r="DJ109" i="3"/>
  <c r="DI161" i="3"/>
  <c r="DK161" i="3" a="1"/>
  <c r="DK161" i="3" s="1"/>
  <c r="DJ146" i="3"/>
  <c r="DI146" i="3" s="1"/>
  <c r="DK146" i="3" a="1"/>
  <c r="DK146" i="3" s="1"/>
  <c r="DK124" i="3" a="1"/>
  <c r="DK124" i="3" s="1"/>
  <c r="DI124" i="3"/>
  <c r="DJ81" i="3" a="1"/>
  <c r="DJ96" i="3" a="1"/>
  <c r="DJ110" i="3" a="1"/>
  <c r="DJ162" i="3" a="1"/>
  <c r="DJ147" i="3" a="1"/>
  <c r="DJ110" i="3" l="1"/>
  <c r="DJ96" i="3"/>
  <c r="DJ162" i="3"/>
  <c r="DJ81" i="3"/>
  <c r="DI162" i="3"/>
  <c r="DK162" i="3" a="1"/>
  <c r="DK162" i="3" s="1"/>
  <c r="DJ147" i="3"/>
  <c r="DJ148" i="3" a="1"/>
  <c r="DJ163" i="3" a="1"/>
  <c r="DJ82" i="3" a="1"/>
  <c r="DJ163" i="3" l="1"/>
  <c r="DJ82" i="3"/>
  <c r="DI110" i="3"/>
  <c r="DK110" i="3" a="1"/>
  <c r="DK110" i="3" s="1"/>
  <c r="DI163" i="3"/>
  <c r="DK163" i="3" a="1"/>
  <c r="DK163" i="3" s="1"/>
  <c r="DJ148" i="3"/>
  <c r="DI147" i="3"/>
  <c r="DK147" i="3" a="1"/>
  <c r="DK147" i="3" s="1"/>
  <c r="DJ149" i="3" a="1"/>
  <c r="DJ164" i="3" a="1"/>
  <c r="DJ164" i="3" l="1"/>
  <c r="DK164" i="3" a="1"/>
  <c r="DK164" i="3" s="1"/>
  <c r="DI164" i="3"/>
  <c r="DJ149" i="3"/>
  <c r="DI148" i="3"/>
  <c r="DK148" i="3" a="1"/>
  <c r="DK148" i="3" s="1"/>
  <c r="DJ165" i="3" a="1"/>
  <c r="DJ150" i="3" a="1"/>
  <c r="DJ165" i="3" l="1"/>
  <c r="DI165" i="3"/>
  <c r="DK165" i="3" a="1"/>
  <c r="DK165" i="3" s="1"/>
  <c r="DJ150" i="3"/>
  <c r="DK149" i="3" a="1"/>
  <c r="DK149" i="3" s="1"/>
  <c r="DI149" i="3"/>
  <c r="DH162" i="3" a="1"/>
  <c r="DH162" i="3" s="1"/>
  <c r="DH160" i="3" a="1"/>
  <c r="DH160" i="3" s="1"/>
  <c r="DH163" i="3" a="1"/>
  <c r="DH163" i="3" s="1"/>
  <c r="DH161" i="3" a="1"/>
  <c r="DH161" i="3" s="1"/>
  <c r="DJ48" i="3" a="1"/>
  <c r="DJ151" i="3" a="1"/>
  <c r="DJ166" i="3" a="1"/>
  <c r="DJ166" i="3" l="1"/>
  <c r="DI166" i="3" s="1"/>
  <c r="DJ151" i="3"/>
  <c r="DI150" i="3"/>
  <c r="DK150" i="3" a="1"/>
  <c r="DK150" i="3" s="1"/>
  <c r="DJ48" i="3"/>
  <c r="DJ152" i="3" a="1"/>
  <c r="DJ49" i="3" a="1"/>
  <c r="DK166" i="3" l="1" a="1"/>
  <c r="DK166" i="3" s="1"/>
  <c r="DJ152" i="3"/>
  <c r="DK151" i="3" a="1"/>
  <c r="DK151" i="3" s="1"/>
  <c r="DI151" i="3"/>
  <c r="DJ49" i="3"/>
  <c r="DJ50" i="3" a="1"/>
  <c r="DK152" i="3" l="1" a="1"/>
  <c r="DK152" i="3" s="1"/>
  <c r="DI152" i="3"/>
  <c r="DJ50" i="3"/>
  <c r="DJ51" i="3" a="1"/>
  <c r="DJ51" i="3" l="1"/>
  <c r="DK50" i="3" a="1"/>
  <c r="DK50" i="3" s="1"/>
  <c r="DI50" i="3"/>
  <c r="DK96" i="3" a="1"/>
  <c r="DK96" i="3" s="1"/>
  <c r="DI96" i="3"/>
  <c r="DJ62" i="3" a="1"/>
  <c r="DJ52" i="3" a="1"/>
  <c r="DJ52" i="3" l="1"/>
  <c r="DK51" i="3" a="1"/>
  <c r="DK51" i="3" s="1"/>
  <c r="DI51" i="3"/>
  <c r="DJ62" i="3"/>
  <c r="DJ53" i="3" a="1"/>
  <c r="DJ63" i="3" a="1"/>
  <c r="DJ53" i="3" l="1"/>
  <c r="DI52" i="3"/>
  <c r="DK52" i="3" a="1"/>
  <c r="DK52" i="3" s="1"/>
  <c r="DJ63" i="3"/>
  <c r="DJ64" i="3" a="1"/>
  <c r="DJ54" i="3" a="1"/>
  <c r="DJ54" i="3" l="1"/>
  <c r="DK53" i="3" a="1"/>
  <c r="DK53" i="3" s="1"/>
  <c r="DI53" i="3"/>
  <c r="DJ64" i="3"/>
  <c r="DJ65" i="3" a="1"/>
  <c r="DI54" i="3" l="1"/>
  <c r="DK54" i="3" a="1"/>
  <c r="DK54" i="3" s="1"/>
  <c r="DJ65" i="3"/>
  <c r="DK65" i="3" a="1"/>
  <c r="DK65" i="3" s="1"/>
  <c r="DI65" i="3"/>
  <c r="DH147" i="3" a="1"/>
  <c r="DH147" i="3" s="1"/>
  <c r="DH51" i="3" a="1"/>
  <c r="DH51" i="3" s="1"/>
  <c r="DH110" i="3" a="1"/>
  <c r="DH110" i="3" s="1"/>
  <c r="DH50" i="3" a="1"/>
  <c r="DH50" i="3" s="1"/>
  <c r="DK95" i="3" a="1"/>
  <c r="DK95" i="3" s="1"/>
  <c r="DI95" i="3"/>
  <c r="DH146" i="3" a="1"/>
  <c r="DH146" i="3" s="1"/>
  <c r="DK63" i="3" a="1"/>
  <c r="DK63" i="3" s="1"/>
  <c r="DI63" i="3"/>
  <c r="DK64" i="3" a="1"/>
  <c r="DK64" i="3" s="1"/>
  <c r="DI64" i="3"/>
  <c r="DH124" i="3" a="1"/>
  <c r="DH124" i="3" s="1"/>
  <c r="DH67" i="3" a="1"/>
  <c r="DH67" i="3" s="1"/>
  <c r="DK94" i="3" a="1"/>
  <c r="DK94" i="3" s="1"/>
  <c r="DI94" i="3"/>
  <c r="DH66" i="3" a="1"/>
  <c r="DH66" i="3" s="1"/>
  <c r="DK93" i="3" a="1"/>
  <c r="DK93" i="3" s="1"/>
  <c r="DI93" i="3"/>
  <c r="DH65" i="3" a="1"/>
  <c r="DH65" i="3" s="1"/>
  <c r="DK92" i="3" a="1"/>
  <c r="DK92" i="3" s="1"/>
  <c r="DI92" i="3"/>
  <c r="DH64" i="3" a="1"/>
  <c r="DH64" i="3" s="1"/>
  <c r="DH63" i="3" a="1"/>
  <c r="DH63" i="3" s="1"/>
  <c r="DK82" i="3" a="1"/>
  <c r="DK82" i="3" s="1"/>
  <c r="DI82" i="3"/>
  <c r="DK81" i="3" a="1"/>
  <c r="DK81" i="3" s="1"/>
  <c r="DI81" i="3"/>
  <c r="DK80" i="3" a="1"/>
  <c r="DK80" i="3" s="1"/>
  <c r="DI80" i="3"/>
  <c r="DK62" i="3" a="1"/>
  <c r="DK62" i="3" s="1"/>
  <c r="DI62" i="3"/>
  <c r="DH62" i="3" a="1"/>
  <c r="DH62" i="3" s="1"/>
  <c r="DK76" i="3" a="1"/>
  <c r="DK76" i="3" s="1"/>
  <c r="DI76" i="3"/>
  <c r="DK77" i="3" a="1"/>
  <c r="DK77" i="3" s="1"/>
  <c r="DI77" i="3"/>
  <c r="DK79" i="3" a="1"/>
  <c r="DK79" i="3" s="1"/>
  <c r="DI79" i="3"/>
  <c r="DH79" i="3" a="1"/>
  <c r="DH79" i="3" s="1"/>
  <c r="DK78" i="3" a="1"/>
  <c r="DK78" i="3" s="1"/>
  <c r="DI78" i="3"/>
  <c r="DH78" i="3" a="1"/>
  <c r="DH78" i="3" s="1"/>
  <c r="DH77" i="3" a="1"/>
  <c r="DH77" i="3" s="1"/>
  <c r="DH76" i="3" a="1"/>
  <c r="DH76" i="3" s="1"/>
  <c r="DH82" i="3" a="1"/>
  <c r="DH82" i="3" s="1"/>
  <c r="DH81" i="3" a="1"/>
  <c r="DH81" i="3" s="1"/>
  <c r="DH80" i="3" a="1"/>
  <c r="DH80" i="3" s="1"/>
  <c r="DJ34" i="3" a="1"/>
  <c r="DJ66" i="3" a="1"/>
  <c r="DJ66" i="3" l="1"/>
  <c r="DI66" i="3"/>
  <c r="DK66" i="3" a="1"/>
  <c r="DK66" i="3" s="1"/>
  <c r="DJ34" i="3"/>
  <c r="DJ67" i="3" a="1"/>
  <c r="DJ35" i="3" a="1"/>
  <c r="DJ67" i="3" l="1"/>
  <c r="DI34" i="3"/>
  <c r="DK34" i="3" a="1"/>
  <c r="DK34" i="3" s="1"/>
  <c r="DI67" i="3"/>
  <c r="DK67" i="3" a="1"/>
  <c r="DK67" i="3" s="1"/>
  <c r="DJ35" i="3"/>
  <c r="DK35" i="3" s="1" a="1"/>
  <c r="DK35" i="3" s="1"/>
  <c r="DI35" i="3"/>
  <c r="DK49" i="3" a="1"/>
  <c r="DK49" i="3" s="1"/>
  <c r="DI49" i="3"/>
  <c r="DK48" i="3" a="1"/>
  <c r="DK48" i="3" s="1"/>
  <c r="DI48" i="3"/>
  <c r="DK109" i="3" a="1"/>
  <c r="DK109" i="3" s="1"/>
  <c r="DI109" i="3"/>
  <c r="DK108" i="3" a="1"/>
  <c r="DK108" i="3" s="1"/>
  <c r="DI108" i="3"/>
  <c r="DH34" i="3" a="1"/>
  <c r="DH34" i="3" s="1"/>
  <c r="DI179" i="3"/>
  <c r="DH96" i="3" a="1"/>
  <c r="DH96" i="3" s="1"/>
  <c r="DI178" i="3"/>
  <c r="DH95" i="3" a="1"/>
  <c r="DH95" i="3" s="1"/>
  <c r="DH109" i="3" a="1"/>
  <c r="DH109" i="3" s="1"/>
  <c r="DH49" i="3" a="1"/>
  <c r="DH49" i="3" s="1"/>
  <c r="DH179" i="3" a="1"/>
  <c r="DH179" i="3" s="1"/>
  <c r="DK177" i="3" a="1"/>
  <c r="DK177" i="3" s="1"/>
  <c r="DI177" i="3"/>
  <c r="DK176" i="3" a="1"/>
  <c r="DK176" i="3" s="1"/>
  <c r="DI176" i="3"/>
  <c r="DH178" i="3" a="1"/>
  <c r="DH178" i="3" s="1"/>
  <c r="DH48" i="3" a="1"/>
  <c r="DH48" i="3" s="1"/>
  <c r="DH108" i="3" a="1"/>
  <c r="DH108" i="3" s="1"/>
  <c r="DH94" i="3" a="1"/>
  <c r="DH94" i="3" s="1"/>
  <c r="DH35" i="3" a="1"/>
  <c r="DH35" i="3" s="1"/>
  <c r="DH93" i="3" a="1"/>
  <c r="DH93" i="3" s="1"/>
  <c r="DH92" i="3" a="1"/>
  <c r="DH92" i="3" s="1"/>
  <c r="DH176" i="3" a="1"/>
  <c r="DH176" i="3" s="1"/>
  <c r="DK175" i="3" a="1"/>
  <c r="DK175" i="3" s="1"/>
  <c r="DI175" i="3"/>
  <c r="DH177" i="3" a="1"/>
  <c r="DH177" i="3" s="1"/>
  <c r="DK174" i="3" a="1"/>
  <c r="DK174" i="3" s="1"/>
  <c r="DI174" i="3"/>
  <c r="DH175" i="3" a="1"/>
  <c r="DH175" i="3" s="1"/>
  <c r="DH174" i="3" a="1"/>
  <c r="DH174" i="3" s="1"/>
  <c r="FE33" i="3" a="1"/>
  <c r="FE33" i="3" s="1"/>
  <c r="EZ33" i="3"/>
  <c r="FA33" i="3" s="1"/>
  <c r="FC33" i="3" s="1"/>
  <c r="EY33" i="3" a="1"/>
  <c r="EY33" i="3" s="1"/>
  <c r="ET33" i="3" a="1"/>
  <c r="ET33" i="3" s="1"/>
  <c r="T25" i="3" a="1"/>
  <c r="T25" i="3" s="1"/>
  <c r="DJ36" i="3" a="1"/>
  <c r="DJ68" i="3" a="1"/>
  <c r="DJ68" i="3" l="1"/>
  <c r="DK68" i="3" a="1"/>
  <c r="DK68" i="3" s="1"/>
  <c r="DI68" i="3"/>
  <c r="DJ36" i="3"/>
  <c r="DJ37" i="3" a="1"/>
  <c r="DJ37" i="3" l="1"/>
  <c r="DK36" i="3" a="1"/>
  <c r="DK36" i="3" s="1"/>
  <c r="DI36" i="3"/>
  <c r="DJ38" i="3" a="1"/>
  <c r="DJ38" i="3" l="1"/>
  <c r="DI37" i="3"/>
  <c r="DK37" i="3" a="1"/>
  <c r="DK37" i="3" s="1"/>
  <c r="DJ39" i="3" a="1"/>
  <c r="DJ39" i="3" l="1"/>
  <c r="DI38" i="3"/>
  <c r="DK38" i="3" a="1"/>
  <c r="DK38" i="3" s="1"/>
  <c r="DJ40" i="3" a="1"/>
  <c r="DJ40" i="3" l="1"/>
  <c r="DI39" i="3"/>
  <c r="DK39" i="3" a="1"/>
  <c r="DK39" i="3" s="1"/>
  <c r="DK40" i="3" l="1" a="1"/>
  <c r="DK40" i="3" s="1"/>
  <c r="DI40" i="3"/>
  <c r="U24" i="3" a="1"/>
  <c r="U24" i="3" s="1"/>
  <c r="BD6" i="3" s="1"/>
  <c r="X24" i="3" a="1"/>
  <c r="BK6" i="3" l="1"/>
  <c r="F34" i="5" a="1"/>
  <c r="F34" i="5" s="1"/>
  <c r="DB153" i="3" a="1"/>
  <c r="DB153" i="3" s="1"/>
  <c r="DE153" i="3" s="1"/>
  <c r="DG153" i="3" s="1"/>
  <c r="DN153" i="3" s="1" a="1"/>
  <c r="DN153" i="3" s="1"/>
  <c r="DB55" i="3" a="1"/>
  <c r="DB55" i="3" s="1"/>
  <c r="DE55" i="3" s="1"/>
  <c r="DG55" i="3" s="1"/>
  <c r="DN55" i="3" s="1" a="1"/>
  <c r="DN55" i="3" s="1"/>
  <c r="DB181" i="3" a="1"/>
  <c r="DB181" i="3" s="1"/>
  <c r="DE181" i="3" s="1"/>
  <c r="DG181" i="3" s="1"/>
  <c r="DN181" i="3" s="1" a="1"/>
  <c r="DN181" i="3" s="1"/>
  <c r="C43" i="9" a="1"/>
  <c r="C43" i="9" s="1"/>
  <c r="F40" i="9" s="1" a="1"/>
  <c r="F40" i="9" s="1"/>
  <c r="X24" i="3"/>
  <c r="DA28" i="3" s="1"/>
  <c r="DB28" i="3" s="1" a="1"/>
  <c r="DB28" i="3" s="1"/>
  <c r="DE28" i="3" s="1"/>
  <c r="DG28" i="3" s="1"/>
  <c r="DQ28" i="3" s="1"/>
  <c r="X25" i="3" a="1"/>
  <c r="DB139" i="3" l="1" a="1"/>
  <c r="DB139" i="3" s="1"/>
  <c r="DE139" i="3" s="1"/>
  <c r="DG139" i="3" s="1"/>
  <c r="DN139" i="3" s="1" a="1"/>
  <c r="DN139" i="3" s="1"/>
  <c r="DB41" i="3" a="1"/>
  <c r="DB41" i="3" s="1"/>
  <c r="DE41" i="3" s="1"/>
  <c r="DG41" i="3" s="1"/>
  <c r="DN41" i="3" s="1" a="1"/>
  <c r="DN41" i="3" s="1"/>
  <c r="DB167" i="3" a="1"/>
  <c r="DB167" i="3" s="1"/>
  <c r="DE167" i="3" s="1"/>
  <c r="DG167" i="3" s="1"/>
  <c r="DN167" i="3" s="1" a="1"/>
  <c r="DN167" i="3" s="1"/>
  <c r="DB111" i="3" a="1"/>
  <c r="DB111" i="3" s="1"/>
  <c r="DE111" i="3" s="1"/>
  <c r="DG111" i="3" s="1"/>
  <c r="DN111" i="3" s="1" a="1"/>
  <c r="DN111" i="3" s="1"/>
  <c r="DB125" i="3" a="1"/>
  <c r="DB125" i="3" s="1"/>
  <c r="DE125" i="3" s="1"/>
  <c r="DG125" i="3" s="1"/>
  <c r="DN125" i="3" s="1" a="1"/>
  <c r="DN125" i="3" s="1"/>
  <c r="DB69" i="3" a="1"/>
  <c r="DB69" i="3" s="1"/>
  <c r="DE69" i="3" s="1"/>
  <c r="DG69" i="3" s="1"/>
  <c r="DN69" i="3" s="1" a="1"/>
  <c r="DN69" i="3" s="1"/>
  <c r="DB97" i="3" a="1"/>
  <c r="DB97" i="3" s="1"/>
  <c r="DE97" i="3" s="1"/>
  <c r="DG97" i="3" s="1"/>
  <c r="DN97" i="3" s="1" a="1"/>
  <c r="DN97" i="3" s="1"/>
  <c r="DB27" i="3" a="1"/>
  <c r="DB27" i="3" s="1"/>
  <c r="DE27" i="3" s="1"/>
  <c r="DG27" i="3" s="1"/>
  <c r="DQ27" i="3" s="1"/>
  <c r="DX27" i="3" s="1" a="1"/>
  <c r="DX27" i="3" s="1"/>
  <c r="DZ27" i="3" s="1"/>
  <c r="DY41" i="3" s="1"/>
  <c r="DB83" i="3" a="1"/>
  <c r="DB83" i="3" s="1"/>
  <c r="DE83" i="3" s="1"/>
  <c r="DG83" i="3" s="1"/>
  <c r="DN83" i="3" s="1" a="1"/>
  <c r="DN83" i="3" s="1"/>
  <c r="X25" i="3"/>
  <c r="DA29" i="3"/>
  <c r="DB29" i="3" s="1" a="1"/>
  <c r="DB29" i="3" s="1"/>
  <c r="DE29" i="3" s="1"/>
  <c r="DG29" i="3" s="1"/>
  <c r="DQ29" i="3" s="1"/>
  <c r="X26" i="3" a="1"/>
  <c r="X26" i="3" l="1"/>
  <c r="DA30" i="3"/>
  <c r="DB30" i="3" s="1" a="1"/>
  <c r="DB30" i="3" s="1"/>
  <c r="DE30" i="3" s="1"/>
  <c r="DG30" i="3" s="1"/>
  <c r="DQ30" i="3" s="1"/>
  <c r="X27" i="3" a="1"/>
  <c r="X27" i="3" l="1"/>
  <c r="DA31" i="3" s="1"/>
  <c r="DB31" i="3" s="1" a="1"/>
  <c r="DB31" i="3" s="1"/>
  <c r="DE31" i="3" s="1"/>
  <c r="DG31" i="3" s="1"/>
  <c r="DQ31" i="3" s="1"/>
  <c r="X28" i="3" a="1"/>
  <c r="X28" i="3" l="1"/>
  <c r="DA32" i="3"/>
  <c r="DB32" i="3" s="1" a="1"/>
  <c r="DB32" i="3" s="1"/>
  <c r="DE32" i="3" s="1"/>
  <c r="DG32" i="3" s="1"/>
  <c r="DQ32" i="3" s="1"/>
  <c r="X29" i="3" a="1"/>
  <c r="X29" i="3" l="1"/>
  <c r="DA33" i="3" s="1"/>
  <c r="DB33" i="3" s="1" a="1"/>
  <c r="DB33" i="3" s="1"/>
  <c r="DE33" i="3" s="1"/>
  <c r="DG33" i="3" s="1"/>
  <c r="DA42" i="3"/>
  <c r="DB42" i="3" s="1" a="1"/>
  <c r="DB42" i="3" s="1"/>
  <c r="DE42" i="3" s="1"/>
  <c r="DG42" i="3" s="1"/>
  <c r="DA43" i="3"/>
  <c r="DB43" i="3" s="1" a="1"/>
  <c r="DB43" i="3" s="1"/>
  <c r="DE43" i="3" s="1"/>
  <c r="DG43" i="3" s="1"/>
  <c r="DN43" i="3" s="1" a="1"/>
  <c r="DN43" i="3" s="1"/>
  <c r="DA44" i="3"/>
  <c r="DB44" i="3" s="1" a="1"/>
  <c r="DB44" i="3" s="1"/>
  <c r="DE44" i="3" s="1"/>
  <c r="DG44" i="3" s="1"/>
  <c r="DN44" i="3" s="1" a="1"/>
  <c r="DN44" i="3" s="1"/>
  <c r="DA45" i="3"/>
  <c r="DB45" i="3" s="1" a="1"/>
  <c r="DB45" i="3" s="1"/>
  <c r="DE45" i="3" s="1"/>
  <c r="DG45" i="3" s="1"/>
  <c r="DN45" i="3" s="1" a="1"/>
  <c r="DN45" i="3" s="1"/>
  <c r="DA46" i="3"/>
  <c r="DB46" i="3" s="1" a="1"/>
  <c r="DB46" i="3" s="1"/>
  <c r="DE46" i="3" s="1"/>
  <c r="DG46" i="3" s="1"/>
  <c r="DN46" i="3" s="1" a="1"/>
  <c r="DN46" i="3" s="1"/>
  <c r="DA56" i="3"/>
  <c r="DB56" i="3" s="1" a="1"/>
  <c r="DB56" i="3" s="1"/>
  <c r="DE56" i="3" s="1"/>
  <c r="DG56" i="3" s="1"/>
  <c r="DN56" i="3" s="1" a="1"/>
  <c r="DN56" i="3" s="1"/>
  <c r="DA57" i="3"/>
  <c r="DB57" i="3" s="1" a="1"/>
  <c r="DB57" i="3" s="1"/>
  <c r="DE57" i="3" s="1"/>
  <c r="DG57" i="3" s="1"/>
  <c r="DN57" i="3" s="1" a="1"/>
  <c r="DN57" i="3" s="1"/>
  <c r="DA58" i="3"/>
  <c r="DB58" i="3" s="1" a="1"/>
  <c r="DB58" i="3" s="1"/>
  <c r="DE58" i="3" s="1"/>
  <c r="DG58" i="3" s="1"/>
  <c r="DN58" i="3" s="1" a="1"/>
  <c r="DN58" i="3" s="1"/>
  <c r="DA59" i="3"/>
  <c r="DB59" i="3" s="1" a="1"/>
  <c r="DB59" i="3" s="1"/>
  <c r="DE59" i="3" s="1"/>
  <c r="DG59" i="3" s="1"/>
  <c r="DN59" i="3" s="1" a="1"/>
  <c r="DN59" i="3" s="1"/>
  <c r="DA60" i="3"/>
  <c r="DB60" i="3" s="1" a="1"/>
  <c r="DB60" i="3" s="1"/>
  <c r="DE60" i="3" s="1"/>
  <c r="DG60" i="3" s="1"/>
  <c r="DN60" i="3" s="1" a="1"/>
  <c r="DN60" i="3" s="1"/>
  <c r="DA70" i="3"/>
  <c r="DB70" i="3" s="1" a="1"/>
  <c r="DB70" i="3" s="1"/>
  <c r="DE70" i="3" s="1"/>
  <c r="DG70" i="3" s="1"/>
  <c r="DN70" i="3" s="1" a="1"/>
  <c r="DN70" i="3" s="1"/>
  <c r="DA71" i="3"/>
  <c r="DB71" i="3" s="1" a="1"/>
  <c r="DB71" i="3" s="1"/>
  <c r="DE71" i="3" s="1"/>
  <c r="DG71" i="3" s="1"/>
  <c r="DN71" i="3" s="1" a="1"/>
  <c r="DN71" i="3" s="1"/>
  <c r="DA72" i="3"/>
  <c r="DB72" i="3" s="1" a="1"/>
  <c r="DB72" i="3" s="1"/>
  <c r="DE72" i="3" s="1"/>
  <c r="DG72" i="3" s="1"/>
  <c r="DN72" i="3" s="1" a="1"/>
  <c r="DN72" i="3" s="1"/>
  <c r="DA73" i="3"/>
  <c r="DB73" i="3" s="1" a="1"/>
  <c r="DB73" i="3" s="1"/>
  <c r="DE73" i="3" s="1"/>
  <c r="DG73" i="3" s="1"/>
  <c r="DN73" i="3" s="1" a="1"/>
  <c r="DN73" i="3" s="1"/>
  <c r="DA74" i="3"/>
  <c r="DB74" i="3" s="1" a="1"/>
  <c r="DB74" i="3" s="1"/>
  <c r="DE74" i="3" s="1"/>
  <c r="DG74" i="3" s="1"/>
  <c r="DN74" i="3" s="1" a="1"/>
  <c r="DN74" i="3" s="1"/>
  <c r="DA84" i="3"/>
  <c r="DB84" i="3" s="1" a="1"/>
  <c r="DB84" i="3" s="1"/>
  <c r="DE84" i="3" s="1"/>
  <c r="DG84" i="3" s="1"/>
  <c r="DN84" i="3" s="1" a="1"/>
  <c r="DN84" i="3" s="1"/>
  <c r="DA85" i="3"/>
  <c r="DB85" i="3" s="1" a="1"/>
  <c r="DB85" i="3" s="1"/>
  <c r="DE85" i="3" s="1"/>
  <c r="DG85" i="3" s="1"/>
  <c r="DN85" i="3" s="1" a="1"/>
  <c r="DN85" i="3" s="1"/>
  <c r="DA86" i="3"/>
  <c r="DB86" i="3" s="1" a="1"/>
  <c r="DB86" i="3" s="1"/>
  <c r="DE86" i="3" s="1"/>
  <c r="DG86" i="3" s="1"/>
  <c r="DN86" i="3" s="1" a="1"/>
  <c r="DN86" i="3" s="1"/>
  <c r="DA87" i="3"/>
  <c r="DB87" i="3" s="1" a="1"/>
  <c r="DB87" i="3" s="1"/>
  <c r="DE87" i="3" s="1"/>
  <c r="DG87" i="3" s="1"/>
  <c r="DN87" i="3" s="1" a="1"/>
  <c r="DN87" i="3" s="1"/>
  <c r="DA88" i="3"/>
  <c r="DB88" i="3" s="1" a="1"/>
  <c r="DB88" i="3" s="1"/>
  <c r="DE88" i="3" s="1"/>
  <c r="DG88" i="3" s="1"/>
  <c r="DN88" i="3" s="1" a="1"/>
  <c r="DN88" i="3" s="1"/>
  <c r="DA98" i="3"/>
  <c r="DB98" i="3" s="1" a="1"/>
  <c r="DB98" i="3" s="1"/>
  <c r="DE98" i="3" s="1"/>
  <c r="DG98" i="3" s="1"/>
  <c r="DN98" i="3" s="1" a="1"/>
  <c r="DN98" i="3" s="1"/>
  <c r="DA99" i="3"/>
  <c r="DB99" i="3" s="1" a="1"/>
  <c r="DB99" i="3" s="1"/>
  <c r="DE99" i="3" s="1"/>
  <c r="DG99" i="3" s="1"/>
  <c r="DN99" i="3" s="1" a="1"/>
  <c r="DN99" i="3" s="1"/>
  <c r="DA100" i="3"/>
  <c r="DB100" i="3" s="1" a="1"/>
  <c r="DB100" i="3" s="1"/>
  <c r="DE100" i="3" s="1"/>
  <c r="DG100" i="3" s="1"/>
  <c r="DN100" i="3" s="1" a="1"/>
  <c r="DN100" i="3" s="1"/>
  <c r="DA101" i="3"/>
  <c r="DB101" i="3" s="1" a="1"/>
  <c r="DB101" i="3" s="1"/>
  <c r="DE101" i="3" s="1"/>
  <c r="DG101" i="3" s="1"/>
  <c r="DN101" i="3" s="1" a="1"/>
  <c r="DN101" i="3" s="1"/>
  <c r="DA102" i="3"/>
  <c r="DB102" i="3" s="1" a="1"/>
  <c r="DB102" i="3" s="1"/>
  <c r="DE102" i="3" s="1"/>
  <c r="DG102" i="3" s="1"/>
  <c r="DN102" i="3" s="1" a="1"/>
  <c r="DN102" i="3" s="1"/>
  <c r="DA112" i="3"/>
  <c r="DB112" i="3" s="1" a="1"/>
  <c r="DB112" i="3" s="1"/>
  <c r="DE112" i="3" s="1"/>
  <c r="DG112" i="3" s="1"/>
  <c r="DN112" i="3" s="1" a="1"/>
  <c r="DN112" i="3" s="1"/>
  <c r="DA113" i="3"/>
  <c r="DB113" i="3" s="1" a="1"/>
  <c r="DB113" i="3" s="1"/>
  <c r="DE113" i="3" s="1"/>
  <c r="DG113" i="3" s="1"/>
  <c r="DN113" i="3" s="1" a="1"/>
  <c r="DN113" i="3" s="1"/>
  <c r="DA114" i="3"/>
  <c r="DB114" i="3" s="1" a="1"/>
  <c r="DB114" i="3" s="1"/>
  <c r="DE114" i="3" s="1"/>
  <c r="DG114" i="3" s="1"/>
  <c r="DN114" i="3" s="1" a="1"/>
  <c r="DN114" i="3" s="1"/>
  <c r="DA115" i="3"/>
  <c r="DB115" i="3" s="1" a="1"/>
  <c r="DB115" i="3" s="1"/>
  <c r="DE115" i="3" s="1"/>
  <c r="DG115" i="3" s="1"/>
  <c r="DN115" i="3" s="1" a="1"/>
  <c r="DN115" i="3" s="1"/>
  <c r="DA116" i="3"/>
  <c r="DB116" i="3" s="1" a="1"/>
  <c r="DB116" i="3" s="1"/>
  <c r="DE116" i="3" s="1"/>
  <c r="DG116" i="3" s="1"/>
  <c r="DN116" i="3" s="1" a="1"/>
  <c r="DN116" i="3" s="1"/>
  <c r="DA126" i="3"/>
  <c r="DB126" i="3" s="1" a="1"/>
  <c r="DB126" i="3" s="1"/>
  <c r="DE126" i="3" s="1"/>
  <c r="DG126" i="3" s="1"/>
  <c r="DN126" i="3" s="1" a="1"/>
  <c r="DN126" i="3" s="1"/>
  <c r="DA127" i="3"/>
  <c r="DB127" i="3" s="1" a="1"/>
  <c r="DB127" i="3" s="1"/>
  <c r="DE127" i="3" s="1"/>
  <c r="DG127" i="3" s="1"/>
  <c r="DN127" i="3" s="1" a="1"/>
  <c r="DN127" i="3" s="1"/>
  <c r="DA128" i="3"/>
  <c r="DB128" i="3" s="1" a="1"/>
  <c r="DB128" i="3" s="1"/>
  <c r="DE128" i="3" s="1"/>
  <c r="DG128" i="3" s="1"/>
  <c r="DN128" i="3" s="1" a="1"/>
  <c r="DN128" i="3" s="1"/>
  <c r="DA129" i="3"/>
  <c r="DB129" i="3" s="1" a="1"/>
  <c r="DB129" i="3" s="1"/>
  <c r="DE129" i="3" s="1"/>
  <c r="DG129" i="3" s="1"/>
  <c r="DN129" i="3" s="1" a="1"/>
  <c r="DN129" i="3" s="1"/>
  <c r="DA130" i="3"/>
  <c r="DB130" i="3" s="1" a="1"/>
  <c r="DB130" i="3" s="1"/>
  <c r="DE130" i="3" s="1"/>
  <c r="DG130" i="3" s="1"/>
  <c r="DN130" i="3" s="1" a="1"/>
  <c r="DN130" i="3" s="1"/>
  <c r="DA140" i="3"/>
  <c r="DB140" i="3" s="1" a="1"/>
  <c r="DB140" i="3" s="1"/>
  <c r="DE140" i="3" s="1"/>
  <c r="DG140" i="3" s="1"/>
  <c r="DN140" i="3" s="1" a="1"/>
  <c r="DN140" i="3" s="1"/>
  <c r="DA141" i="3"/>
  <c r="DB141" i="3" s="1" a="1"/>
  <c r="DB141" i="3" s="1"/>
  <c r="DE141" i="3" s="1"/>
  <c r="DG141" i="3" s="1"/>
  <c r="DN141" i="3" s="1" a="1"/>
  <c r="DN141" i="3" s="1"/>
  <c r="DA142" i="3"/>
  <c r="DB142" i="3" s="1" a="1"/>
  <c r="DB142" i="3" s="1"/>
  <c r="DE142" i="3" s="1"/>
  <c r="DG142" i="3" s="1"/>
  <c r="DN142" i="3" s="1" a="1"/>
  <c r="DN142" i="3" s="1"/>
  <c r="DA143" i="3"/>
  <c r="DB143" i="3" s="1" a="1"/>
  <c r="DB143" i="3" s="1"/>
  <c r="DE143" i="3" s="1"/>
  <c r="DG143" i="3" s="1"/>
  <c r="DN143" i="3" s="1" a="1"/>
  <c r="DN143" i="3" s="1"/>
  <c r="DA144" i="3"/>
  <c r="DB144" i="3" s="1" a="1"/>
  <c r="DB144" i="3" s="1"/>
  <c r="DE144" i="3" s="1"/>
  <c r="DG144" i="3" s="1"/>
  <c r="DN144" i="3" s="1" a="1"/>
  <c r="DN144" i="3" s="1"/>
  <c r="DA154" i="3"/>
  <c r="DB154" i="3" s="1" a="1"/>
  <c r="DB154" i="3" s="1"/>
  <c r="DE154" i="3" s="1"/>
  <c r="DG154" i="3" s="1"/>
  <c r="DN154" i="3" s="1" a="1"/>
  <c r="DN154" i="3" s="1"/>
  <c r="DA155" i="3"/>
  <c r="DB155" i="3" s="1" a="1"/>
  <c r="DB155" i="3" s="1"/>
  <c r="DE155" i="3" s="1"/>
  <c r="DG155" i="3" s="1"/>
  <c r="DN155" i="3" s="1" a="1"/>
  <c r="DN155" i="3" s="1"/>
  <c r="DA156" i="3"/>
  <c r="DB156" i="3" s="1" a="1"/>
  <c r="DB156" i="3" s="1"/>
  <c r="DE156" i="3" s="1"/>
  <c r="DG156" i="3" s="1"/>
  <c r="DN156" i="3" s="1" a="1"/>
  <c r="DN156" i="3" s="1"/>
  <c r="DA157" i="3"/>
  <c r="DB157" i="3" s="1" a="1"/>
  <c r="DB157" i="3" s="1"/>
  <c r="DE157" i="3" s="1"/>
  <c r="DG157" i="3" s="1"/>
  <c r="DA158" i="3"/>
  <c r="DB158" i="3" s="1" a="1"/>
  <c r="DB158" i="3" s="1"/>
  <c r="DE158" i="3" s="1"/>
  <c r="DG158" i="3" s="1"/>
  <c r="DN158" i="3" s="1" a="1"/>
  <c r="DN158" i="3" s="1"/>
  <c r="DA168" i="3"/>
  <c r="DB168" i="3" s="1" a="1"/>
  <c r="DB168" i="3" s="1"/>
  <c r="DE168" i="3" s="1"/>
  <c r="DG168" i="3" s="1"/>
  <c r="DN168" i="3" s="1" a="1"/>
  <c r="DN168" i="3" s="1"/>
  <c r="DA169" i="3"/>
  <c r="DB169" i="3" s="1" a="1"/>
  <c r="DB169" i="3" s="1"/>
  <c r="DE169" i="3" s="1"/>
  <c r="DG169" i="3" s="1"/>
  <c r="DN169" i="3" s="1" a="1"/>
  <c r="DN169" i="3" s="1"/>
  <c r="DA170" i="3"/>
  <c r="DB170" i="3" s="1" a="1"/>
  <c r="DB170" i="3" s="1"/>
  <c r="DE170" i="3" s="1"/>
  <c r="DG170" i="3" s="1"/>
  <c r="DN170" i="3" s="1" a="1"/>
  <c r="DN170" i="3" s="1"/>
  <c r="DA171" i="3"/>
  <c r="DB171" i="3" s="1" a="1"/>
  <c r="DB171" i="3" s="1"/>
  <c r="DE171" i="3" s="1"/>
  <c r="DG171" i="3" s="1"/>
  <c r="DN171" i="3" s="1" a="1"/>
  <c r="DN171" i="3" s="1"/>
  <c r="DA172" i="3"/>
  <c r="DB172" i="3" s="1" a="1"/>
  <c r="DB172" i="3" s="1"/>
  <c r="DE172" i="3" s="1"/>
  <c r="DG172" i="3" s="1"/>
  <c r="DN172" i="3" s="1" a="1"/>
  <c r="DN172" i="3" s="1"/>
  <c r="DA182" i="3"/>
  <c r="DB182" i="3" s="1" a="1"/>
  <c r="DB182" i="3" s="1"/>
  <c r="DE182" i="3" s="1"/>
  <c r="DG182" i="3" s="1"/>
  <c r="DN182" i="3" s="1" a="1"/>
  <c r="DN182" i="3" s="1"/>
  <c r="DA183" i="3"/>
  <c r="DB183" i="3" s="1" a="1"/>
  <c r="DB183" i="3" s="1"/>
  <c r="DE183" i="3" s="1"/>
  <c r="DG183" i="3" s="1"/>
  <c r="DN183" i="3" s="1" a="1"/>
  <c r="DN183" i="3" s="1"/>
  <c r="DA184" i="3"/>
  <c r="DB184" i="3" s="1" a="1"/>
  <c r="DB184" i="3" s="1"/>
  <c r="DE184" i="3" s="1"/>
  <c r="DG184" i="3" s="1"/>
  <c r="DN184" i="3" s="1" a="1"/>
  <c r="DN184" i="3" s="1"/>
  <c r="DA185" i="3"/>
  <c r="DB185" i="3" s="1" a="1"/>
  <c r="DB185" i="3" s="1"/>
  <c r="DE185" i="3" s="1"/>
  <c r="DG185" i="3" s="1"/>
  <c r="DN185" i="3" s="1" a="1"/>
  <c r="DN185" i="3" s="1"/>
  <c r="DA186" i="3"/>
  <c r="DB186" i="3" s="1" a="1"/>
  <c r="DB186" i="3" s="1"/>
  <c r="DE186" i="3" s="1"/>
  <c r="DG186" i="3" s="1"/>
  <c r="DN186" i="3" s="1" a="1"/>
  <c r="DN186" i="3" s="1"/>
  <c r="DX28" i="3" a="1"/>
  <c r="DX28" i="3" s="1"/>
  <c r="DZ28" i="3" s="1"/>
  <c r="DY42" i="3" s="1"/>
  <c r="DX29" i="3" a="1"/>
  <c r="DX29" i="3" s="1"/>
  <c r="DZ29" i="3" s="1"/>
  <c r="DY43" i="3" s="1"/>
  <c r="DX30" i="3" a="1"/>
  <c r="DX30" i="3" s="1"/>
  <c r="DZ30" i="3" s="1"/>
  <c r="DY44" i="3" s="1"/>
  <c r="DX31" i="3" a="1"/>
  <c r="DX31" i="3" s="1"/>
  <c r="DZ31" i="3" s="1"/>
  <c r="DY45" i="3" s="1"/>
  <c r="DX32" i="3" a="1"/>
  <c r="DX32" i="3" s="1"/>
  <c r="DZ32" i="3" s="1"/>
  <c r="DY46" i="3" s="1"/>
  <c r="DA159" i="3" l="1"/>
  <c r="DB159" i="3" s="1" a="1"/>
  <c r="DB159" i="3" s="1"/>
  <c r="DE159" i="3" s="1"/>
  <c r="DG159" i="3" s="1"/>
  <c r="DN159" i="3" s="1" a="1"/>
  <c r="DN159" i="3" s="1"/>
  <c r="DA173" i="3"/>
  <c r="DB173" i="3" s="1" a="1"/>
  <c r="DB173" i="3" s="1"/>
  <c r="DE173" i="3" s="1"/>
  <c r="DG173" i="3" s="1"/>
  <c r="DN173" i="3" s="1" a="1"/>
  <c r="DN173" i="3" s="1"/>
  <c r="DA117" i="3"/>
  <c r="DB117" i="3" s="1" a="1"/>
  <c r="DB117" i="3" s="1"/>
  <c r="DE117" i="3" s="1"/>
  <c r="DG117" i="3" s="1"/>
  <c r="DN117" i="3" s="1" a="1"/>
  <c r="DN117" i="3" s="1"/>
  <c r="DA61" i="3"/>
  <c r="DB61" i="3" s="1" a="1"/>
  <c r="DB61" i="3" s="1"/>
  <c r="DE61" i="3" s="1"/>
  <c r="DG61" i="3" s="1"/>
  <c r="DN61" i="3" s="1" a="1"/>
  <c r="DN61" i="3" s="1"/>
  <c r="DA47" i="3"/>
  <c r="DB47" i="3" s="1" a="1"/>
  <c r="DB47" i="3" s="1"/>
  <c r="DE47" i="3" s="1"/>
  <c r="DG47" i="3" s="1"/>
  <c r="DN47" i="3" s="1" a="1"/>
  <c r="DN47" i="3" s="1"/>
  <c r="DA103" i="3"/>
  <c r="DB103" i="3" s="1" a="1"/>
  <c r="DB103" i="3" s="1"/>
  <c r="DE103" i="3" s="1"/>
  <c r="DG103" i="3" s="1"/>
  <c r="DN103" i="3" s="1" a="1"/>
  <c r="DN103" i="3" s="1"/>
  <c r="DA187" i="3"/>
  <c r="DB187" i="3" s="1" a="1"/>
  <c r="DB187" i="3" s="1"/>
  <c r="DE187" i="3" s="1"/>
  <c r="DG187" i="3" s="1"/>
  <c r="DN187" i="3" s="1" a="1"/>
  <c r="DN187" i="3" s="1"/>
  <c r="DA131" i="3"/>
  <c r="DB131" i="3" s="1" a="1"/>
  <c r="DB131" i="3" s="1"/>
  <c r="DE131" i="3" s="1"/>
  <c r="DG131" i="3" s="1"/>
  <c r="DN131" i="3" s="1" a="1"/>
  <c r="DN131" i="3" s="1"/>
  <c r="DA75" i="3"/>
  <c r="DB75" i="3" s="1" a="1"/>
  <c r="DB75" i="3" s="1"/>
  <c r="DE75" i="3" s="1"/>
  <c r="DG75" i="3" s="1"/>
  <c r="DN75" i="3" s="1" a="1"/>
  <c r="DN75" i="3" s="1"/>
  <c r="DA145" i="3"/>
  <c r="DB145" i="3" s="1" a="1"/>
  <c r="DB145" i="3" s="1"/>
  <c r="DE145" i="3" s="1"/>
  <c r="DG145" i="3" s="1"/>
  <c r="DN145" i="3" s="1" a="1"/>
  <c r="DN145" i="3" s="1"/>
  <c r="DA89" i="3"/>
  <c r="DB89" i="3" s="1" a="1"/>
  <c r="DB89" i="3" s="1"/>
  <c r="DE89" i="3" s="1"/>
  <c r="DG89" i="3" s="1"/>
  <c r="DN89" i="3" s="1" a="1"/>
  <c r="DN89" i="3" s="1"/>
  <c r="DN42" i="3" a="1"/>
  <c r="DN42" i="3" s="1"/>
  <c r="DN157" i="3" a="1"/>
  <c r="DN157" i="3" s="1"/>
  <c r="DQ33" i="3"/>
  <c r="DL110" i="3" l="1" a="1"/>
  <c r="DL110" i="3" s="1"/>
  <c r="DM110" i="3" s="1" a="1"/>
  <c r="DM110" i="3" s="1"/>
  <c r="DL79" i="3" a="1"/>
  <c r="DL79" i="3" s="1"/>
  <c r="DM79" i="3" s="1" a="1"/>
  <c r="DM79" i="3" s="1"/>
  <c r="DL124" i="3" a="1"/>
  <c r="DL124" i="3" s="1"/>
  <c r="DM124" i="3" s="1" a="1"/>
  <c r="DM124" i="3" s="1"/>
  <c r="DL80" i="3" a="1"/>
  <c r="DL80" i="3" s="1"/>
  <c r="DM80" i="3" s="1" a="1"/>
  <c r="DM80" i="3" s="1"/>
  <c r="DL96" i="3" a="1"/>
  <c r="DL96" i="3" s="1"/>
  <c r="DM96" i="3" s="1" a="1"/>
  <c r="DM96" i="3" s="1"/>
  <c r="DL95" i="3" a="1"/>
  <c r="DL95" i="3" s="1"/>
  <c r="DM95" i="3" s="1" a="1"/>
  <c r="DM95" i="3" s="1"/>
  <c r="DL81" i="3" a="1"/>
  <c r="DL81" i="3" s="1"/>
  <c r="DM81" i="3" s="1" a="1"/>
  <c r="DM81" i="3" s="1"/>
  <c r="DL146" i="3" a="1"/>
  <c r="DL146" i="3" s="1"/>
  <c r="DM146" i="3" s="1" a="1"/>
  <c r="DM146" i="3" s="1"/>
  <c r="DL64" i="3" a="1"/>
  <c r="DL64" i="3" s="1"/>
  <c r="DM64" i="3" s="1" a="1"/>
  <c r="DM64" i="3" s="1"/>
  <c r="DX33" i="3" a="1"/>
  <c r="DX33" i="3" s="1"/>
  <c r="DZ33" i="3" s="1"/>
  <c r="DY47" i="3" s="1"/>
  <c r="DJ125" i="3" a="1"/>
  <c r="DJ125" i="3" l="1"/>
  <c r="DJ126" i="3" a="1"/>
  <c r="DJ126" i="3" l="1"/>
  <c r="DL125" i="3" a="1"/>
  <c r="DL125" i="3" s="1"/>
  <c r="DK125" i="3" a="1"/>
  <c r="DK125" i="3" s="1"/>
  <c r="DI125" i="3"/>
  <c r="DJ153" i="3" a="1"/>
  <c r="DJ127" i="3" a="1"/>
  <c r="DJ127" i="3" l="1"/>
  <c r="DM125" i="3" a="1"/>
  <c r="DM125" i="3" s="1"/>
  <c r="DJ153" i="3"/>
  <c r="DJ154" i="3" a="1"/>
  <c r="DJ154" i="3" l="1"/>
  <c r="DI127" i="3"/>
  <c r="DL127" i="3" a="1"/>
  <c r="DL127" i="3" s="1"/>
  <c r="DM127" i="3" s="1" a="1"/>
  <c r="DM127" i="3" s="1"/>
  <c r="DK127" i="3" a="1"/>
  <c r="DK127" i="3" s="1"/>
  <c r="DJ155" i="3" a="1"/>
  <c r="DJ155" i="3" l="1"/>
  <c r="DJ156" i="3" a="1"/>
  <c r="DJ156" i="3" l="1"/>
  <c r="DK156" i="3" a="1"/>
  <c r="DK156" i="3" s="1"/>
  <c r="DI156" i="3"/>
  <c r="DL156" i="3" a="1"/>
  <c r="DL156" i="3" s="1"/>
  <c r="DJ139" i="3" a="1"/>
  <c r="DJ157" i="3" a="1"/>
  <c r="DJ157" i="3" l="1"/>
  <c r="DM156" i="3" a="1"/>
  <c r="DM156" i="3" s="1"/>
  <c r="DJ139" i="3"/>
  <c r="DI126" i="3"/>
  <c r="DK126" i="3" a="1"/>
  <c r="DK126" i="3" s="1"/>
  <c r="DL126" i="3" a="1"/>
  <c r="DL126" i="3" s="1"/>
  <c r="DJ158" i="3" a="1"/>
  <c r="DJ140" i="3" a="1"/>
  <c r="DJ140" i="3" l="1"/>
  <c r="DJ158" i="3"/>
  <c r="DI157" i="3"/>
  <c r="DL157" i="3" a="1"/>
  <c r="DL157" i="3" s="1"/>
  <c r="DM157" i="3" s="1" a="1"/>
  <c r="DM157" i="3" s="1"/>
  <c r="DK157" i="3" a="1"/>
  <c r="DK157" i="3" s="1"/>
  <c r="DM126" i="3" a="1"/>
  <c r="DM126" i="3" s="1"/>
  <c r="DJ159" i="3" a="1"/>
  <c r="DJ141" i="3" a="1"/>
  <c r="DJ159" i="3" l="1"/>
  <c r="DJ141" i="3"/>
  <c r="DI158" i="3"/>
  <c r="DK158" i="3" a="1"/>
  <c r="DK158" i="3" s="1"/>
  <c r="DL158" i="3" a="1"/>
  <c r="DL158" i="3" s="1"/>
  <c r="DM158" i="3" s="1" a="1"/>
  <c r="DM158" i="3" s="1"/>
  <c r="DJ111" i="3" a="1"/>
  <c r="DJ142" i="3" a="1"/>
  <c r="DJ142" i="3" l="1"/>
  <c r="DI141" i="3"/>
  <c r="DL141" i="3" a="1"/>
  <c r="DL141" i="3" s="1"/>
  <c r="DM141" i="3" s="1" a="1"/>
  <c r="DM141" i="3" s="1"/>
  <c r="DK141" i="3" a="1"/>
  <c r="DK141" i="3" s="1"/>
  <c r="DL159" i="3" a="1"/>
  <c r="DL159" i="3" s="1"/>
  <c r="DM159" i="3" s="1" a="1"/>
  <c r="DM159" i="3" s="1"/>
  <c r="DI159" i="3"/>
  <c r="DK159" i="3" a="1"/>
  <c r="DK159" i="3" s="1"/>
  <c r="DJ111" i="3"/>
  <c r="DJ112" i="3" a="1"/>
  <c r="DJ143" i="3" a="1"/>
  <c r="DJ143" i="3" l="1"/>
  <c r="DI111" i="3"/>
  <c r="DK111" i="3" a="1"/>
  <c r="DK111" i="3" s="1"/>
  <c r="DL111" i="3" a="1"/>
  <c r="DL111" i="3" s="1"/>
  <c r="DM111" i="3" s="1" a="1"/>
  <c r="DM111" i="3" s="1"/>
  <c r="DJ112" i="3"/>
  <c r="DJ97" i="3" a="1"/>
  <c r="DJ97" i="3" s="1"/>
  <c r="DJ113" i="3" a="1"/>
  <c r="DJ98" i="3" a="1"/>
  <c r="DJ144" i="3" a="1"/>
  <c r="DJ113" i="3" l="1"/>
  <c r="DJ98" i="3"/>
  <c r="DI98" i="3" s="1"/>
  <c r="DJ144" i="3"/>
  <c r="DK143" i="3" a="1"/>
  <c r="DK143" i="3" s="1"/>
  <c r="DL143" i="3" a="1"/>
  <c r="DL143" i="3" s="1"/>
  <c r="DM143" i="3" s="1" a="1"/>
  <c r="DM143" i="3" s="1"/>
  <c r="DI143" i="3"/>
  <c r="DI112" i="3"/>
  <c r="DK112" i="3" a="1"/>
  <c r="DK112" i="3" s="1"/>
  <c r="DL112" i="3" a="1"/>
  <c r="DL112" i="3" s="1"/>
  <c r="DM112" i="3" s="1" a="1"/>
  <c r="DM112" i="3" s="1"/>
  <c r="DK113" i="3" a="1"/>
  <c r="DK113" i="3" s="1"/>
  <c r="DL113" i="3" a="1"/>
  <c r="DL113" i="3" s="1"/>
  <c r="DM113" i="3" s="1" a="1"/>
  <c r="DM113" i="3" s="1"/>
  <c r="DI113" i="3"/>
  <c r="DT27" i="3" a="1"/>
  <c r="DJ99" i="3" a="1"/>
  <c r="DJ145" i="3" a="1"/>
  <c r="DJ114" i="3" a="1"/>
  <c r="DK98" i="3" l="1" a="1"/>
  <c r="DK98" i="3" s="1"/>
  <c r="DL98" i="3" a="1"/>
  <c r="DL98" i="3" s="1"/>
  <c r="DM98" i="3" s="1" a="1"/>
  <c r="DM98" i="3" s="1"/>
  <c r="DJ114" i="3"/>
  <c r="DJ145" i="3"/>
  <c r="DJ99" i="3"/>
  <c r="DK99" i="3" s="1" a="1"/>
  <c r="DK99" i="3" s="1"/>
  <c r="DL144" i="3" a="1"/>
  <c r="DL144" i="3" s="1"/>
  <c r="DM144" i="3" s="1" a="1"/>
  <c r="DM144" i="3" s="1"/>
  <c r="DK144" i="3" a="1"/>
  <c r="DK144" i="3" s="1"/>
  <c r="DI144" i="3"/>
  <c r="DK114" i="3" a="1"/>
  <c r="DK114" i="3" s="1"/>
  <c r="DL114" i="3" a="1"/>
  <c r="DL114" i="3" s="1"/>
  <c r="DM114" i="3" s="1" a="1"/>
  <c r="DM114" i="3" s="1"/>
  <c r="DI114" i="3"/>
  <c r="DI99" i="3"/>
  <c r="DT27" i="3"/>
  <c r="DU27" i="3" a="1"/>
  <c r="DU27" i="3" s="1"/>
  <c r="DS27" i="3"/>
  <c r="DJ115" i="3" a="1"/>
  <c r="DL99" i="3" l="1" a="1"/>
  <c r="DL99" i="3" s="1"/>
  <c r="DM99" i="3" s="1" a="1"/>
  <c r="DM99" i="3" s="1"/>
  <c r="DJ115" i="3"/>
  <c r="DK145" i="3" a="1"/>
  <c r="DK145" i="3" s="1"/>
  <c r="DL145" i="3" a="1"/>
  <c r="DL145" i="3" s="1"/>
  <c r="DM145" i="3" s="1" a="1"/>
  <c r="DM145" i="3" s="1"/>
  <c r="DI145" i="3"/>
  <c r="DL115" i="3" a="1"/>
  <c r="DL115" i="3" s="1"/>
  <c r="DK115" i="3" a="1"/>
  <c r="DK115" i="3" s="1"/>
  <c r="DI115" i="3"/>
  <c r="V24" i="3"/>
  <c r="AQ6" i="3" s="1"/>
  <c r="AQ12" i="3" s="1"/>
  <c r="AH17" i="3" s="1"/>
  <c r="BL6" i="3"/>
  <c r="BL7" i="3" s="1"/>
  <c r="AH18" i="3" s="1"/>
  <c r="R24" i="3" a="1"/>
  <c r="R24" i="3" s="1"/>
  <c r="BJ6" i="3" s="1"/>
  <c r="CN33" i="3" a="1"/>
  <c r="CN33" i="3" s="1"/>
  <c r="BN6" i="3" s="1"/>
  <c r="D43" i="9" s="1" a="1"/>
  <c r="D43" i="9" s="1"/>
  <c r="FZ18" i="3"/>
  <c r="B26" i="11" s="1"/>
  <c r="DJ27" i="3" a="1"/>
  <c r="DM115" i="3" l="1" a="1"/>
  <c r="DM115" i="3" s="1"/>
  <c r="AH61" i="3" a="1"/>
  <c r="AH61" i="3" s="1"/>
  <c r="AH51" i="3" a="1"/>
  <c r="AH51" i="3" s="1"/>
  <c r="AH67" i="3" a="1"/>
  <c r="AH67" i="3" s="1"/>
  <c r="AH19" i="3"/>
  <c r="AH40" i="3" s="1"/>
  <c r="BZ43" i="3" a="1"/>
  <c r="BZ43" i="3" s="1"/>
  <c r="FZ31" i="3"/>
  <c r="DJ27" i="3"/>
  <c r="BJ7" i="3"/>
  <c r="S24" i="3"/>
  <c r="DT28" i="3" a="1"/>
  <c r="G5" i="3" l="1"/>
  <c r="DI27" i="3"/>
  <c r="DK27" i="3" a="1"/>
  <c r="DK27" i="3" s="1"/>
  <c r="D15" i="8" a="1"/>
  <c r="D15" i="8" s="1"/>
  <c r="AH63" i="3"/>
  <c r="AH23" i="3"/>
  <c r="D40" i="8"/>
  <c r="C26" i="9"/>
  <c r="FZ19" i="3"/>
  <c r="B27" i="11" s="1"/>
  <c r="BZ44" i="3" a="1"/>
  <c r="BZ44" i="3" s="1"/>
  <c r="D26" i="9" s="1"/>
  <c r="FY19" i="3"/>
  <c r="AH33" i="3"/>
  <c r="AH34" i="3" s="1"/>
  <c r="AH48" i="3"/>
  <c r="AH53" i="3"/>
  <c r="AH24" i="3"/>
  <c r="H17" i="8" s="1"/>
  <c r="DT28" i="3"/>
  <c r="DT29" i="3" a="1"/>
  <c r="AH47" i="3" l="1"/>
  <c r="D43" i="8"/>
  <c r="FY15" i="3"/>
  <c r="FZ15" i="3"/>
  <c r="B19" i="11" s="1"/>
  <c r="AH25" i="3"/>
  <c r="DT29" i="3"/>
  <c r="DT30" i="3" a="1"/>
  <c r="AH41" i="3" l="1"/>
  <c r="D16" i="8" a="1"/>
  <c r="D16" i="8" s="1"/>
  <c r="DT30" i="3"/>
  <c r="DT31" i="3" a="1"/>
  <c r="AH42" i="3" l="1"/>
  <c r="H16" i="8"/>
  <c r="DT31" i="3"/>
  <c r="DU31" i="3" s="1" a="1"/>
  <c r="DU31" i="3" s="1"/>
  <c r="AH20" i="3"/>
  <c r="AH21" i="3"/>
  <c r="AH38" i="3"/>
  <c r="D42" i="8"/>
  <c r="DU28" i="3" a="1"/>
  <c r="DU28" i="3" s="1"/>
  <c r="DS28" i="3"/>
  <c r="D41" i="8"/>
  <c r="AH39" i="3"/>
  <c r="AH22" i="3"/>
  <c r="DS29" i="3"/>
  <c r="DU29" i="3" a="1"/>
  <c r="DU29" i="3" s="1"/>
  <c r="DS30" i="3"/>
  <c r="DU30" i="3" a="1"/>
  <c r="DU30" i="3" s="1"/>
  <c r="DJ83" i="3" a="1"/>
  <c r="DS31" i="3" l="1"/>
  <c r="D17" i="8" a="1"/>
  <c r="D17" i="8" s="1"/>
  <c r="FZ14" i="3" a="1"/>
  <c r="FZ14" i="3" s="1"/>
  <c r="B18" i="11" s="1"/>
  <c r="AH45" i="3" a="1"/>
  <c r="AH45" i="3" s="1"/>
  <c r="FY14" i="3" a="1"/>
  <c r="FY14" i="3" s="1"/>
  <c r="DJ83" i="3"/>
  <c r="DJ84" i="3" a="1"/>
  <c r="FY16" i="3" l="1"/>
  <c r="E20" i="8"/>
  <c r="FZ16" i="3"/>
  <c r="B20" i="11" s="1"/>
  <c r="DJ84" i="3"/>
  <c r="E56" i="8" a="1"/>
  <c r="E56" i="8" s="1"/>
  <c r="E63" i="8" s="1"/>
  <c r="G28" i="5" a="1"/>
  <c r="G28" i="5" s="1"/>
  <c r="E49" i="8" a="1"/>
  <c r="E49" i="8" s="1"/>
  <c r="E50" i="8" s="1"/>
  <c r="DI97" i="3"/>
  <c r="DK97" i="3" a="1"/>
  <c r="DK97" i="3" s="1"/>
  <c r="DL97" i="3" a="1"/>
  <c r="DL97" i="3" s="1"/>
  <c r="DM97" i="3" s="1" a="1"/>
  <c r="DM97" i="3" s="1"/>
  <c r="DJ28" i="3" a="1"/>
  <c r="DJ85" i="3" a="1"/>
  <c r="DJ85" i="3" l="1"/>
  <c r="DJ28" i="3"/>
  <c r="DI28" i="3"/>
  <c r="DK28" i="3" a="1"/>
  <c r="DK28" i="3" s="1"/>
  <c r="DL27" i="3" s="1" a="1"/>
  <c r="DL27" i="3" s="1"/>
  <c r="AP6" i="3"/>
  <c r="BI6" i="3"/>
  <c r="BG6" i="3"/>
  <c r="D49" i="8" a="1"/>
  <c r="D49" i="8" s="1"/>
  <c r="DJ55" i="3" a="1"/>
  <c r="DJ29" i="3" a="1"/>
  <c r="DJ86" i="3" a="1"/>
  <c r="DJ29" i="3" l="1"/>
  <c r="DJ86" i="3"/>
  <c r="DI29" i="3"/>
  <c r="DK29" i="3" a="1"/>
  <c r="DK29" i="3" s="1"/>
  <c r="DJ55" i="3"/>
  <c r="DJ87" i="3" a="1"/>
  <c r="DJ56" i="3" a="1"/>
  <c r="DJ30" i="3" a="1"/>
  <c r="DJ87" i="3" l="1"/>
  <c r="DJ30" i="3"/>
  <c r="DI30" i="3"/>
  <c r="DL30" i="3" a="1"/>
  <c r="DL30" i="3" s="1"/>
  <c r="DK30" i="3" a="1"/>
  <c r="DK30" i="3" s="1"/>
  <c r="DJ56" i="3"/>
  <c r="DJ88" i="3" a="1"/>
  <c r="DJ57" i="3" a="1"/>
  <c r="DJ31" i="3" a="1"/>
  <c r="DJ31" i="3" l="1"/>
  <c r="DJ88" i="3"/>
  <c r="DK87" i="3" a="1"/>
  <c r="DK87" i="3" s="1"/>
  <c r="DL87" i="3" a="1"/>
  <c r="DL87" i="3" s="1"/>
  <c r="DM87" i="3" s="1" a="1"/>
  <c r="DM87" i="3" s="1"/>
  <c r="DI31" i="3"/>
  <c r="DK31" i="3" a="1"/>
  <c r="DK31" i="3" s="1"/>
  <c r="DL29" i="3" a="1"/>
  <c r="DL29" i="3" s="1"/>
  <c r="DL28" i="3" a="1"/>
  <c r="DL28" i="3" s="1"/>
  <c r="DJ57" i="3"/>
  <c r="DJ89" i="3" a="1"/>
  <c r="DJ58" i="3" a="1"/>
  <c r="DJ58" i="3" l="1"/>
  <c r="DJ89" i="3"/>
  <c r="DK58" i="3" a="1"/>
  <c r="DK58" i="3" s="1"/>
  <c r="DL58" i="3" a="1"/>
  <c r="DL58" i="3" s="1"/>
  <c r="DM58" i="3" s="1" a="1"/>
  <c r="DM58" i="3" s="1"/>
  <c r="DJ41" i="3" a="1"/>
  <c r="DJ41" i="3" s="1"/>
  <c r="DI83" i="3"/>
  <c r="DK83" i="3" a="1"/>
  <c r="DK83" i="3" s="1"/>
  <c r="DL83" i="3" a="1"/>
  <c r="DL83" i="3" s="1"/>
  <c r="DJ59" i="3" a="1"/>
  <c r="DJ32" i="3" a="1"/>
  <c r="DJ42" i="3" a="1"/>
  <c r="DJ42" i="3" l="1"/>
  <c r="DJ59" i="3"/>
  <c r="DK89" i="3" a="1"/>
  <c r="DK89" i="3" s="1"/>
  <c r="DL89" i="3" a="1"/>
  <c r="DL89" i="3" s="1"/>
  <c r="DM89" i="3" s="1" a="1"/>
  <c r="DM89" i="3" s="1"/>
  <c r="DM83" i="3" a="1"/>
  <c r="DM83" i="3" s="1"/>
  <c r="DJ32" i="3"/>
  <c r="DJ60" i="3" a="1"/>
  <c r="DJ43" i="3" a="1"/>
  <c r="DJ33" i="3" a="1"/>
  <c r="DJ33" i="3" l="1"/>
  <c r="DJ60" i="3"/>
  <c r="DJ43" i="3"/>
  <c r="DL33" i="3" a="1"/>
  <c r="DL33" i="3" s="1"/>
  <c r="DI33" i="3"/>
  <c r="DI32" i="3"/>
  <c r="DL32" i="3" a="1"/>
  <c r="DL32" i="3" s="1"/>
  <c r="DK32" i="3" a="1"/>
  <c r="DJ61" i="3" a="1"/>
  <c r="DJ44" i="3" a="1"/>
  <c r="DJ44" i="3" l="1"/>
  <c r="DJ61" i="3"/>
  <c r="DI60" i="3"/>
  <c r="DK60" i="3" a="1"/>
  <c r="DK60" i="3" s="1"/>
  <c r="DL60" i="3" a="1"/>
  <c r="DL60" i="3" s="1"/>
  <c r="DM60" i="3" s="1" a="1"/>
  <c r="DM60" i="3" s="1"/>
  <c r="DK32" i="3"/>
  <c r="DL31" i="3" a="1"/>
  <c r="DL31" i="3" s="1"/>
  <c r="DK33" i="3" a="1"/>
  <c r="DJ45" i="3" a="1"/>
  <c r="DJ45" i="3" l="1"/>
  <c r="DL61" i="3" a="1"/>
  <c r="DL61" i="3" s="1"/>
  <c r="DM61" i="3" s="1" a="1"/>
  <c r="DM61" i="3" s="1"/>
  <c r="DI61" i="3"/>
  <c r="DK61" i="3" a="1"/>
  <c r="DK61" i="3" s="1"/>
  <c r="DK44" i="3" a="1"/>
  <c r="DK44" i="3" s="1"/>
  <c r="DI44" i="3"/>
  <c r="DL44" i="3" a="1"/>
  <c r="DL44" i="3" s="1"/>
  <c r="DM44" i="3" s="1" a="1"/>
  <c r="DM44" i="3" s="1"/>
  <c r="DK33" i="3"/>
  <c r="DJ46" i="3" a="1"/>
  <c r="DT32" i="3" a="1"/>
  <c r="DJ46" i="3" l="1"/>
  <c r="DI45" i="3"/>
  <c r="DK45" i="3" a="1"/>
  <c r="DK45" i="3" s="1"/>
  <c r="DL45" i="3" a="1"/>
  <c r="DL45" i="3" s="1"/>
  <c r="DM45" i="3" s="1" a="1"/>
  <c r="DM45" i="3" s="1"/>
  <c r="DT32" i="3"/>
  <c r="DU32" i="3" s="1" a="1"/>
  <c r="DU32" i="3" s="1"/>
  <c r="DS32" i="3"/>
  <c r="DT33" i="3" a="1"/>
  <c r="DJ47" i="3" a="1"/>
  <c r="DJ47" i="3" l="1"/>
  <c r="DL46" i="3" a="1"/>
  <c r="DL46" i="3" s="1"/>
  <c r="DM46" i="3" s="1" a="1"/>
  <c r="DM46" i="3" s="1"/>
  <c r="DI46" i="3"/>
  <c r="DK46" i="3" a="1"/>
  <c r="DK46" i="3" s="1"/>
  <c r="DT33" i="3"/>
  <c r="DU33" i="3" s="1" a="1"/>
  <c r="DU33" i="3" s="1"/>
  <c r="DS33" i="3"/>
  <c r="DR33" i="3" a="1"/>
  <c r="DR33" i="3" s="1"/>
  <c r="DR31" i="3" a="1"/>
  <c r="DR31" i="3" s="1"/>
  <c r="DR30" i="3" a="1"/>
  <c r="DR30" i="3" s="1"/>
  <c r="DR29" i="3" a="1"/>
  <c r="DR29" i="3" s="1"/>
  <c r="DR27" i="3" a="1"/>
  <c r="DR27" i="3" s="1"/>
  <c r="DJ128" i="3" a="1"/>
  <c r="DI47" i="3" l="1"/>
  <c r="DK47" i="3" a="1"/>
  <c r="DK47" i="3" s="1"/>
  <c r="DL47" i="3" a="1"/>
  <c r="DL47" i="3" s="1"/>
  <c r="DM47" i="3" s="1" a="1"/>
  <c r="DM47" i="3" s="1"/>
  <c r="DJ128" i="3"/>
  <c r="DI142" i="3"/>
  <c r="DK142" i="3" a="1"/>
  <c r="DK142" i="3" s="1"/>
  <c r="DL142" i="3" a="1"/>
  <c r="DL142" i="3" s="1"/>
  <c r="DJ129" i="3" a="1"/>
  <c r="DJ129" i="3" l="1"/>
  <c r="DI129" i="3" s="1"/>
  <c r="DK128" i="3" a="1"/>
  <c r="DK128" i="3" s="1"/>
  <c r="DI128" i="3"/>
  <c r="DL128" i="3" a="1"/>
  <c r="DL128" i="3" s="1"/>
  <c r="DM128" i="3" s="1" a="1"/>
  <c r="DM128" i="3" s="1"/>
  <c r="DM142" i="3" a="1"/>
  <c r="DM142" i="3" s="1"/>
  <c r="DJ130" i="3" a="1"/>
  <c r="DL129" i="3" l="1" a="1"/>
  <c r="DL129" i="3" s="1"/>
  <c r="DM129" i="3" s="1" a="1"/>
  <c r="DM129" i="3" s="1"/>
  <c r="DK129" i="3" a="1"/>
  <c r="DK129" i="3" s="1"/>
  <c r="DJ130" i="3"/>
  <c r="DL130" i="3" a="1"/>
  <c r="DL130" i="3" s="1"/>
  <c r="DM130" i="3" s="1" a="1"/>
  <c r="DM130" i="3" s="1"/>
  <c r="DK130" i="3" a="1"/>
  <c r="DK130" i="3" s="1"/>
  <c r="DI130" i="3"/>
  <c r="DI140" i="3"/>
  <c r="DK140" i="3" a="1"/>
  <c r="DK140" i="3" s="1"/>
  <c r="DL140" i="3" a="1"/>
  <c r="DL140" i="3" s="1"/>
  <c r="DJ131" i="3" a="1"/>
  <c r="DJ131" i="3" l="1"/>
  <c r="DL131" i="3" a="1"/>
  <c r="DL131" i="3" s="1"/>
  <c r="DM131" i="3" s="1" a="1"/>
  <c r="DM131" i="3" s="1"/>
  <c r="DI131" i="3"/>
  <c r="DK131" i="3" a="1"/>
  <c r="DK131" i="3" s="1"/>
  <c r="DM140" i="3" a="1"/>
  <c r="DM140" i="3" s="1"/>
  <c r="DJ167" i="3" a="1"/>
  <c r="DJ167" i="3" l="1"/>
  <c r="DJ168" i="3" a="1"/>
  <c r="DJ168" i="3" l="1"/>
  <c r="DJ169" i="3" a="1"/>
  <c r="DJ169" i="3" l="1"/>
  <c r="DH112" i="3" a="1"/>
  <c r="DH112" i="3" s="1"/>
  <c r="DH83" i="3" a="1"/>
  <c r="DH83" i="3" s="1"/>
  <c r="DH61" i="3" a="1"/>
  <c r="DH61" i="3" s="1"/>
  <c r="DH47" i="3" a="1"/>
  <c r="DH47" i="3" s="1"/>
  <c r="DR28" i="3" a="1"/>
  <c r="DR28" i="3" s="1"/>
  <c r="DH60" i="3" a="1"/>
  <c r="DH60" i="3" s="1"/>
  <c r="DH142" i="3" a="1"/>
  <c r="DH142" i="3" s="1"/>
  <c r="DH99" i="3" a="1"/>
  <c r="DH99" i="3" s="1"/>
  <c r="DH28" i="3" a="1"/>
  <c r="DH28" i="3" s="1"/>
  <c r="DH145" i="3" a="1"/>
  <c r="DH145" i="3" s="1"/>
  <c r="DH130" i="3" a="1"/>
  <c r="DH130" i="3" s="1"/>
  <c r="DH126" i="3" a="1"/>
  <c r="DH126" i="3" s="1"/>
  <c r="DH115" i="3" a="1"/>
  <c r="DH115" i="3" s="1"/>
  <c r="DH98" i="3" a="1"/>
  <c r="DH98" i="3" s="1"/>
  <c r="DH33" i="3" a="1"/>
  <c r="DH33" i="3" s="1"/>
  <c r="DH140" i="3" a="1"/>
  <c r="DH140" i="3" s="1"/>
  <c r="DH125" i="3" a="1"/>
  <c r="DH125" i="3" s="1"/>
  <c r="DH114" i="3" a="1"/>
  <c r="DH114" i="3" s="1"/>
  <c r="DH46" i="3" a="1"/>
  <c r="DH46" i="3" s="1"/>
  <c r="DR32" i="3" a="1"/>
  <c r="DR32" i="3" s="1"/>
  <c r="DH131" i="3" a="1"/>
  <c r="DH131" i="3" s="1"/>
  <c r="DH111" i="3" a="1"/>
  <c r="DH111" i="3" s="1"/>
  <c r="DH159" i="3" a="1"/>
  <c r="DH159" i="3" s="1"/>
  <c r="DH144" i="3" a="1"/>
  <c r="DH144" i="3" s="1"/>
  <c r="DH129" i="3" a="1"/>
  <c r="DH129" i="3" s="1"/>
  <c r="DH97" i="3" a="1"/>
  <c r="DH97" i="3" s="1"/>
  <c r="DH45" i="3" a="1"/>
  <c r="DH45" i="3" s="1"/>
  <c r="DH30" i="3" a="1"/>
  <c r="DH30" i="3" s="1"/>
  <c r="DH156" i="3" a="1"/>
  <c r="DH156" i="3" s="1"/>
  <c r="DH127" i="3" a="1"/>
  <c r="DH127" i="3" s="1"/>
  <c r="DH141" i="3" a="1"/>
  <c r="DH141" i="3" s="1"/>
  <c r="DH158" i="3" a="1"/>
  <c r="DH158" i="3" s="1"/>
  <c r="DH113" i="3" a="1"/>
  <c r="DH113" i="3" s="1"/>
  <c r="DH44" i="3" a="1"/>
  <c r="DH44" i="3" s="1"/>
  <c r="DH32" i="3" a="1"/>
  <c r="DH32" i="3" s="1"/>
  <c r="DH157" i="3" a="1"/>
  <c r="DH157" i="3" s="1"/>
  <c r="DH143" i="3" a="1"/>
  <c r="DH143" i="3" s="1"/>
  <c r="DH128" i="3" a="1"/>
  <c r="DH128" i="3" s="1"/>
  <c r="DH31" i="3" a="1"/>
  <c r="DH31" i="3" s="1"/>
  <c r="DH29" i="3" a="1"/>
  <c r="DH29" i="3" s="1"/>
  <c r="DL40" i="3" a="1"/>
  <c r="DL40" i="3" s="1"/>
  <c r="DM40" i="3" s="1" a="1"/>
  <c r="DM40" i="3" s="1"/>
  <c r="DL39" i="3" a="1"/>
  <c r="DL39" i="3" s="1"/>
  <c r="DM39" i="3" s="1" a="1"/>
  <c r="DM39" i="3" s="1"/>
  <c r="DL38" i="3" a="1"/>
  <c r="DL38" i="3" s="1"/>
  <c r="DM38" i="3" s="1" a="1"/>
  <c r="DM38" i="3" s="1"/>
  <c r="DL37" i="3" a="1"/>
  <c r="DL37" i="3" s="1"/>
  <c r="DM37" i="3" s="1" a="1"/>
  <c r="DM37" i="3" s="1"/>
  <c r="DL36" i="3" a="1"/>
  <c r="DL36" i="3" s="1"/>
  <c r="DM36" i="3" s="1" a="1"/>
  <c r="DM36" i="3" s="1"/>
  <c r="DL109" i="3" a="1"/>
  <c r="DL109" i="3" s="1"/>
  <c r="DM109" i="3" s="1" a="1"/>
  <c r="DM109" i="3" s="1"/>
  <c r="DL176" i="3" a="1"/>
  <c r="DL176" i="3" s="1"/>
  <c r="DM176" i="3" s="1" a="1"/>
  <c r="DM176" i="3" s="1"/>
  <c r="DL175" i="3" a="1"/>
  <c r="DL175" i="3" s="1"/>
  <c r="DM175" i="3" s="1" a="1"/>
  <c r="DM175" i="3" s="1"/>
  <c r="DL48" i="3" a="1"/>
  <c r="DL48" i="3" s="1"/>
  <c r="DM48" i="3" s="1" a="1"/>
  <c r="DM48" i="3" s="1"/>
  <c r="DL35" i="3" a="1"/>
  <c r="DL35" i="3" s="1"/>
  <c r="DM35" i="3" s="1" a="1"/>
  <c r="DM35" i="3" s="1"/>
  <c r="DL177" i="3" a="1"/>
  <c r="DL177" i="3" s="1"/>
  <c r="DM177" i="3" s="1" a="1"/>
  <c r="DM177" i="3" s="1"/>
  <c r="DL174" i="3" a="1"/>
  <c r="DL174" i="3" s="1"/>
  <c r="DM174" i="3" s="1" a="1"/>
  <c r="DM174" i="3" s="1"/>
  <c r="DL108" i="3" a="1"/>
  <c r="DL108" i="3" s="1"/>
  <c r="DM108" i="3" s="1" a="1"/>
  <c r="DM108" i="3" s="1"/>
  <c r="DL68" i="3" a="1"/>
  <c r="DL68" i="3" s="1"/>
  <c r="DM68" i="3" s="1" a="1"/>
  <c r="DM68" i="3" s="1"/>
  <c r="DL49" i="3" a="1"/>
  <c r="DL49" i="3" s="1"/>
  <c r="DM49" i="3" s="1" a="1"/>
  <c r="DM49" i="3" s="1"/>
  <c r="DL34" i="3" a="1"/>
  <c r="DL34" i="3" s="1"/>
  <c r="DM34" i="3" s="1" a="1"/>
  <c r="DM34" i="3" s="1"/>
  <c r="DL92" i="3" a="1"/>
  <c r="DL92" i="3" s="1"/>
  <c r="DM92" i="3" s="1" a="1"/>
  <c r="DM92" i="3" s="1"/>
  <c r="DL66" i="3" a="1"/>
  <c r="DL66" i="3" s="1"/>
  <c r="DM66" i="3" s="1" a="1"/>
  <c r="DM66" i="3" s="1"/>
  <c r="DL65" i="3" a="1"/>
  <c r="DL65" i="3" s="1"/>
  <c r="DM65" i="3" s="1" a="1"/>
  <c r="DM65" i="3" s="1"/>
  <c r="DL76" i="3" a="1"/>
  <c r="DL76" i="3" s="1"/>
  <c r="DM76" i="3" s="1" a="1"/>
  <c r="DM76" i="3" s="1"/>
  <c r="DL82" i="3" a="1"/>
  <c r="DL82" i="3" s="1"/>
  <c r="DM82" i="3" s="1" a="1"/>
  <c r="DM82" i="3" s="1"/>
  <c r="DL94" i="3" a="1"/>
  <c r="DL94" i="3" s="1"/>
  <c r="DM94" i="3" s="1" a="1"/>
  <c r="DM94" i="3" s="1"/>
  <c r="DL78" i="3" a="1"/>
  <c r="DL78" i="3" s="1"/>
  <c r="DM78" i="3" s="1" a="1"/>
  <c r="DM78" i="3" s="1"/>
  <c r="DL77" i="3" a="1"/>
  <c r="DL77" i="3" s="1"/>
  <c r="DM77" i="3" s="1" a="1"/>
  <c r="DM77" i="3" s="1"/>
  <c r="DL63" i="3" a="1"/>
  <c r="DL63" i="3" s="1"/>
  <c r="DM63" i="3" s="1" a="1"/>
  <c r="DM63" i="3" s="1"/>
  <c r="DL67" i="3" a="1"/>
  <c r="DL67" i="3" s="1"/>
  <c r="DM67" i="3" s="1" a="1"/>
  <c r="DM67" i="3" s="1"/>
  <c r="DL62" i="3" a="1"/>
  <c r="DL62" i="3" s="1"/>
  <c r="DM62" i="3" s="1" a="1"/>
  <c r="DM62" i="3" s="1"/>
  <c r="DL93" i="3" a="1"/>
  <c r="DL93" i="3" s="1"/>
  <c r="DM93" i="3" s="1" a="1"/>
  <c r="DM93" i="3" s="1"/>
  <c r="DL54" i="3" a="1"/>
  <c r="DL54" i="3" s="1"/>
  <c r="DM54" i="3" s="1" a="1"/>
  <c r="DM54" i="3" s="1"/>
  <c r="DL53" i="3" a="1"/>
  <c r="DL53" i="3" s="1"/>
  <c r="DM53" i="3" s="1" a="1"/>
  <c r="DM53" i="3" s="1"/>
  <c r="DL52" i="3" a="1"/>
  <c r="DL52" i="3" s="1"/>
  <c r="DM52" i="3" s="1" a="1"/>
  <c r="DM52" i="3" s="1"/>
  <c r="DL51" i="3" a="1"/>
  <c r="DL51" i="3" s="1"/>
  <c r="DM51" i="3" s="1" a="1"/>
  <c r="DM51" i="3" s="1"/>
  <c r="DL50" i="3" a="1"/>
  <c r="DL50" i="3" s="1"/>
  <c r="DM50" i="3" s="1" a="1"/>
  <c r="DM50" i="3" s="1"/>
  <c r="DL152" i="3" a="1"/>
  <c r="DL152" i="3" s="1"/>
  <c r="DM152" i="3" s="1" a="1"/>
  <c r="DM152" i="3" s="1"/>
  <c r="DL151" i="3" a="1"/>
  <c r="DL151" i="3" s="1"/>
  <c r="DM151" i="3" s="1" a="1"/>
  <c r="DM151" i="3" s="1"/>
  <c r="DL150" i="3" a="1"/>
  <c r="DL150" i="3" s="1"/>
  <c r="DM150" i="3" s="1" a="1"/>
  <c r="DM150" i="3" s="1"/>
  <c r="DL149" i="3" a="1"/>
  <c r="DL149" i="3" s="1"/>
  <c r="DM149" i="3" s="1" a="1"/>
  <c r="DM149" i="3" s="1"/>
  <c r="DL166" i="3" a="1"/>
  <c r="DL166" i="3" s="1"/>
  <c r="DM166" i="3" s="1" a="1"/>
  <c r="DM166" i="3" s="1"/>
  <c r="DL148" i="3" a="1"/>
  <c r="DL148" i="3" s="1"/>
  <c r="DM148" i="3" s="1" a="1"/>
  <c r="DM148" i="3" s="1"/>
  <c r="DL165" i="3" a="1"/>
  <c r="DL165" i="3" s="1"/>
  <c r="DM165" i="3" s="1" a="1"/>
  <c r="DM165" i="3" s="1"/>
  <c r="DL147" i="3" a="1"/>
  <c r="DL147" i="3" s="1"/>
  <c r="DM147" i="3" s="1" a="1"/>
  <c r="DM147" i="3" s="1"/>
  <c r="DL164" i="3" a="1"/>
  <c r="DL164" i="3" s="1"/>
  <c r="DM164" i="3" s="1" a="1"/>
  <c r="DM164" i="3" s="1"/>
  <c r="DL162" i="3" a="1"/>
  <c r="DL162" i="3" s="1"/>
  <c r="DM162" i="3" s="1" a="1"/>
  <c r="DM162" i="3" s="1"/>
  <c r="DL160" i="3" a="1"/>
  <c r="DL160" i="3" s="1"/>
  <c r="DM160" i="3" s="1" a="1"/>
  <c r="DM160" i="3" s="1"/>
  <c r="DL163" i="3" a="1"/>
  <c r="DL163" i="3" s="1"/>
  <c r="DM163" i="3" s="1" a="1"/>
  <c r="DM163" i="3" s="1"/>
  <c r="DL161" i="3" a="1"/>
  <c r="DL161" i="3" s="1"/>
  <c r="DM161" i="3" s="1" a="1"/>
  <c r="DM161" i="3" s="1"/>
  <c r="DL132" i="3" a="1"/>
  <c r="DL132" i="3" s="1"/>
  <c r="DM132" i="3" s="1" a="1"/>
  <c r="DM132" i="3" s="1"/>
  <c r="DL23" i="3" a="1"/>
  <c r="DL23" i="3" s="1"/>
  <c r="DM23" i="3" s="1" a="1"/>
  <c r="DM23" i="3" s="1"/>
  <c r="DL118" i="3" a="1"/>
  <c r="DL118" i="3" s="1"/>
  <c r="DM118" i="3" s="1" a="1"/>
  <c r="DM118" i="3" s="1"/>
  <c r="DL122" i="3" a="1"/>
  <c r="DL122" i="3" s="1"/>
  <c r="DM122" i="3" s="1" a="1"/>
  <c r="DM122" i="3" s="1"/>
  <c r="DL90" i="3" a="1"/>
  <c r="DL90" i="3" s="1"/>
  <c r="DM90" i="3" s="1" a="1"/>
  <c r="DM90" i="3" s="1"/>
  <c r="DL119" i="3" a="1"/>
  <c r="DL119" i="3" s="1"/>
  <c r="DM119" i="3" s="1" a="1"/>
  <c r="DM119" i="3" s="1"/>
  <c r="DL138" i="3" a="1"/>
  <c r="DL138" i="3" s="1"/>
  <c r="DM138" i="3" s="1" a="1"/>
  <c r="DM138" i="3" s="1"/>
  <c r="DH27" i="3" a="1"/>
  <c r="DH27" i="3" s="1"/>
  <c r="DL25" i="3" a="1"/>
  <c r="DL25" i="3" s="1"/>
  <c r="DM25" i="3" s="1" a="1"/>
  <c r="DM25" i="3" s="1"/>
  <c r="DL26" i="3" a="1"/>
  <c r="DL26" i="3" s="1"/>
  <c r="DM26" i="3" s="1" a="1"/>
  <c r="DM26" i="3" s="1"/>
  <c r="DN26" i="3" s="1" a="1"/>
  <c r="DN26" i="3" s="1"/>
  <c r="DP26" i="3" s="1"/>
  <c r="DL105" i="3" a="1"/>
  <c r="DL105" i="3" s="1"/>
  <c r="DM105" i="3" s="1" a="1"/>
  <c r="DM105" i="3" s="1"/>
  <c r="DL106" i="3" a="1"/>
  <c r="DL106" i="3" s="1"/>
  <c r="DM106" i="3" s="1" a="1"/>
  <c r="DM106" i="3" s="1"/>
  <c r="DL123" i="3" a="1"/>
  <c r="DL123" i="3" s="1"/>
  <c r="DM123" i="3" s="1" a="1"/>
  <c r="DM123" i="3" s="1"/>
  <c r="DL91" i="3" a="1"/>
  <c r="DL91" i="3" s="1"/>
  <c r="DM91" i="3" s="1" a="1"/>
  <c r="DM91" i="3" s="1"/>
  <c r="DL133" i="3" a="1"/>
  <c r="DL133" i="3" s="1"/>
  <c r="DM133" i="3" s="1" a="1"/>
  <c r="DM133" i="3" s="1"/>
  <c r="DL20" i="3" a="1"/>
  <c r="DL20" i="3" s="1"/>
  <c r="DM20" i="3" s="1" a="1"/>
  <c r="DM20" i="3" s="1"/>
  <c r="DL120" i="3" a="1"/>
  <c r="DL120" i="3" s="1"/>
  <c r="DM120" i="3" s="1" a="1"/>
  <c r="DM120" i="3" s="1"/>
  <c r="DL135" i="3" a="1"/>
  <c r="DL135" i="3" s="1"/>
  <c r="DM135" i="3" s="1" a="1"/>
  <c r="DM135" i="3" s="1"/>
  <c r="DL136" i="3" a="1"/>
  <c r="DL136" i="3" s="1"/>
  <c r="DM136" i="3" s="1" a="1"/>
  <c r="DM136" i="3" s="1"/>
  <c r="DL24" i="3" a="1"/>
  <c r="DL24" i="3" s="1"/>
  <c r="DM24" i="3" s="1" a="1"/>
  <c r="DM24" i="3" s="1"/>
  <c r="DL137" i="3" a="1"/>
  <c r="DL137" i="3" s="1"/>
  <c r="DM137" i="3" s="1" a="1"/>
  <c r="DM137" i="3" s="1"/>
  <c r="DL107" i="3" a="1"/>
  <c r="DL107" i="3" s="1"/>
  <c r="DM107" i="3" s="1" a="1"/>
  <c r="DM107" i="3" s="1"/>
  <c r="DL22" i="3" a="1"/>
  <c r="DL22" i="3" s="1"/>
  <c r="DM22" i="3" s="1" a="1"/>
  <c r="DM22" i="3" s="1"/>
  <c r="DL134" i="3" a="1"/>
  <c r="DL134" i="3" s="1"/>
  <c r="DM134" i="3" s="1" a="1"/>
  <c r="DM134" i="3" s="1"/>
  <c r="DL21" i="3" a="1"/>
  <c r="DL21" i="3" s="1"/>
  <c r="DM21" i="3" s="1" a="1"/>
  <c r="DM21" i="3" s="1"/>
  <c r="DL104" i="3" a="1"/>
  <c r="DL104" i="3" s="1"/>
  <c r="DM104" i="3" s="1" a="1"/>
  <c r="DM104" i="3" s="1"/>
  <c r="DL121" i="3" a="1"/>
  <c r="DL121" i="3" s="1"/>
  <c r="DM121" i="3" s="1" a="1"/>
  <c r="DM121" i="3" s="1"/>
  <c r="DL180" i="3" a="1"/>
  <c r="DL180" i="3" s="1"/>
  <c r="DM180" i="3" s="1" a="1"/>
  <c r="DM180" i="3" s="1"/>
  <c r="DL179" i="3" a="1"/>
  <c r="DL179" i="3" s="1"/>
  <c r="DM179" i="3" s="1" a="1"/>
  <c r="DM179" i="3" s="1"/>
  <c r="DL178" i="3" a="1"/>
  <c r="DL178" i="3" s="1"/>
  <c r="DM178" i="3" s="1" a="1"/>
  <c r="DM178" i="3" s="1"/>
  <c r="DJ170" i="3" a="1"/>
  <c r="DJ170" i="3" l="1"/>
  <c r="DK169" i="3" a="1"/>
  <c r="DK169" i="3" s="1"/>
  <c r="DL169" i="3" a="1"/>
  <c r="DL169" i="3" s="1"/>
  <c r="DM169" i="3" s="1" a="1"/>
  <c r="DM169" i="3" s="1"/>
  <c r="DM28" i="3" a="1"/>
  <c r="DM28" i="3" s="1"/>
  <c r="DM30" i="3" a="1"/>
  <c r="DM30" i="3" s="1"/>
  <c r="DN23" i="3" a="1"/>
  <c r="DN23" i="3" s="1"/>
  <c r="DP23" i="3" s="1"/>
  <c r="DN21" i="3" a="1"/>
  <c r="DN21" i="3" s="1"/>
  <c r="DP21" i="3" s="1"/>
  <c r="DM29" i="3" a="1"/>
  <c r="DM29" i="3" s="1"/>
  <c r="DN29" i="3" s="1" a="1"/>
  <c r="DN29" i="3" s="1"/>
  <c r="DP29" i="3" s="1"/>
  <c r="EA29" i="3" s="1"/>
  <c r="EB29" i="3" s="1"/>
  <c r="DM31" i="3" a="1"/>
  <c r="DM31" i="3" s="1"/>
  <c r="DN31" i="3" s="1" a="1"/>
  <c r="DN31" i="3" s="1"/>
  <c r="DP31" i="3" s="1"/>
  <c r="DO45" i="3" s="1"/>
  <c r="DN24" i="3" a="1"/>
  <c r="DN24" i="3" s="1"/>
  <c r="DP24" i="3" s="1"/>
  <c r="EA24" i="3" s="1"/>
  <c r="DO40" i="3"/>
  <c r="EA26" i="3"/>
  <c r="DM33" i="3" a="1"/>
  <c r="DM33" i="3" s="1"/>
  <c r="DM32" i="3" a="1"/>
  <c r="DM32" i="3" s="1"/>
  <c r="DM27" i="3" a="1"/>
  <c r="DM27" i="3" s="1"/>
  <c r="DN22" i="3" a="1"/>
  <c r="DN22" i="3" s="1"/>
  <c r="DP22" i="3" s="1"/>
  <c r="DN25" i="3" a="1"/>
  <c r="DN25" i="3" s="1"/>
  <c r="DP25" i="3" s="1"/>
  <c r="DH173" i="3" a="1"/>
  <c r="DH173" i="3" s="1"/>
  <c r="DH172" i="3" a="1"/>
  <c r="DH172" i="3" s="1"/>
  <c r="DJ181" i="3" a="1"/>
  <c r="DJ171" i="3" a="1"/>
  <c r="DJ171" i="3" l="1"/>
  <c r="EA23" i="3"/>
  <c r="EZ29" i="3" s="1"/>
  <c r="FA29" i="3" s="1"/>
  <c r="FC29" i="3" s="1"/>
  <c r="DO37" i="3"/>
  <c r="DO35" i="3"/>
  <c r="EA21" i="3"/>
  <c r="DO38" i="3"/>
  <c r="EA31" i="3"/>
  <c r="EB31" i="3" s="1"/>
  <c r="EC31" i="3" s="1" a="1"/>
  <c r="EC31" i="3" s="1"/>
  <c r="DO43" i="3"/>
  <c r="DQ43" i="3" s="1"/>
  <c r="DN30" i="3" a="1"/>
  <c r="DN30" i="3" s="1"/>
  <c r="DP30" i="3" s="1"/>
  <c r="DN32" i="3" a="1"/>
  <c r="DN32" i="3" s="1"/>
  <c r="DP32" i="3" s="1"/>
  <c r="DO46" i="3" s="1"/>
  <c r="DN33" i="3" a="1"/>
  <c r="DN33" i="3" s="1"/>
  <c r="DP33" i="3" s="1"/>
  <c r="DO47" i="3" s="1"/>
  <c r="EA25" i="3"/>
  <c r="DO39" i="3"/>
  <c r="EC29" i="3" a="1"/>
  <c r="EC29" i="3" s="1"/>
  <c r="DN28" i="3" a="1"/>
  <c r="DN28" i="3" s="1"/>
  <c r="DP28" i="3" s="1"/>
  <c r="EB26" i="3"/>
  <c r="EZ32" i="3"/>
  <c r="FA32" i="3" s="1"/>
  <c r="FC32" i="3" s="1"/>
  <c r="DQ45" i="3"/>
  <c r="DP45" i="3"/>
  <c r="FJ29" i="3"/>
  <c r="EZ30" i="3"/>
  <c r="FA30" i="3" s="1"/>
  <c r="FC30" i="3" s="1"/>
  <c r="EB24" i="3"/>
  <c r="DO36" i="3"/>
  <c r="EA22" i="3"/>
  <c r="DP40" i="3"/>
  <c r="DQ40" i="3"/>
  <c r="DJ181" i="3"/>
  <c r="DJ182" i="3" a="1"/>
  <c r="DJ172" i="3" a="1"/>
  <c r="DJ172" i="3" l="1"/>
  <c r="DP37" i="3"/>
  <c r="DO51" i="3" s="1"/>
  <c r="DQ37" i="3"/>
  <c r="DQ35" i="3"/>
  <c r="DP35" i="3"/>
  <c r="DO49" i="3" s="1"/>
  <c r="EB23" i="3"/>
  <c r="EC23" i="3" s="1" a="1"/>
  <c r="EC23" i="3" s="1"/>
  <c r="FJ28" i="3"/>
  <c r="DP38" i="3"/>
  <c r="DO52" i="3" s="1"/>
  <c r="DQ38" i="3"/>
  <c r="EB21" i="3"/>
  <c r="EC21" i="3" s="1" a="1"/>
  <c r="EC21" i="3" s="1"/>
  <c r="EZ27" i="3"/>
  <c r="FA27" i="3" s="1"/>
  <c r="FC27" i="3" s="1"/>
  <c r="FJ26" i="3"/>
  <c r="DO44" i="3"/>
  <c r="EA30" i="3"/>
  <c r="EB30" i="3" s="1"/>
  <c r="EC30" i="3" s="1" a="1"/>
  <c r="EC30" i="3" s="1"/>
  <c r="EA33" i="3"/>
  <c r="EB33" i="3" s="1"/>
  <c r="EC33" i="3" s="1" a="1"/>
  <c r="EC33" i="3" s="1"/>
  <c r="EA32" i="3"/>
  <c r="EB32" i="3" s="1"/>
  <c r="EC32" i="3" s="1" a="1"/>
  <c r="EC32" i="3" s="1"/>
  <c r="DP43" i="3"/>
  <c r="DO57" i="3" s="1"/>
  <c r="DO42" i="3"/>
  <c r="EA28" i="3"/>
  <c r="EB28" i="3" s="1"/>
  <c r="DQ47" i="3"/>
  <c r="DP47" i="3"/>
  <c r="EZ28" i="3"/>
  <c r="FA28" i="3" s="1"/>
  <c r="FC28" i="3" s="1"/>
  <c r="EB22" i="3"/>
  <c r="FJ27" i="3"/>
  <c r="DP46" i="3"/>
  <c r="DQ46" i="3"/>
  <c r="DQ36" i="3"/>
  <c r="DP36" i="3"/>
  <c r="EC24" i="3" a="1"/>
  <c r="EC24" i="3" s="1"/>
  <c r="DX43" i="3" a="1"/>
  <c r="DX43" i="3" s="1"/>
  <c r="DZ43" i="3" s="1"/>
  <c r="DY57" i="3" s="1"/>
  <c r="DR43" i="3" a="1"/>
  <c r="DR43" i="3" s="1"/>
  <c r="DP39" i="3"/>
  <c r="DQ39" i="3"/>
  <c r="DX40" i="3" a="1"/>
  <c r="DX40" i="3" s="1"/>
  <c r="DZ40" i="3" s="1"/>
  <c r="DY54" i="3" s="1"/>
  <c r="DR40" i="3" a="1"/>
  <c r="DR40" i="3" s="1"/>
  <c r="DO54" i="3"/>
  <c r="DO59" i="3"/>
  <c r="DX45" i="3" a="1"/>
  <c r="DX45" i="3" s="1"/>
  <c r="DZ45" i="3" s="1"/>
  <c r="DY59" i="3" s="1"/>
  <c r="DR45" i="3" a="1"/>
  <c r="DR45" i="3" s="1"/>
  <c r="EC26" i="3" a="1"/>
  <c r="EC26" i="3" s="1"/>
  <c r="EB25" i="3"/>
  <c r="EZ31" i="3"/>
  <c r="FA31" i="3" s="1"/>
  <c r="FC31" i="3" s="1"/>
  <c r="DJ182" i="3"/>
  <c r="DJ173" i="3" a="1"/>
  <c r="DJ183" i="3" a="1"/>
  <c r="DJ173" i="3" l="1"/>
  <c r="DK172" i="3" a="1"/>
  <c r="DK172" i="3" s="1"/>
  <c r="DL172" i="3" a="1"/>
  <c r="DL172" i="3" s="1"/>
  <c r="DI172" i="3"/>
  <c r="DQ51" i="3"/>
  <c r="DX51" i="3" s="1" a="1"/>
  <c r="DX51" i="3" s="1"/>
  <c r="DP51" i="3"/>
  <c r="DX37" i="3" a="1"/>
  <c r="DX37" i="3" s="1"/>
  <c r="DZ37" i="3" s="1"/>
  <c r="EA37" i="3" s="1"/>
  <c r="EB37" i="3" s="1"/>
  <c r="DR37" i="3" a="1"/>
  <c r="DR37" i="3" s="1"/>
  <c r="DX35" i="3" a="1"/>
  <c r="DX35" i="3" s="1"/>
  <c r="DZ35" i="3" s="1"/>
  <c r="EA35" i="3" s="1"/>
  <c r="DR35" i="3" a="1"/>
  <c r="DR35" i="3" s="1"/>
  <c r="DX38" i="3" a="1"/>
  <c r="DX38" i="3" s="1"/>
  <c r="DZ38" i="3" s="1"/>
  <c r="DY52" i="3" s="1"/>
  <c r="DR38" i="3" a="1"/>
  <c r="DR38" i="3" s="1"/>
  <c r="EA43" i="3"/>
  <c r="EB43" i="3" s="1"/>
  <c r="EC43" i="3" s="1" a="1"/>
  <c r="EC43" i="3" s="1"/>
  <c r="EA45" i="3"/>
  <c r="EB45" i="3" s="1"/>
  <c r="EC45" i="3" s="1" a="1"/>
  <c r="EC45" i="3" s="1"/>
  <c r="DQ44" i="3"/>
  <c r="DP44" i="3"/>
  <c r="DO58" i="3" s="1"/>
  <c r="DP58" i="3" s="1"/>
  <c r="EC25" i="3" a="1"/>
  <c r="EC25" i="3" s="1"/>
  <c r="DP52" i="3"/>
  <c r="DQ52" i="3"/>
  <c r="DO61" i="3"/>
  <c r="DQ49" i="3"/>
  <c r="DP49" i="3"/>
  <c r="DO50" i="3"/>
  <c r="DY51" i="3"/>
  <c r="EA40" i="3"/>
  <c r="EB40" i="3" s="1"/>
  <c r="DX36" i="3" a="1"/>
  <c r="DX36" i="3" s="1"/>
  <c r="DZ36" i="3" s="1"/>
  <c r="EA36" i="3" s="1"/>
  <c r="DR36" i="3" a="1"/>
  <c r="DR36" i="3" s="1"/>
  <c r="DX47" i="3" a="1"/>
  <c r="DX47" i="3" s="1"/>
  <c r="DZ47" i="3" s="1"/>
  <c r="DY61" i="3" s="1"/>
  <c r="DR47" i="3" a="1"/>
  <c r="DR47" i="3" s="1"/>
  <c r="DP57" i="3"/>
  <c r="DQ57" i="3"/>
  <c r="DP54" i="3"/>
  <c r="DQ54" i="3"/>
  <c r="DX46" i="3" a="1"/>
  <c r="DX46" i="3" s="1"/>
  <c r="DZ46" i="3" s="1"/>
  <c r="DY60" i="3" s="1"/>
  <c r="DR46" i="3" a="1"/>
  <c r="DR46" i="3" s="1"/>
  <c r="EC22" i="3" a="1"/>
  <c r="EC22" i="3" s="1"/>
  <c r="DX39" i="3" a="1"/>
  <c r="DX39" i="3" s="1"/>
  <c r="DZ39" i="3" s="1"/>
  <c r="DY53" i="3" s="1"/>
  <c r="DR39" i="3" a="1"/>
  <c r="DR39" i="3" s="1"/>
  <c r="DO60" i="3"/>
  <c r="EC28" i="3" a="1"/>
  <c r="EC28" i="3" s="1"/>
  <c r="DQ59" i="3"/>
  <c r="DP59" i="3"/>
  <c r="DO53" i="3"/>
  <c r="FK28" i="3"/>
  <c r="DO65" i="3"/>
  <c r="DP42" i="3"/>
  <c r="DQ42" i="3"/>
  <c r="DJ183" i="3"/>
  <c r="DJ184" i="3" a="1"/>
  <c r="DR51" i="3" l="1" a="1"/>
  <c r="DR51" i="3" s="1"/>
  <c r="DM172" i="3" a="1"/>
  <c r="DM172" i="3" s="1"/>
  <c r="EA38" i="3"/>
  <c r="DY49" i="3"/>
  <c r="DL173" i="3" a="1"/>
  <c r="DL173" i="3" s="1"/>
  <c r="DI173" i="3"/>
  <c r="DK173" i="3" a="1"/>
  <c r="DK173" i="3" s="1"/>
  <c r="EB35" i="3"/>
  <c r="FK26" i="3"/>
  <c r="DQ58" i="3"/>
  <c r="DX58" i="3" s="1" a="1"/>
  <c r="DX58" i="3" s="1"/>
  <c r="DZ51" i="3"/>
  <c r="EA51" i="3" s="1"/>
  <c r="EB51" i="3" s="1"/>
  <c r="EA47" i="3"/>
  <c r="EB47" i="3" s="1"/>
  <c r="EC47" i="3" s="1" a="1"/>
  <c r="EC47" i="3" s="1"/>
  <c r="DX44" i="3" a="1"/>
  <c r="DX44" i="3" s="1"/>
  <c r="DZ44" i="3" s="1"/>
  <c r="DR44" i="3" a="1"/>
  <c r="DR44" i="3" s="1"/>
  <c r="DQ53" i="3"/>
  <c r="DP53" i="3"/>
  <c r="DX57" i="3" a="1"/>
  <c r="DX57" i="3" s="1"/>
  <c r="DZ57" i="3" s="1"/>
  <c r="DY71" i="3" s="1"/>
  <c r="DP61" i="3"/>
  <c r="DQ61" i="3"/>
  <c r="DO56" i="3"/>
  <c r="DO71" i="3"/>
  <c r="EB38" i="3"/>
  <c r="FK29" i="3"/>
  <c r="DO72" i="3"/>
  <c r="DQ65" i="3"/>
  <c r="DP65" i="3"/>
  <c r="DO73" i="3"/>
  <c r="DX52" i="3" a="1"/>
  <c r="DX52" i="3" s="1"/>
  <c r="DZ52" i="3" s="1"/>
  <c r="EA52" i="3" s="1"/>
  <c r="DR52" i="3" a="1"/>
  <c r="DR52" i="3" s="1"/>
  <c r="DQ50" i="3"/>
  <c r="DP50" i="3"/>
  <c r="DO66" i="3"/>
  <c r="DX42" i="3" a="1"/>
  <c r="DX42" i="3" s="1"/>
  <c r="DZ42" i="3" s="1"/>
  <c r="DY56" i="3" s="1"/>
  <c r="EC40" i="3" a="1"/>
  <c r="EC40" i="3" s="1"/>
  <c r="DY65" i="3"/>
  <c r="DX59" i="3" a="1"/>
  <c r="DX59" i="3" s="1"/>
  <c r="DZ59" i="3" s="1"/>
  <c r="DY73" i="3" s="1"/>
  <c r="DR59" i="3" a="1"/>
  <c r="DR59" i="3" s="1"/>
  <c r="EB36" i="3"/>
  <c r="FK27" i="3"/>
  <c r="EC37" i="3" a="1"/>
  <c r="EC37" i="3" s="1"/>
  <c r="EA46" i="3"/>
  <c r="EB46" i="3" s="1"/>
  <c r="DX54" i="3" a="1"/>
  <c r="DX54" i="3" s="1"/>
  <c r="DZ54" i="3" s="1"/>
  <c r="DY68" i="3" s="1"/>
  <c r="DR54" i="3" a="1"/>
  <c r="DR54" i="3" s="1"/>
  <c r="DO63" i="3"/>
  <c r="EC35" i="3" a="1"/>
  <c r="EC35" i="3" s="1"/>
  <c r="EA39" i="3"/>
  <c r="EB39" i="3" s="1"/>
  <c r="DP60" i="3"/>
  <c r="DQ60" i="3"/>
  <c r="DO68" i="3"/>
  <c r="DX49" i="3" a="1"/>
  <c r="DX49" i="3" s="1"/>
  <c r="DR49" i="3" a="1"/>
  <c r="DR49" i="3" s="1"/>
  <c r="DJ184" i="3"/>
  <c r="DJ185" i="3" a="1"/>
  <c r="DZ49" i="3" l="1"/>
  <c r="DY63" i="3" s="1"/>
  <c r="FL28" i="3"/>
  <c r="DM173" i="3" a="1"/>
  <c r="DM173" i="3" s="1"/>
  <c r="DY58" i="3"/>
  <c r="DZ58" i="3" s="1"/>
  <c r="EA44" i="3"/>
  <c r="EB44" i="3" s="1"/>
  <c r="EC44" i="3" s="1" a="1"/>
  <c r="EC44" i="3" s="1"/>
  <c r="EB52" i="3"/>
  <c r="EC52" i="3" s="1" a="1"/>
  <c r="EC52" i="3" s="1"/>
  <c r="FL29" i="3"/>
  <c r="DO75" i="3"/>
  <c r="DQ63" i="3"/>
  <c r="DP63" i="3"/>
  <c r="DX60" i="3" a="1"/>
  <c r="DX60" i="3" s="1"/>
  <c r="DZ60" i="3" s="1"/>
  <c r="DY74" i="3" s="1"/>
  <c r="DR60" i="3" a="1"/>
  <c r="DR60" i="3" s="1"/>
  <c r="DO74" i="3"/>
  <c r="EC46" i="3" a="1"/>
  <c r="EC46" i="3" s="1"/>
  <c r="EC39" i="3" a="1"/>
  <c r="EC39" i="3" s="1"/>
  <c r="EA59" i="3"/>
  <c r="EB59" i="3" s="1"/>
  <c r="EC38" i="3" a="1"/>
  <c r="EC38" i="3" s="1"/>
  <c r="DP66" i="3"/>
  <c r="DQ66" i="3"/>
  <c r="DQ71" i="3"/>
  <c r="DP71" i="3"/>
  <c r="EC36" i="3" a="1"/>
  <c r="EC36" i="3" s="1"/>
  <c r="DO79" i="3"/>
  <c r="EA57" i="3"/>
  <c r="EB57" i="3" s="1"/>
  <c r="DO67" i="3"/>
  <c r="DP68" i="3"/>
  <c r="DQ68" i="3"/>
  <c r="DQ73" i="3"/>
  <c r="DP73" i="3"/>
  <c r="EA49" i="3"/>
  <c r="EB49" i="3" s="1"/>
  <c r="DO64" i="3"/>
  <c r="DX65" i="3" a="1"/>
  <c r="DX65" i="3" s="1"/>
  <c r="DZ65" i="3" s="1"/>
  <c r="DY79" i="3" s="1"/>
  <c r="DR65" i="3" a="1"/>
  <c r="DR65" i="3" s="1"/>
  <c r="EA42" i="3"/>
  <c r="EB42" i="3" s="1"/>
  <c r="DX53" i="3" a="1"/>
  <c r="DX53" i="3" s="1"/>
  <c r="DZ53" i="3" s="1"/>
  <c r="DY67" i="3" s="1"/>
  <c r="DR53" i="3" a="1"/>
  <c r="DR53" i="3" s="1"/>
  <c r="DQ56" i="3"/>
  <c r="DP56" i="3"/>
  <c r="DX50" i="3" a="1"/>
  <c r="DX50" i="3" s="1"/>
  <c r="DR50" i="3" a="1"/>
  <c r="DR50" i="3" s="1"/>
  <c r="EA54" i="3"/>
  <c r="EB54" i="3" s="1"/>
  <c r="EC54" i="3" s="1" a="1"/>
  <c r="EC54" i="3" s="1"/>
  <c r="DQ72" i="3"/>
  <c r="DP72" i="3"/>
  <c r="DX61" i="3" a="1"/>
  <c r="DX61" i="3" s="1"/>
  <c r="DZ61" i="3" s="1"/>
  <c r="DY75" i="3" s="1"/>
  <c r="DR61" i="3" a="1"/>
  <c r="DR61" i="3" s="1"/>
  <c r="EC51" i="3" a="1"/>
  <c r="EC51" i="3" s="1"/>
  <c r="DJ185" i="3"/>
  <c r="DJ186" i="3" a="1"/>
  <c r="DY72" i="3" l="1"/>
  <c r="EA58" i="3"/>
  <c r="EB58" i="3" s="1"/>
  <c r="EC58" i="3" s="1" a="1"/>
  <c r="EC58" i="3" s="1"/>
  <c r="EA53" i="3"/>
  <c r="EB53" i="3" s="1"/>
  <c r="EC53" i="3" s="1" a="1"/>
  <c r="EC53" i="3" s="1"/>
  <c r="DX56" i="3" a="1"/>
  <c r="DX56" i="3" s="1"/>
  <c r="DZ56" i="3" s="1"/>
  <c r="EC57" i="3" a="1"/>
  <c r="EC57" i="3" s="1"/>
  <c r="DO77" i="3"/>
  <c r="DQ64" i="3"/>
  <c r="DP64" i="3"/>
  <c r="DO86" i="3"/>
  <c r="EC49" i="3" a="1"/>
  <c r="EC49" i="3" s="1"/>
  <c r="EA65" i="3"/>
  <c r="EC59" i="3" a="1"/>
  <c r="EC59" i="3" s="1"/>
  <c r="DX63" i="3" a="1"/>
  <c r="DX63" i="3" s="1"/>
  <c r="DZ63" i="3" s="1"/>
  <c r="DY77" i="3" s="1"/>
  <c r="DR63" i="3" a="1"/>
  <c r="DR63" i="3" s="1"/>
  <c r="DO80" i="3"/>
  <c r="DX72" i="3" a="1"/>
  <c r="DX72" i="3" s="1"/>
  <c r="DO87" i="3"/>
  <c r="DQ79" i="3"/>
  <c r="DP79" i="3"/>
  <c r="EA61" i="3"/>
  <c r="EB61" i="3" s="1"/>
  <c r="DQ75" i="3"/>
  <c r="DP75" i="3"/>
  <c r="DX73" i="3" a="1"/>
  <c r="DX73" i="3" s="1"/>
  <c r="DZ73" i="3" s="1"/>
  <c r="DY87" i="3" s="1"/>
  <c r="EC42" i="3" a="1"/>
  <c r="EC42" i="3" s="1"/>
  <c r="DX68" i="3" a="1"/>
  <c r="DX68" i="3" s="1"/>
  <c r="DZ68" i="3" s="1"/>
  <c r="EA68" i="3" s="1"/>
  <c r="EB68" i="3" s="1"/>
  <c r="DR68" i="3" a="1"/>
  <c r="DR68" i="3" s="1"/>
  <c r="DO85" i="3"/>
  <c r="EA60" i="3"/>
  <c r="EB60" i="3" s="1"/>
  <c r="DO70" i="3"/>
  <c r="DQ74" i="3"/>
  <c r="DP74" i="3"/>
  <c r="DO82" i="3"/>
  <c r="DX71" i="3" a="1"/>
  <c r="DX71" i="3" s="1"/>
  <c r="DZ71" i="3" s="1"/>
  <c r="DY85" i="3" s="1"/>
  <c r="DP67" i="3"/>
  <c r="DQ67" i="3"/>
  <c r="DX66" i="3" a="1"/>
  <c r="DX66" i="3" s="1"/>
  <c r="DR66" i="3" a="1"/>
  <c r="DR66" i="3" s="1"/>
  <c r="DJ186" i="3"/>
  <c r="DJ187" i="3" a="1"/>
  <c r="DY70" i="3" l="1"/>
  <c r="EA56" i="3"/>
  <c r="EB56" i="3" s="1"/>
  <c r="EC56" i="3" s="1" a="1"/>
  <c r="EC56" i="3" s="1"/>
  <c r="DZ72" i="3"/>
  <c r="DY86" i="3" s="1"/>
  <c r="DQ86" i="3"/>
  <c r="DX86" i="3" s="1" a="1"/>
  <c r="DX86" i="3" s="1"/>
  <c r="DP86" i="3"/>
  <c r="DO89" i="3"/>
  <c r="DQ80" i="3"/>
  <c r="DP80" i="3"/>
  <c r="DO78" i="3"/>
  <c r="DP82" i="3"/>
  <c r="DQ82" i="3"/>
  <c r="DQ85" i="3"/>
  <c r="DX85" i="3" s="1" a="1"/>
  <c r="DX85" i="3" s="1"/>
  <c r="DZ85" i="3" s="1"/>
  <c r="DY99" i="3" s="1"/>
  <c r="DP85" i="3"/>
  <c r="EC61" i="3" a="1"/>
  <c r="EC61" i="3" s="1"/>
  <c r="DX64" i="3" a="1"/>
  <c r="DX64" i="3" s="1"/>
  <c r="DR64" i="3" a="1"/>
  <c r="DR64" i="3" s="1"/>
  <c r="EA63" i="3"/>
  <c r="DQ70" i="3"/>
  <c r="DP70" i="3"/>
  <c r="DX75" i="3" a="1"/>
  <c r="DX75" i="3" s="1"/>
  <c r="DZ75" i="3" s="1"/>
  <c r="DY89" i="3" s="1"/>
  <c r="DR75" i="3" a="1"/>
  <c r="DR75" i="3" s="1"/>
  <c r="EA71" i="3"/>
  <c r="EB71" i="3" s="1"/>
  <c r="DO93" i="3"/>
  <c r="DO88" i="3"/>
  <c r="DQ77" i="3"/>
  <c r="DP77" i="3"/>
  <c r="EC60" i="3" a="1"/>
  <c r="EC60" i="3" s="1"/>
  <c r="EC68" i="3" a="1"/>
  <c r="EC68" i="3" s="1"/>
  <c r="DX79" i="3" a="1"/>
  <c r="DX79" i="3" s="1"/>
  <c r="DZ79" i="3" s="1"/>
  <c r="DY93" i="3" s="1"/>
  <c r="DR79" i="3" a="1"/>
  <c r="DR79" i="3" s="1"/>
  <c r="DX67" i="3" a="1"/>
  <c r="DX67" i="3" s="1"/>
  <c r="DZ67" i="3" s="1"/>
  <c r="DY81" i="3" s="1"/>
  <c r="DR67" i="3" a="1"/>
  <c r="DR67" i="3" s="1"/>
  <c r="DX74" i="3" a="1"/>
  <c r="DX74" i="3" s="1"/>
  <c r="DZ74" i="3" s="1"/>
  <c r="DY88" i="3" s="1"/>
  <c r="EA73" i="3"/>
  <c r="EB73" i="3" s="1"/>
  <c r="EB65" i="3"/>
  <c r="FM28" i="3"/>
  <c r="DO81" i="3"/>
  <c r="DQ87" i="3"/>
  <c r="DX87" i="3" s="1" a="1"/>
  <c r="DX87" i="3" s="1"/>
  <c r="DZ87" i="3" s="1"/>
  <c r="DY101" i="3" s="1"/>
  <c r="DP87" i="3"/>
  <c r="DJ187" i="3"/>
  <c r="DI187" i="3" s="1"/>
  <c r="DL186" i="3" a="1"/>
  <c r="DL186" i="3" s="1"/>
  <c r="DK186" i="3" a="1"/>
  <c r="DK186" i="3" s="1"/>
  <c r="DI186" i="3"/>
  <c r="DL185" i="3" a="1"/>
  <c r="DL185" i="3" s="1"/>
  <c r="DK185" i="3" a="1"/>
  <c r="DK185" i="3" s="1"/>
  <c r="DI185" i="3"/>
  <c r="DL171" i="3" a="1"/>
  <c r="DL171" i="3" s="1"/>
  <c r="DK171" i="3" a="1"/>
  <c r="DK171" i="3" s="1"/>
  <c r="DI171" i="3"/>
  <c r="DL184" i="3" a="1"/>
  <c r="DL184" i="3" s="1"/>
  <c r="DK184" i="3" a="1"/>
  <c r="DK184" i="3" s="1"/>
  <c r="DI184" i="3"/>
  <c r="DL170" i="3" a="1"/>
  <c r="DL170" i="3" s="1"/>
  <c r="DK170" i="3" a="1"/>
  <c r="DK170" i="3" s="1"/>
  <c r="DI170" i="3"/>
  <c r="DL183" i="3" a="1"/>
  <c r="DL183" i="3" s="1"/>
  <c r="DK183" i="3" a="1"/>
  <c r="DK183" i="3" s="1"/>
  <c r="DI183" i="3"/>
  <c r="DI169" i="3"/>
  <c r="DL168" i="3" a="1"/>
  <c r="DL168" i="3" s="1"/>
  <c r="DK168" i="3" a="1"/>
  <c r="DK168" i="3" s="1"/>
  <c r="DI168" i="3"/>
  <c r="DL182" i="3" a="1"/>
  <c r="DL182" i="3" s="1"/>
  <c r="DK182" i="3" a="1"/>
  <c r="DK182" i="3" s="1"/>
  <c r="DI182" i="3"/>
  <c r="DL181" i="3" a="1"/>
  <c r="DL181" i="3" s="1"/>
  <c r="DK181" i="3" a="1"/>
  <c r="DK181" i="3" s="1"/>
  <c r="DI181" i="3"/>
  <c r="DL167" i="3" a="1"/>
  <c r="DL167" i="3" s="1"/>
  <c r="DK167" i="3" a="1"/>
  <c r="DK167" i="3" s="1"/>
  <c r="DI167" i="3"/>
  <c r="DJ116" i="3" a="1"/>
  <c r="EA72" i="3" l="1"/>
  <c r="EB72" i="3" s="1"/>
  <c r="DZ86" i="3"/>
  <c r="EA67" i="3"/>
  <c r="EB67" i="3" s="1"/>
  <c r="EC67" i="3" s="1" a="1"/>
  <c r="EC67" i="3" s="1"/>
  <c r="DK187" i="3" a="1"/>
  <c r="DK187" i="3" s="1"/>
  <c r="EC65" i="3" a="1"/>
  <c r="EC65" i="3" s="1"/>
  <c r="EC71" i="3" a="1"/>
  <c r="EC71" i="3" s="1"/>
  <c r="DO94" i="3"/>
  <c r="DL187" i="3" a="1"/>
  <c r="DL187" i="3" s="1"/>
  <c r="EC73" i="3" a="1"/>
  <c r="EC73" i="3" s="1"/>
  <c r="DX80" i="3" a="1"/>
  <c r="DX80" i="3" s="1"/>
  <c r="DR80" i="3" a="1"/>
  <c r="DR80" i="3" s="1"/>
  <c r="DO91" i="3"/>
  <c r="EA85" i="3"/>
  <c r="EB85" i="3" s="1"/>
  <c r="DO99" i="3"/>
  <c r="EC72" i="3" a="1"/>
  <c r="EC72" i="3" s="1"/>
  <c r="DO101" i="3"/>
  <c r="EA87" i="3"/>
  <c r="EB87" i="3" s="1"/>
  <c r="DX77" i="3" a="1"/>
  <c r="DX77" i="3" s="1"/>
  <c r="DZ77" i="3" s="1"/>
  <c r="DY91" i="3" s="1"/>
  <c r="DR77" i="3" a="1"/>
  <c r="DR77" i="3" s="1"/>
  <c r="DO84" i="3"/>
  <c r="EA75" i="3"/>
  <c r="EB75" i="3" s="1"/>
  <c r="EA74" i="3"/>
  <c r="EB74" i="3" s="1"/>
  <c r="DX70" i="3" a="1"/>
  <c r="DX70" i="3" s="1"/>
  <c r="DZ70" i="3" s="1"/>
  <c r="DY84" i="3" s="1"/>
  <c r="DX82" i="3" a="1"/>
  <c r="DX82" i="3" s="1"/>
  <c r="DR82" i="3" a="1"/>
  <c r="DR82" i="3" s="1"/>
  <c r="DP89" i="3"/>
  <c r="DQ89" i="3"/>
  <c r="DX89" i="3" s="1" a="1"/>
  <c r="DX89" i="3" s="1"/>
  <c r="DZ89" i="3" s="1"/>
  <c r="DY103" i="3" s="1"/>
  <c r="DP81" i="3"/>
  <c r="DQ81" i="3"/>
  <c r="DQ88" i="3"/>
  <c r="DX88" i="3" s="1" a="1"/>
  <c r="DX88" i="3" s="1"/>
  <c r="DZ88" i="3" s="1"/>
  <c r="DY102" i="3" s="1"/>
  <c r="DP88" i="3"/>
  <c r="EB63" i="3"/>
  <c r="FM26" i="3"/>
  <c r="DO96" i="3"/>
  <c r="DO100" i="3"/>
  <c r="EA79" i="3"/>
  <c r="DQ93" i="3"/>
  <c r="DP93" i="3"/>
  <c r="DQ78" i="3"/>
  <c r="DP78" i="3"/>
  <c r="DM171" i="3" a="1"/>
  <c r="DM171" i="3" s="1"/>
  <c r="DM181" i="3" a="1"/>
  <c r="DM181" i="3" s="1"/>
  <c r="DM182" i="3" a="1"/>
  <c r="DM182" i="3" s="1"/>
  <c r="DM168" i="3" a="1"/>
  <c r="DM168" i="3" s="1"/>
  <c r="DM183" i="3" a="1"/>
  <c r="DM183" i="3" s="1"/>
  <c r="DM167" i="3" a="1"/>
  <c r="DM167" i="3" s="1"/>
  <c r="DM170" i="3" a="1"/>
  <c r="DM170" i="3" s="1"/>
  <c r="DM186" i="3" a="1"/>
  <c r="DM186" i="3" s="1"/>
  <c r="DM184" i="3" a="1"/>
  <c r="DM184" i="3" s="1"/>
  <c r="DM185" i="3" a="1"/>
  <c r="DM185" i="3" s="1"/>
  <c r="DJ116" i="3"/>
  <c r="DI116" i="3" s="1"/>
  <c r="DJ117" i="3" a="1"/>
  <c r="DM187" i="3" l="1" a="1"/>
  <c r="DM187" i="3" s="1"/>
  <c r="DY100" i="3"/>
  <c r="EA86" i="3"/>
  <c r="EB86" i="3" s="1"/>
  <c r="EC86" i="3" s="1" a="1"/>
  <c r="EC86" i="3" s="1"/>
  <c r="EA77" i="3"/>
  <c r="EA70" i="3"/>
  <c r="EB70" i="3" s="1"/>
  <c r="EC70" i="3" s="1" a="1"/>
  <c r="EC70" i="3" s="1"/>
  <c r="DO102" i="3"/>
  <c r="EA88" i="3"/>
  <c r="EB88" i="3" s="1"/>
  <c r="EC87" i="3" a="1"/>
  <c r="EC87" i="3" s="1"/>
  <c r="EC74" i="3" a="1"/>
  <c r="EC74" i="3" s="1"/>
  <c r="DP101" i="3"/>
  <c r="DQ101" i="3"/>
  <c r="DX101" i="3" s="1" a="1"/>
  <c r="DX101" i="3" s="1"/>
  <c r="DZ101" i="3" s="1"/>
  <c r="DY115" i="3" s="1"/>
  <c r="DP100" i="3"/>
  <c r="DQ100" i="3"/>
  <c r="DX100" i="3" s="1" a="1"/>
  <c r="DX100" i="3" s="1"/>
  <c r="DX81" i="3" a="1"/>
  <c r="DX81" i="3" s="1"/>
  <c r="DZ81" i="3" s="1"/>
  <c r="DY95" i="3" s="1"/>
  <c r="DR81" i="3" a="1"/>
  <c r="DR81" i="3" s="1"/>
  <c r="DO92" i="3"/>
  <c r="DO95" i="3"/>
  <c r="EC75" i="3" a="1"/>
  <c r="EC75" i="3" s="1"/>
  <c r="DQ99" i="3"/>
  <c r="DP99" i="3"/>
  <c r="EC85" i="3" a="1"/>
  <c r="EC85" i="3" s="1"/>
  <c r="DP94" i="3"/>
  <c r="DQ94" i="3"/>
  <c r="DQ96" i="3"/>
  <c r="DP96" i="3"/>
  <c r="DO103" i="3"/>
  <c r="EA89" i="3"/>
  <c r="EB89" i="3" s="1"/>
  <c r="DQ84" i="3"/>
  <c r="DX84" i="3" s="1" a="1"/>
  <c r="DX84" i="3" s="1"/>
  <c r="DZ84" i="3" s="1"/>
  <c r="DY98" i="3" s="1"/>
  <c r="DP84" i="3"/>
  <c r="DX78" i="3" a="1"/>
  <c r="DX78" i="3" s="1"/>
  <c r="DR78" i="3" a="1"/>
  <c r="DR78" i="3" s="1"/>
  <c r="DO107" i="3"/>
  <c r="DX93" i="3" a="1"/>
  <c r="DX93" i="3" s="1"/>
  <c r="DZ93" i="3" s="1"/>
  <c r="DY107" i="3" s="1"/>
  <c r="DR93" i="3" a="1"/>
  <c r="DR93" i="3" s="1"/>
  <c r="DP91" i="3"/>
  <c r="DQ91" i="3"/>
  <c r="EB79" i="3"/>
  <c r="FN28" i="3"/>
  <c r="EC63" i="3" a="1"/>
  <c r="EC63" i="3" s="1"/>
  <c r="DK116" i="3" a="1"/>
  <c r="DK116" i="3" s="1"/>
  <c r="DL116" i="3" a="1"/>
  <c r="DL116" i="3" s="1"/>
  <c r="DJ117" i="3"/>
  <c r="DL117" i="3" s="1" a="1"/>
  <c r="DL117" i="3" s="1"/>
  <c r="DR70" i="3" a="1"/>
  <c r="DR70" i="3" s="1"/>
  <c r="DL85" i="3" a="1"/>
  <c r="DL85" i="3" s="1"/>
  <c r="DK85" i="3" a="1"/>
  <c r="DK85" i="3" s="1"/>
  <c r="DI85" i="3"/>
  <c r="DR73" i="3" a="1"/>
  <c r="DR73" i="3" s="1"/>
  <c r="DL84" i="3" a="1"/>
  <c r="DL84" i="3" s="1"/>
  <c r="DK84" i="3" a="1"/>
  <c r="DK84" i="3" s="1"/>
  <c r="DI84" i="3"/>
  <c r="DL57" i="3" a="1"/>
  <c r="DL57" i="3" s="1"/>
  <c r="DK57" i="3" a="1"/>
  <c r="DK57" i="3" s="1"/>
  <c r="DI57" i="3"/>
  <c r="DJ69" i="3" a="1"/>
  <c r="DZ100" i="3" l="1"/>
  <c r="DY114" i="3" s="1"/>
  <c r="EB77" i="3"/>
  <c r="EC77" i="3" s="1" a="1"/>
  <c r="EC77" i="3" s="1"/>
  <c r="FN26" i="3"/>
  <c r="DI117" i="3"/>
  <c r="DK117" i="3" a="1"/>
  <c r="DK117" i="3" s="1"/>
  <c r="DM117" i="3" s="1" a="1"/>
  <c r="DM117" i="3" s="1"/>
  <c r="EA81" i="3"/>
  <c r="EB81" i="3" s="1"/>
  <c r="EC81" i="3" s="1" a="1"/>
  <c r="EC81" i="3" s="1"/>
  <c r="EA93" i="3"/>
  <c r="DQ107" i="3"/>
  <c r="DP107" i="3"/>
  <c r="DQ103" i="3"/>
  <c r="DX103" i="3" s="1" a="1"/>
  <c r="DX103" i="3" s="1"/>
  <c r="DZ103" i="3" s="1"/>
  <c r="DY117" i="3" s="1"/>
  <c r="DP103" i="3"/>
  <c r="EC79" i="3" a="1"/>
  <c r="EC79" i="3" s="1"/>
  <c r="DO110" i="3"/>
  <c r="DO114" i="3"/>
  <c r="EA100" i="3"/>
  <c r="EB100" i="3" s="1"/>
  <c r="DQ95" i="3"/>
  <c r="DP95" i="3"/>
  <c r="DX96" i="3" a="1"/>
  <c r="DX96" i="3" s="1"/>
  <c r="DR96" i="3" a="1"/>
  <c r="DR96" i="3" s="1"/>
  <c r="DX91" i="3" a="1"/>
  <c r="DX91" i="3" s="1"/>
  <c r="DZ91" i="3" s="1"/>
  <c r="DY105" i="3" s="1"/>
  <c r="DR91" i="3" a="1"/>
  <c r="DR91" i="3" s="1"/>
  <c r="DX94" i="3" a="1"/>
  <c r="DX94" i="3" s="1"/>
  <c r="DR94" i="3" a="1"/>
  <c r="DR94" i="3" s="1"/>
  <c r="EA101" i="3"/>
  <c r="EB101" i="3" s="1"/>
  <c r="DO115" i="3"/>
  <c r="DO105" i="3"/>
  <c r="DO108" i="3"/>
  <c r="EA84" i="3"/>
  <c r="EB84" i="3" s="1"/>
  <c r="DO98" i="3"/>
  <c r="DQ92" i="3"/>
  <c r="DP92" i="3"/>
  <c r="DO113" i="3"/>
  <c r="EC88" i="3" a="1"/>
  <c r="EC88" i="3" s="1"/>
  <c r="EC89" i="3" a="1"/>
  <c r="EC89" i="3" s="1"/>
  <c r="DX99" i="3" a="1"/>
  <c r="DX99" i="3" s="1"/>
  <c r="DZ99" i="3" s="1"/>
  <c r="DR99" i="3" a="1"/>
  <c r="DR99" i="3" s="1"/>
  <c r="DP102" i="3"/>
  <c r="DQ102" i="3"/>
  <c r="DX102" i="3" s="1" a="1"/>
  <c r="DX102" i="3" s="1"/>
  <c r="DZ102" i="3" s="1"/>
  <c r="DY116" i="3" s="1"/>
  <c r="DM116" i="3" a="1"/>
  <c r="DM116" i="3" s="1"/>
  <c r="DM85" i="3" a="1"/>
  <c r="DM85" i="3" s="1"/>
  <c r="DM57" i="3" a="1"/>
  <c r="DM57" i="3" s="1"/>
  <c r="DM84" i="3" a="1"/>
  <c r="DM84" i="3" s="1"/>
  <c r="DJ69" i="3"/>
  <c r="DK69" i="3" s="1" a="1"/>
  <c r="DK69" i="3" s="1"/>
  <c r="DL59" i="3" a="1"/>
  <c r="DL59" i="3" s="1"/>
  <c r="DK59" i="3" a="1"/>
  <c r="DK59" i="3" s="1"/>
  <c r="DI59" i="3"/>
  <c r="DL56" i="3" a="1"/>
  <c r="DL56" i="3" s="1"/>
  <c r="DK56" i="3" a="1"/>
  <c r="DK56" i="3" s="1"/>
  <c r="DI56" i="3"/>
  <c r="DJ70" i="3" a="1"/>
  <c r="EB93" i="3" l="1"/>
  <c r="EC93" i="3" s="1" a="1"/>
  <c r="EC93" i="3" s="1"/>
  <c r="FO28" i="3"/>
  <c r="DM59" i="3" a="1"/>
  <c r="DM59" i="3" s="1"/>
  <c r="DY113" i="3"/>
  <c r="EA99" i="3"/>
  <c r="EB99" i="3" s="1"/>
  <c r="EC99" i="3" s="1" a="1"/>
  <c r="EC99" i="3" s="1"/>
  <c r="EA91" i="3"/>
  <c r="DQ108" i="3"/>
  <c r="DP108" i="3"/>
  <c r="DO116" i="3"/>
  <c r="EA102" i="3"/>
  <c r="EB102" i="3" s="1"/>
  <c r="DP113" i="3"/>
  <c r="DQ113" i="3"/>
  <c r="DQ110" i="3"/>
  <c r="DP110" i="3"/>
  <c r="DO106" i="3"/>
  <c r="DQ105" i="3"/>
  <c r="DP105" i="3"/>
  <c r="DX92" i="3" a="1"/>
  <c r="DX92" i="3" s="1"/>
  <c r="DR92" i="3" a="1"/>
  <c r="DR92" i="3" s="1"/>
  <c r="DQ115" i="3"/>
  <c r="DP115" i="3"/>
  <c r="DO109" i="3"/>
  <c r="DO117" i="3"/>
  <c r="EA103" i="3"/>
  <c r="EB103" i="3" s="1"/>
  <c r="EC101" i="3" a="1"/>
  <c r="EC101" i="3" s="1"/>
  <c r="DQ98" i="3"/>
  <c r="DP98" i="3"/>
  <c r="DX95" i="3" a="1"/>
  <c r="DX95" i="3" s="1"/>
  <c r="DZ95" i="3" s="1"/>
  <c r="DY109" i="3" s="1"/>
  <c r="DR95" i="3" a="1"/>
  <c r="DR95" i="3" s="1"/>
  <c r="EC84" i="3" a="1"/>
  <c r="EC84" i="3" s="1"/>
  <c r="EC100" i="3" a="1"/>
  <c r="EC100" i="3" s="1"/>
  <c r="DO121" i="3"/>
  <c r="DQ114" i="3"/>
  <c r="DP114" i="3"/>
  <c r="DX107" i="3" a="1"/>
  <c r="DX107" i="3" s="1"/>
  <c r="DZ107" i="3" s="1"/>
  <c r="DY121" i="3" s="1"/>
  <c r="DR107" i="3" a="1"/>
  <c r="DR107" i="3" s="1"/>
  <c r="DL69" i="3" a="1"/>
  <c r="DL69" i="3" s="1"/>
  <c r="DM69" i="3" s="1" a="1"/>
  <c r="DM69" i="3" s="1"/>
  <c r="DM56" i="3" a="1"/>
  <c r="DM56" i="3" s="1"/>
  <c r="DI69" i="3"/>
  <c r="DJ70" i="3"/>
  <c r="DJ71" i="3" a="1"/>
  <c r="EB91" i="3" l="1"/>
  <c r="EC91" i="3" s="1" a="1"/>
  <c r="EC91" i="3" s="1"/>
  <c r="FO26" i="3"/>
  <c r="DQ109" i="3"/>
  <c r="DP109" i="3"/>
  <c r="DO128" i="3"/>
  <c r="EA107" i="3"/>
  <c r="DX110" i="3" a="1"/>
  <c r="DX110" i="3" s="1"/>
  <c r="DR110" i="3" a="1"/>
  <c r="DR110" i="3" s="1"/>
  <c r="DP121" i="3"/>
  <c r="DQ121" i="3"/>
  <c r="EC103" i="3" a="1"/>
  <c r="EC103" i="3" s="1"/>
  <c r="DO119" i="3"/>
  <c r="DX113" i="3" a="1"/>
  <c r="DX113" i="3" s="1"/>
  <c r="DZ113" i="3" s="1"/>
  <c r="DY127" i="3" s="1"/>
  <c r="DR113" i="3" a="1"/>
  <c r="DR113" i="3" s="1"/>
  <c r="DQ117" i="3"/>
  <c r="DX117" i="3" s="1" a="1"/>
  <c r="DX117" i="3" s="1"/>
  <c r="DZ117" i="3" s="1"/>
  <c r="DY131" i="3" s="1"/>
  <c r="DP117" i="3"/>
  <c r="DX105" i="3" a="1"/>
  <c r="DX105" i="3" s="1"/>
  <c r="DZ105" i="3" s="1"/>
  <c r="DY119" i="3" s="1"/>
  <c r="DR105" i="3" a="1"/>
  <c r="DR105" i="3" s="1"/>
  <c r="DO127" i="3"/>
  <c r="EA95" i="3"/>
  <c r="EB95" i="3" s="1"/>
  <c r="DQ106" i="3"/>
  <c r="DP106" i="3"/>
  <c r="EC102" i="3" a="1"/>
  <c r="EC102" i="3" s="1"/>
  <c r="DP116" i="3"/>
  <c r="DQ116" i="3"/>
  <c r="DX116" i="3" s="1" a="1"/>
  <c r="DX116" i="3" s="1"/>
  <c r="DZ116" i="3" s="1"/>
  <c r="DY130" i="3" s="1"/>
  <c r="DO129" i="3"/>
  <c r="DX114" i="3" a="1"/>
  <c r="DX114" i="3" s="1"/>
  <c r="DZ114" i="3" s="1"/>
  <c r="DY128" i="3" s="1"/>
  <c r="DR114" i="3" a="1"/>
  <c r="DR114" i="3" s="1"/>
  <c r="DX115" i="3" a="1"/>
  <c r="DX115" i="3" s="1"/>
  <c r="DZ115" i="3" s="1"/>
  <c r="DY129" i="3" s="1"/>
  <c r="DR115" i="3" a="1"/>
  <c r="DR115" i="3" s="1"/>
  <c r="DO122" i="3"/>
  <c r="DO112" i="3"/>
  <c r="DX98" i="3" a="1"/>
  <c r="DX98" i="3" s="1"/>
  <c r="DZ98" i="3" s="1"/>
  <c r="DY112" i="3" s="1"/>
  <c r="DR98" i="3" a="1"/>
  <c r="DR98" i="3" s="1"/>
  <c r="DO124" i="3"/>
  <c r="DX108" i="3" a="1"/>
  <c r="DX108" i="3" s="1"/>
  <c r="DR108" i="3" a="1"/>
  <c r="DR108" i="3" s="1"/>
  <c r="DJ71" i="3"/>
  <c r="DJ72" i="3" a="1"/>
  <c r="EA105" i="3" l="1"/>
  <c r="EA117" i="3"/>
  <c r="EB117" i="3" s="1"/>
  <c r="DO131" i="3"/>
  <c r="DO135" i="3"/>
  <c r="DX106" i="3" a="1"/>
  <c r="DX106" i="3" s="1"/>
  <c r="DR106" i="3" a="1"/>
  <c r="DR106" i="3" s="1"/>
  <c r="DO120" i="3"/>
  <c r="EA98" i="3"/>
  <c r="EB98" i="3" s="1"/>
  <c r="EB107" i="3"/>
  <c r="FP28" i="3"/>
  <c r="DP122" i="3"/>
  <c r="DQ122" i="3"/>
  <c r="DP112" i="3"/>
  <c r="DQ112" i="3"/>
  <c r="DQ129" i="3"/>
  <c r="DP129" i="3"/>
  <c r="EC95" i="3" a="1"/>
  <c r="EC95" i="3" s="1"/>
  <c r="EA115" i="3"/>
  <c r="EB115" i="3" s="1"/>
  <c r="EA113" i="3"/>
  <c r="EB113" i="3" s="1"/>
  <c r="EA114" i="3"/>
  <c r="EB114" i="3" s="1"/>
  <c r="DQ119" i="3"/>
  <c r="DP119" i="3"/>
  <c r="DQ128" i="3"/>
  <c r="DP128" i="3"/>
  <c r="DP127" i="3"/>
  <c r="DQ127" i="3"/>
  <c r="DO123" i="3"/>
  <c r="DQ124" i="3"/>
  <c r="DP124" i="3"/>
  <c r="DO130" i="3"/>
  <c r="EA116" i="3"/>
  <c r="EB116" i="3" s="1"/>
  <c r="DX121" i="3" a="1"/>
  <c r="DX121" i="3" s="1"/>
  <c r="DZ121" i="3" s="1"/>
  <c r="DY135" i="3" s="1"/>
  <c r="DR121" i="3" a="1"/>
  <c r="DR121" i="3" s="1"/>
  <c r="DX109" i="3" a="1"/>
  <c r="DX109" i="3" s="1"/>
  <c r="DZ109" i="3" s="1"/>
  <c r="DY123" i="3" s="1"/>
  <c r="DR109" i="3" a="1"/>
  <c r="DR109" i="3" s="1"/>
  <c r="DJ72" i="3"/>
  <c r="DL72" i="3" s="1" a="1"/>
  <c r="DL72" i="3" s="1"/>
  <c r="DI58" i="3"/>
  <c r="DL71" i="3" a="1"/>
  <c r="DL71" i="3" s="1"/>
  <c r="DK71" i="3" a="1"/>
  <c r="DK71" i="3" s="1"/>
  <c r="DI71" i="3"/>
  <c r="DL70" i="3" a="1"/>
  <c r="DL70" i="3" s="1"/>
  <c r="DK70" i="3" a="1"/>
  <c r="DK70" i="3" s="1"/>
  <c r="DI70" i="3"/>
  <c r="DJ73" i="3" a="1"/>
  <c r="EB105" i="3" l="1"/>
  <c r="FP26" i="3"/>
  <c r="DI72" i="3"/>
  <c r="DK72" i="3" a="1"/>
  <c r="DK72" i="3" s="1"/>
  <c r="DM72" i="3" s="1" a="1"/>
  <c r="DM72" i="3" s="1"/>
  <c r="EA109" i="3"/>
  <c r="EB109" i="3" s="1"/>
  <c r="EC109" i="3" s="1" a="1"/>
  <c r="EC109" i="3" s="1"/>
  <c r="EC114" i="3" a="1"/>
  <c r="EC114" i="3" s="1"/>
  <c r="DO142" i="3"/>
  <c r="DX124" i="3" a="1"/>
  <c r="DX124" i="3" s="1"/>
  <c r="DR124" i="3" a="1"/>
  <c r="DR124" i="3" s="1"/>
  <c r="DX119" i="3" a="1"/>
  <c r="DX119" i="3" s="1"/>
  <c r="DZ119" i="3" s="1"/>
  <c r="DR119" i="3" a="1"/>
  <c r="DR119" i="3" s="1"/>
  <c r="DX129" i="3" a="1"/>
  <c r="DX129" i="3" s="1"/>
  <c r="DZ129" i="3" s="1"/>
  <c r="DR129" i="3" a="1"/>
  <c r="DR129" i="3" s="1"/>
  <c r="DQ120" i="3"/>
  <c r="DP120" i="3"/>
  <c r="DO126" i="3"/>
  <c r="DP123" i="3"/>
  <c r="DQ123" i="3"/>
  <c r="DX127" i="3" a="1"/>
  <c r="DX127" i="3" s="1"/>
  <c r="DZ127" i="3" s="1"/>
  <c r="DY141" i="3" s="1"/>
  <c r="DR127" i="3" a="1"/>
  <c r="DR127" i="3" s="1"/>
  <c r="EC105" i="3" a="1"/>
  <c r="EC105" i="3" s="1"/>
  <c r="DX122" i="3" a="1"/>
  <c r="DX122" i="3" s="1"/>
  <c r="DR122" i="3" a="1"/>
  <c r="DR122" i="3" s="1"/>
  <c r="DO141" i="3"/>
  <c r="EC113" i="3" a="1"/>
  <c r="EC113" i="3" s="1"/>
  <c r="DO136" i="3"/>
  <c r="EA121" i="3"/>
  <c r="DQ135" i="3"/>
  <c r="DP135" i="3"/>
  <c r="DX112" i="3" a="1"/>
  <c r="DX112" i="3" s="1"/>
  <c r="DZ112" i="3" s="1"/>
  <c r="DY126" i="3" s="1"/>
  <c r="DR112" i="3" a="1"/>
  <c r="DR112" i="3" s="1"/>
  <c r="EC116" i="3" a="1"/>
  <c r="EC116" i="3" s="1"/>
  <c r="EC115" i="3" a="1"/>
  <c r="EC115" i="3" s="1"/>
  <c r="DQ131" i="3"/>
  <c r="DP131" i="3"/>
  <c r="DQ130" i="3"/>
  <c r="DP130" i="3"/>
  <c r="DX128" i="3" a="1"/>
  <c r="DX128" i="3" s="1"/>
  <c r="DZ128" i="3" s="1"/>
  <c r="DY142" i="3" s="1"/>
  <c r="DR128" i="3" a="1"/>
  <c r="DR128" i="3" s="1"/>
  <c r="EC107" i="3" a="1"/>
  <c r="EC107" i="3" s="1"/>
  <c r="DO138" i="3"/>
  <c r="DO133" i="3"/>
  <c r="DO143" i="3"/>
  <c r="EC98" i="3" a="1"/>
  <c r="EC98" i="3" s="1"/>
  <c r="EC117" i="3" a="1"/>
  <c r="EC117" i="3" s="1"/>
  <c r="DM70" i="3" a="1"/>
  <c r="DM70" i="3" s="1"/>
  <c r="DM71" i="3" a="1"/>
  <c r="DM71" i="3" s="1"/>
  <c r="DJ73" i="3"/>
  <c r="DJ74" i="3" a="1"/>
  <c r="DY143" i="3" l="1"/>
  <c r="EA129" i="3"/>
  <c r="EB129" i="3" s="1"/>
  <c r="EC129" i="3" s="1" a="1"/>
  <c r="EC129" i="3" s="1"/>
  <c r="DY133" i="3"/>
  <c r="EA119" i="3"/>
  <c r="EB119" i="3" s="1"/>
  <c r="EA127" i="3"/>
  <c r="EB127" i="3" s="1"/>
  <c r="DX123" i="3" a="1"/>
  <c r="DX123" i="3" s="1"/>
  <c r="DZ123" i="3" s="1"/>
  <c r="DR123" i="3" a="1"/>
  <c r="DR123" i="3" s="1"/>
  <c r="DQ141" i="3"/>
  <c r="DP141" i="3"/>
  <c r="DO137" i="3"/>
  <c r="FQ26" i="3"/>
  <c r="DX130" i="3" a="1"/>
  <c r="DX130" i="3" s="1"/>
  <c r="DZ130" i="3" s="1"/>
  <c r="DY144" i="3" s="1"/>
  <c r="DR130" i="3" a="1"/>
  <c r="DR130" i="3" s="1"/>
  <c r="DO149" i="3"/>
  <c r="EA112" i="3"/>
  <c r="EB112" i="3" s="1"/>
  <c r="DO144" i="3"/>
  <c r="DQ126" i="3"/>
  <c r="DP126" i="3"/>
  <c r="DQ143" i="3"/>
  <c r="DP143" i="3"/>
  <c r="DP133" i="3"/>
  <c r="DQ133" i="3"/>
  <c r="DO145" i="3"/>
  <c r="DX135" i="3" a="1"/>
  <c r="DX135" i="3" s="1"/>
  <c r="DZ135" i="3" s="1"/>
  <c r="DY149" i="3" s="1"/>
  <c r="DR135" i="3" a="1"/>
  <c r="DR135" i="3" s="1"/>
  <c r="DX131" i="3" a="1"/>
  <c r="DX131" i="3" s="1"/>
  <c r="DZ131" i="3" s="1"/>
  <c r="DY145" i="3" s="1"/>
  <c r="DR131" i="3" a="1"/>
  <c r="DR131" i="3" s="1"/>
  <c r="EB121" i="3"/>
  <c r="FQ28" i="3"/>
  <c r="DO134" i="3"/>
  <c r="EA128" i="3"/>
  <c r="EB128" i="3" s="1"/>
  <c r="DQ138" i="3"/>
  <c r="DP138" i="3"/>
  <c r="DX120" i="3" a="1"/>
  <c r="DX120" i="3" s="1"/>
  <c r="DR120" i="3" a="1"/>
  <c r="DR120" i="3" s="1"/>
  <c r="DQ142" i="3"/>
  <c r="DP142" i="3"/>
  <c r="DP136" i="3"/>
  <c r="DQ136" i="3"/>
  <c r="DJ74" i="3"/>
  <c r="DJ75" i="3" a="1"/>
  <c r="DY137" i="3" l="1"/>
  <c r="EA123" i="3"/>
  <c r="EB123" i="3" s="1"/>
  <c r="EA131" i="3"/>
  <c r="EB131" i="3" s="1"/>
  <c r="DQ145" i="3"/>
  <c r="DP145" i="3"/>
  <c r="EA130" i="3"/>
  <c r="EB130" i="3" s="1"/>
  <c r="EC119" i="3" a="1"/>
  <c r="EC119" i="3" s="1"/>
  <c r="DQ144" i="3"/>
  <c r="DP144" i="3"/>
  <c r="EC123" i="3" a="1"/>
  <c r="EC123" i="3" s="1"/>
  <c r="DX136" i="3" a="1"/>
  <c r="DX136" i="3" s="1"/>
  <c r="DR136" i="3" a="1"/>
  <c r="DR136" i="3" s="1"/>
  <c r="EC128" i="3" a="1"/>
  <c r="EC128" i="3" s="1"/>
  <c r="DQ137" i="3"/>
  <c r="DP137" i="3"/>
  <c r="DX133" i="3" a="1"/>
  <c r="DX133" i="3" s="1"/>
  <c r="DZ133" i="3" s="1"/>
  <c r="DY147" i="3" s="1"/>
  <c r="EC112" i="3" a="1"/>
  <c r="EC112" i="3" s="1"/>
  <c r="EC121" i="3" a="1"/>
  <c r="EC121" i="3" s="1"/>
  <c r="DO147" i="3"/>
  <c r="EA135" i="3"/>
  <c r="DO155" i="3"/>
  <c r="DQ134" i="3"/>
  <c r="DP134" i="3"/>
  <c r="DX142" i="3" a="1"/>
  <c r="DX142" i="3" s="1"/>
  <c r="DZ142" i="3" s="1"/>
  <c r="DY156" i="3" s="1"/>
  <c r="DR142" i="3" a="1"/>
  <c r="DR142" i="3" s="1"/>
  <c r="DO157" i="3"/>
  <c r="DQ149" i="3"/>
  <c r="DP149" i="3"/>
  <c r="DX141" i="3" a="1"/>
  <c r="DX141" i="3" s="1"/>
  <c r="DZ141" i="3" s="1"/>
  <c r="DY155" i="3" s="1"/>
  <c r="DR141" i="3" a="1"/>
  <c r="DR141" i="3" s="1"/>
  <c r="DX138" i="3" a="1"/>
  <c r="DX138" i="3" s="1"/>
  <c r="DR138" i="3" a="1"/>
  <c r="DR138" i="3" s="1"/>
  <c r="DO140" i="3"/>
  <c r="DO150" i="3"/>
  <c r="DO156" i="3"/>
  <c r="EC131" i="3" a="1"/>
  <c r="EC131" i="3" s="1"/>
  <c r="DO152" i="3"/>
  <c r="DX143" i="3" a="1"/>
  <c r="DX143" i="3" s="1"/>
  <c r="DZ143" i="3" s="1"/>
  <c r="DY157" i="3" s="1"/>
  <c r="DR143" i="3" a="1"/>
  <c r="DR143" i="3" s="1"/>
  <c r="DX126" i="3" a="1"/>
  <c r="DX126" i="3" s="1"/>
  <c r="DZ126" i="3" s="1"/>
  <c r="DY140" i="3" s="1"/>
  <c r="DR126" i="3" a="1"/>
  <c r="DR126" i="3" s="1"/>
  <c r="EC127" i="3" a="1"/>
  <c r="EC127" i="3" s="1"/>
  <c r="DJ75" i="3"/>
  <c r="DL75" i="3" s="1" a="1"/>
  <c r="DL75" i="3" s="1"/>
  <c r="DL74" i="3" a="1"/>
  <c r="DL74" i="3" s="1"/>
  <c r="DK74" i="3" a="1"/>
  <c r="DK74" i="3" s="1"/>
  <c r="DI74" i="3"/>
  <c r="DL73" i="3" a="1"/>
  <c r="DL73" i="3" s="1"/>
  <c r="DK73" i="3" a="1"/>
  <c r="DK73" i="3" s="1"/>
  <c r="DI73" i="3"/>
  <c r="DL86" i="3" a="1"/>
  <c r="DL86" i="3" s="1"/>
  <c r="DK86" i="3" a="1"/>
  <c r="DK86" i="3" s="1"/>
  <c r="DI86" i="3"/>
  <c r="DI89" i="3"/>
  <c r="DL88" i="3" a="1"/>
  <c r="DL88" i="3" s="1"/>
  <c r="DK88" i="3" a="1"/>
  <c r="DK88" i="3" s="1"/>
  <c r="DI88" i="3"/>
  <c r="DI87" i="3"/>
  <c r="T24" i="3" a="1"/>
  <c r="T24" i="3" s="1"/>
  <c r="BH6" i="3"/>
  <c r="DL55" i="3" a="1"/>
  <c r="DL55" i="3" s="1"/>
  <c r="DK55" i="3" a="1"/>
  <c r="DK55" i="3" s="1"/>
  <c r="DI55" i="3"/>
  <c r="DR74" i="3" a="1"/>
  <c r="DR74" i="3" s="1"/>
  <c r="DL42" i="3" a="1"/>
  <c r="DL42" i="3" s="1"/>
  <c r="DK42" i="3" a="1"/>
  <c r="DK42" i="3" s="1"/>
  <c r="DI42" i="3"/>
  <c r="DL41" i="3" a="1"/>
  <c r="DL41" i="3" s="1"/>
  <c r="DK41" i="3" a="1"/>
  <c r="DK41" i="3" s="1"/>
  <c r="DI41" i="3"/>
  <c r="DR72" i="3" a="1"/>
  <c r="DR72" i="3" s="1"/>
  <c r="DL43" i="3" a="1"/>
  <c r="DL43" i="3" s="1"/>
  <c r="DK43" i="3" a="1"/>
  <c r="DK43" i="3" s="1"/>
  <c r="DI43" i="3"/>
  <c r="DR71" i="3" a="1"/>
  <c r="DR71" i="3" s="1"/>
  <c r="DR42" i="3" a="1"/>
  <c r="DR42" i="3" s="1"/>
  <c r="DR58" i="3" a="1"/>
  <c r="DR58" i="3" s="1"/>
  <c r="DR57" i="3" a="1"/>
  <c r="DR57" i="3" s="1"/>
  <c r="DR56" i="3" a="1"/>
  <c r="DR56" i="3" s="1"/>
  <c r="DP152" i="3" l="1"/>
  <c r="DQ152" i="3"/>
  <c r="DQ147" i="3"/>
  <c r="DP147" i="3"/>
  <c r="EA142" i="3"/>
  <c r="EB142" i="3" s="1"/>
  <c r="DO148" i="3"/>
  <c r="DO158" i="3"/>
  <c r="DQ156" i="3"/>
  <c r="DP156" i="3"/>
  <c r="DX144" i="3" a="1"/>
  <c r="DX144" i="3" s="1"/>
  <c r="DZ144" i="3" s="1"/>
  <c r="DY158" i="3" s="1"/>
  <c r="DR144" i="3" a="1"/>
  <c r="DR144" i="3" s="1"/>
  <c r="DX134" i="3" a="1"/>
  <c r="DX134" i="3" s="1"/>
  <c r="DR134" i="3" a="1"/>
  <c r="DR134" i="3" s="1"/>
  <c r="DM73" i="3" a="1"/>
  <c r="DM73" i="3" s="1"/>
  <c r="DO163" i="3"/>
  <c r="EA141" i="3"/>
  <c r="EB141" i="3" s="1"/>
  <c r="DO151" i="3"/>
  <c r="DQ150" i="3"/>
  <c r="DP150" i="3"/>
  <c r="DX149" i="3" a="1"/>
  <c r="DX149" i="3" s="1"/>
  <c r="DZ149" i="3" s="1"/>
  <c r="DY163" i="3" s="1"/>
  <c r="DP155" i="3"/>
  <c r="DQ155" i="3"/>
  <c r="DX137" i="3" a="1"/>
  <c r="DX137" i="3" s="1"/>
  <c r="DZ137" i="3" s="1"/>
  <c r="DY151" i="3" s="1"/>
  <c r="DR137" i="3" a="1"/>
  <c r="DR137" i="3" s="1"/>
  <c r="EC130" i="3" a="1"/>
  <c r="EC130" i="3" s="1"/>
  <c r="DP140" i="3"/>
  <c r="DQ140" i="3"/>
  <c r="EA143" i="3"/>
  <c r="EB143" i="3" s="1"/>
  <c r="EB135" i="3"/>
  <c r="FR28" i="3"/>
  <c r="DO159" i="3"/>
  <c r="DM55" i="3" a="1"/>
  <c r="DM55" i="3" s="1"/>
  <c r="EA126" i="3"/>
  <c r="EB126" i="3" s="1"/>
  <c r="DQ157" i="3"/>
  <c r="DP157" i="3"/>
  <c r="EA133" i="3"/>
  <c r="DX145" i="3" a="1"/>
  <c r="DX145" i="3" s="1"/>
  <c r="DZ145" i="3" s="1"/>
  <c r="DY159" i="3" s="1"/>
  <c r="DR145" i="3" a="1"/>
  <c r="DR145" i="3" s="1"/>
  <c r="DI75" i="3"/>
  <c r="DK75" i="3" a="1"/>
  <c r="DK75" i="3" s="1"/>
  <c r="DM75" i="3" s="1" a="1"/>
  <c r="DM75" i="3" s="1"/>
  <c r="DM41" i="3" a="1"/>
  <c r="DM41" i="3" s="1"/>
  <c r="DM74" i="3" a="1"/>
  <c r="DM74" i="3" s="1"/>
  <c r="DM86" i="3" a="1"/>
  <c r="DM86" i="3" s="1"/>
  <c r="DM43" i="3" a="1"/>
  <c r="DM43" i="3" s="1"/>
  <c r="DM42" i="3" a="1"/>
  <c r="DM42" i="3" s="1"/>
  <c r="DM88" i="3" a="1"/>
  <c r="DM88" i="3" s="1"/>
  <c r="EA145" i="3" l="1"/>
  <c r="EB145" i="3" s="1"/>
  <c r="EC145" i="3" s="1" a="1"/>
  <c r="EC145" i="3" s="1"/>
  <c r="EA149" i="3"/>
  <c r="EB149" i="3" s="1"/>
  <c r="DQ158" i="3"/>
  <c r="DP158" i="3"/>
  <c r="EC126" i="3" a="1"/>
  <c r="EC126" i="3" s="1"/>
  <c r="DO154" i="3"/>
  <c r="DX150" i="3" a="1"/>
  <c r="DX150" i="3" s="1"/>
  <c r="DR150" i="3" a="1"/>
  <c r="DR150" i="3" s="1"/>
  <c r="EA137" i="3"/>
  <c r="EB137" i="3" s="1"/>
  <c r="DP148" i="3"/>
  <c r="DQ148" i="3"/>
  <c r="EC141" i="3" a="1"/>
  <c r="EC141" i="3" s="1"/>
  <c r="EC142" i="3" a="1"/>
  <c r="EC142" i="3" s="1"/>
  <c r="DX155" i="3" a="1"/>
  <c r="DX155" i="3" s="1"/>
  <c r="DZ155" i="3" s="1"/>
  <c r="DY169" i="3" s="1"/>
  <c r="DR155" i="3" a="1"/>
  <c r="DR155" i="3" s="1"/>
  <c r="DO161" i="3"/>
  <c r="FS28" i="3"/>
  <c r="DQ163" i="3"/>
  <c r="DP163" i="3"/>
  <c r="DO170" i="3"/>
  <c r="DX147" i="3" a="1"/>
  <c r="DX147" i="3" s="1"/>
  <c r="DZ147" i="3" s="1"/>
  <c r="DY161" i="3" s="1"/>
  <c r="DR147" i="3" a="1"/>
  <c r="DR147" i="3" s="1"/>
  <c r="DP151" i="3"/>
  <c r="DQ151" i="3"/>
  <c r="DX156" i="3" a="1"/>
  <c r="DX156" i="3" s="1"/>
  <c r="DZ156" i="3" s="1"/>
  <c r="DY170" i="3" s="1"/>
  <c r="DR156" i="3" a="1"/>
  <c r="DR156" i="3" s="1"/>
  <c r="DX152" i="3" a="1"/>
  <c r="DX152" i="3" s="1"/>
  <c r="DR152" i="3" a="1"/>
  <c r="DR152" i="3" s="1"/>
  <c r="DP159" i="3"/>
  <c r="DQ159" i="3"/>
  <c r="EB133" i="3"/>
  <c r="FR26" i="3"/>
  <c r="EC135" i="3" a="1"/>
  <c r="EC135" i="3" s="1"/>
  <c r="DO169" i="3"/>
  <c r="DO171" i="3"/>
  <c r="EC143" i="3" a="1"/>
  <c r="EC143" i="3" s="1"/>
  <c r="DX157" i="3" a="1"/>
  <c r="DX157" i="3" s="1"/>
  <c r="DZ157" i="3" s="1"/>
  <c r="DY171" i="3" s="1"/>
  <c r="DR157" i="3" a="1"/>
  <c r="DR157" i="3" s="1"/>
  <c r="DX140" i="3" a="1"/>
  <c r="DX140" i="3" s="1"/>
  <c r="DZ140" i="3" s="1"/>
  <c r="DY154" i="3" s="1"/>
  <c r="DR140" i="3" a="1"/>
  <c r="DR140" i="3" s="1"/>
  <c r="DO164" i="3"/>
  <c r="EA144" i="3"/>
  <c r="EB144" i="3" s="1"/>
  <c r="DO166" i="3"/>
  <c r="DP164" i="3" l="1"/>
  <c r="DQ164" i="3"/>
  <c r="EA155" i="3"/>
  <c r="EB155" i="3" s="1"/>
  <c r="EA156" i="3"/>
  <c r="EB156" i="3" s="1"/>
  <c r="DP169" i="3"/>
  <c r="DQ169" i="3"/>
  <c r="DO173" i="3"/>
  <c r="DO177" i="3"/>
  <c r="EA140" i="3"/>
  <c r="EB140" i="3" s="1"/>
  <c r="DQ171" i="3"/>
  <c r="DP171" i="3"/>
  <c r="DQ154" i="3"/>
  <c r="DP154" i="3"/>
  <c r="DX163" i="3" a="1"/>
  <c r="DX163" i="3" s="1"/>
  <c r="DZ163" i="3" s="1"/>
  <c r="DY177" i="3" s="1"/>
  <c r="DR163" i="3" a="1"/>
  <c r="DR163" i="3" s="1"/>
  <c r="EC133" i="3" a="1"/>
  <c r="EC133" i="3" s="1"/>
  <c r="DX151" i="3" a="1"/>
  <c r="DX151" i="3" s="1"/>
  <c r="DZ151" i="3" s="1"/>
  <c r="DY165" i="3" s="1"/>
  <c r="DR151" i="3" a="1"/>
  <c r="DR151" i="3" s="1"/>
  <c r="DO165" i="3"/>
  <c r="EA151" i="3"/>
  <c r="EB151" i="3" s="1"/>
  <c r="EC149" i="3" a="1"/>
  <c r="EC149" i="3" s="1"/>
  <c r="DX148" i="3" a="1"/>
  <c r="DX148" i="3" s="1"/>
  <c r="DR148" i="3" a="1"/>
  <c r="DR148" i="3" s="1"/>
  <c r="DO172" i="3"/>
  <c r="DQ170" i="3"/>
  <c r="DP170" i="3"/>
  <c r="DQ166" i="3"/>
  <c r="DP166" i="3"/>
  <c r="EC144" i="3" a="1"/>
  <c r="EC144" i="3" s="1"/>
  <c r="EA157" i="3"/>
  <c r="EB157" i="3" s="1"/>
  <c r="DX159" i="3" a="1"/>
  <c r="DX159" i="3" s="1"/>
  <c r="DZ159" i="3" s="1"/>
  <c r="DY173" i="3" s="1"/>
  <c r="DR159" i="3" a="1"/>
  <c r="DR159" i="3" s="1"/>
  <c r="EA147" i="3"/>
  <c r="DO162" i="3"/>
  <c r="DX158" i="3" a="1"/>
  <c r="DX158" i="3" s="1"/>
  <c r="DZ158" i="3" s="1"/>
  <c r="DR158" i="3" a="1"/>
  <c r="DR158" i="3" s="1"/>
  <c r="DP161" i="3"/>
  <c r="DQ161" i="3"/>
  <c r="EC137" i="3" a="1"/>
  <c r="EC137" i="3" s="1"/>
  <c r="DY172" i="3" l="1"/>
  <c r="EA158" i="3"/>
  <c r="EB158" i="3" s="1"/>
  <c r="EC158" i="3" s="1" a="1"/>
  <c r="EC158" i="3" s="1"/>
  <c r="DQ173" i="3"/>
  <c r="DP173" i="3"/>
  <c r="DO180" i="3"/>
  <c r="DO168" i="3"/>
  <c r="EA159" i="3"/>
  <c r="EB159" i="3" s="1"/>
  <c r="DX166" i="3" a="1"/>
  <c r="DX166" i="3" s="1"/>
  <c r="DR166" i="3" a="1"/>
  <c r="DR166" i="3" s="1"/>
  <c r="EC151" i="3" a="1"/>
  <c r="EC151" i="3" s="1"/>
  <c r="DX154" i="3" a="1"/>
  <c r="DX154" i="3" s="1"/>
  <c r="DZ154" i="3" s="1"/>
  <c r="DY168" i="3" s="1"/>
  <c r="DR154" i="3" a="1"/>
  <c r="DR154" i="3" s="1"/>
  <c r="DX169" i="3" a="1"/>
  <c r="DX169" i="3" s="1"/>
  <c r="DZ169" i="3" s="1"/>
  <c r="DY183" i="3" s="1"/>
  <c r="DR169" i="3" a="1"/>
  <c r="DR169" i="3" s="1"/>
  <c r="DP165" i="3"/>
  <c r="DQ165" i="3"/>
  <c r="DO185" i="3"/>
  <c r="DO183" i="3"/>
  <c r="DO175" i="3"/>
  <c r="DQ162" i="3"/>
  <c r="DP162" i="3"/>
  <c r="DO184" i="3"/>
  <c r="EB147" i="3"/>
  <c r="FS26" i="3"/>
  <c r="DX170" i="3" a="1"/>
  <c r="DX170" i="3" s="1"/>
  <c r="DZ170" i="3" s="1"/>
  <c r="DY184" i="3" s="1"/>
  <c r="DR170" i="3" a="1"/>
  <c r="DR170" i="3" s="1"/>
  <c r="DX171" i="3" a="1"/>
  <c r="DX171" i="3" s="1"/>
  <c r="DZ171" i="3" s="1"/>
  <c r="DY185" i="3" s="1"/>
  <c r="DR171" i="3" a="1"/>
  <c r="DR171" i="3" s="1"/>
  <c r="EC156" i="3" a="1"/>
  <c r="EC156" i="3" s="1"/>
  <c r="DX161" i="3" a="1"/>
  <c r="DX161" i="3" s="1"/>
  <c r="DZ161" i="3" s="1"/>
  <c r="DY175" i="3" s="1"/>
  <c r="DR161" i="3" a="1"/>
  <c r="DR161" i="3" s="1"/>
  <c r="EC157" i="3" a="1"/>
  <c r="EC157" i="3" s="1"/>
  <c r="EC140" i="3" a="1"/>
  <c r="EC140" i="3" s="1"/>
  <c r="EC155" i="3" a="1"/>
  <c r="EC155" i="3" s="1"/>
  <c r="DQ172" i="3"/>
  <c r="DP172" i="3"/>
  <c r="EA163" i="3"/>
  <c r="DX164" i="3" a="1"/>
  <c r="DX164" i="3" s="1"/>
  <c r="DR164" i="3" a="1"/>
  <c r="DR164" i="3" s="1"/>
  <c r="DQ177" i="3"/>
  <c r="DP177" i="3"/>
  <c r="DO178" i="3"/>
  <c r="DQ183" i="3" l="1"/>
  <c r="DP183" i="3"/>
  <c r="DP178" i="3"/>
  <c r="DQ178" i="3"/>
  <c r="DO176" i="3"/>
  <c r="DX165" i="3" a="1"/>
  <c r="DX165" i="3" s="1"/>
  <c r="DZ165" i="3" s="1"/>
  <c r="DY179" i="3" s="1"/>
  <c r="DR165" i="3" a="1"/>
  <c r="DR165" i="3" s="1"/>
  <c r="DX162" i="3" a="1"/>
  <c r="DX162" i="3" s="1"/>
  <c r="DR162" i="3" a="1"/>
  <c r="DR162" i="3" s="1"/>
  <c r="EC159" i="3" a="1"/>
  <c r="EC159" i="3" s="1"/>
  <c r="DP175" i="3"/>
  <c r="DQ175" i="3"/>
  <c r="EB163" i="3"/>
  <c r="FT28" i="3"/>
  <c r="EC147" i="3" a="1"/>
  <c r="EC147" i="3" s="1"/>
  <c r="DO186" i="3"/>
  <c r="DO179" i="3"/>
  <c r="DX177" i="3" a="1"/>
  <c r="DX177" i="3" s="1"/>
  <c r="DZ177" i="3" s="1"/>
  <c r="EA177" i="3" s="1"/>
  <c r="DR177" i="3" a="1"/>
  <c r="DR177" i="3" s="1"/>
  <c r="EA161" i="3"/>
  <c r="EA154" i="3"/>
  <c r="EB154" i="3" s="1"/>
  <c r="DP168" i="3"/>
  <c r="DQ168" i="3"/>
  <c r="EA169" i="3"/>
  <c r="EB169" i="3" s="1"/>
  <c r="DP180" i="3"/>
  <c r="DQ180" i="3"/>
  <c r="DP185" i="3"/>
  <c r="DQ185" i="3"/>
  <c r="DO187" i="3"/>
  <c r="DQ184" i="3"/>
  <c r="DP184" i="3"/>
  <c r="DX172" i="3" a="1"/>
  <c r="DX172" i="3" s="1"/>
  <c r="DZ172" i="3" s="1"/>
  <c r="DY186" i="3" s="1"/>
  <c r="DR172" i="3" a="1"/>
  <c r="DR172" i="3" s="1"/>
  <c r="EA170" i="3"/>
  <c r="EB170" i="3" s="1"/>
  <c r="EA171" i="3"/>
  <c r="EB171" i="3" s="1"/>
  <c r="DX173" i="3" a="1"/>
  <c r="DX173" i="3" s="1"/>
  <c r="DZ173" i="3" s="1"/>
  <c r="DY187" i="3" s="1"/>
  <c r="DR173" i="3" a="1"/>
  <c r="DR173" i="3" s="1"/>
  <c r="DR117" i="3" a="1"/>
  <c r="DR117" i="3" s="1"/>
  <c r="DR116" i="3" a="1"/>
  <c r="DR116" i="3" s="1"/>
  <c r="DR133" i="3" a="1"/>
  <c r="DR133" i="3" s="1"/>
  <c r="EA173" i="3" l="1"/>
  <c r="EB173" i="3" s="1"/>
  <c r="EC154" i="3" a="1"/>
  <c r="EC154" i="3" s="1"/>
  <c r="EC163" i="3" a="1"/>
  <c r="EC163" i="3" s="1"/>
  <c r="FU28" i="3"/>
  <c r="EB177" i="3"/>
  <c r="DX175" i="3" a="1"/>
  <c r="DX175" i="3" s="1"/>
  <c r="DZ175" i="3" s="1"/>
  <c r="EA175" i="3" s="1"/>
  <c r="DR175" i="3" a="1"/>
  <c r="DR175" i="3" s="1"/>
  <c r="DQ176" i="3"/>
  <c r="DP176" i="3"/>
  <c r="EA165" i="3"/>
  <c r="EB165" i="3" s="1"/>
  <c r="DX178" i="3" a="1"/>
  <c r="DX178" i="3" s="1"/>
  <c r="DR178" i="3" a="1"/>
  <c r="DR178" i="3" s="1"/>
  <c r="EC171" i="3" a="1"/>
  <c r="EC171" i="3" s="1"/>
  <c r="EB161" i="3"/>
  <c r="FT26" i="3"/>
  <c r="EC170" i="3" a="1"/>
  <c r="EC170" i="3" s="1"/>
  <c r="DX180" i="3" a="1"/>
  <c r="DX180" i="3" s="1"/>
  <c r="DR180" i="3" a="1"/>
  <c r="DR180" i="3" s="1"/>
  <c r="DQ179" i="3"/>
  <c r="DP179" i="3"/>
  <c r="DX185" i="3" a="1"/>
  <c r="DX185" i="3" s="1"/>
  <c r="DZ185" i="3" s="1"/>
  <c r="EA185" i="3" s="1"/>
  <c r="EB185" i="3" s="1"/>
  <c r="DR185" i="3" a="1"/>
  <c r="DR185" i="3" s="1"/>
  <c r="EC169" i="3" a="1"/>
  <c r="EC169" i="3" s="1"/>
  <c r="DX184" i="3" a="1"/>
  <c r="DX184" i="3" s="1"/>
  <c r="DZ184" i="3" s="1"/>
  <c r="EA184" i="3" s="1"/>
  <c r="EB184" i="3" s="1"/>
  <c r="DR184" i="3" a="1"/>
  <c r="DR184" i="3" s="1"/>
  <c r="DX168" i="3" a="1"/>
  <c r="DX168" i="3" s="1"/>
  <c r="DZ168" i="3" s="1"/>
  <c r="DY182" i="3" s="1"/>
  <c r="DR168" i="3" a="1"/>
  <c r="DR168" i="3" s="1"/>
  <c r="EA172" i="3"/>
  <c r="EB172" i="3" s="1"/>
  <c r="DQ187" i="3"/>
  <c r="DP187" i="3"/>
  <c r="DO182" i="3"/>
  <c r="DQ186" i="3"/>
  <c r="DP186" i="3"/>
  <c r="DX183" i="3" a="1"/>
  <c r="DX183" i="3" s="1"/>
  <c r="DZ183" i="3" s="1"/>
  <c r="EA183" i="3" s="1"/>
  <c r="EB183" i="3" s="1"/>
  <c r="DR183" i="3" a="1"/>
  <c r="DR183" i="3" s="1"/>
  <c r="EA168" i="3" l="1"/>
  <c r="EB168" i="3" s="1"/>
  <c r="EC168" i="3" s="1" a="1"/>
  <c r="EC168" i="3" s="1"/>
  <c r="EC185" i="3" a="1"/>
  <c r="EC185" i="3" s="1"/>
  <c r="FU26" i="3"/>
  <c r="EB175" i="3"/>
  <c r="DX176" i="3" a="1"/>
  <c r="DX176" i="3" s="1"/>
  <c r="DR176" i="3" a="1"/>
  <c r="DR176" i="3" s="1"/>
  <c r="EC172" i="3" a="1"/>
  <c r="EC172" i="3" s="1"/>
  <c r="EC161" i="3" a="1"/>
  <c r="EC161" i="3" s="1"/>
  <c r="EC183" i="3" a="1"/>
  <c r="EC183" i="3" s="1"/>
  <c r="DX179" i="3" a="1"/>
  <c r="DX179" i="3" s="1"/>
  <c r="DZ179" i="3" s="1"/>
  <c r="EA179" i="3" s="1"/>
  <c r="EB179" i="3" s="1"/>
  <c r="DR179" i="3" a="1"/>
  <c r="DR179" i="3" s="1"/>
  <c r="EC177" i="3" a="1"/>
  <c r="EC177" i="3" s="1"/>
  <c r="EC184" i="3" a="1"/>
  <c r="EC184" i="3" s="1"/>
  <c r="DP182" i="3"/>
  <c r="DQ182" i="3"/>
  <c r="EC165" i="3" a="1"/>
  <c r="EC165" i="3" s="1"/>
  <c r="DX187" i="3" a="1"/>
  <c r="DX187" i="3" s="1"/>
  <c r="DZ187" i="3" s="1"/>
  <c r="EA187" i="3" s="1"/>
  <c r="EB187" i="3" s="1"/>
  <c r="DR187" i="3" a="1"/>
  <c r="DR187" i="3" s="1"/>
  <c r="DX186" i="3" a="1"/>
  <c r="DX186" i="3" s="1"/>
  <c r="DZ186" i="3" s="1"/>
  <c r="EA186" i="3" s="1"/>
  <c r="EB186" i="3" s="1"/>
  <c r="DR186" i="3" a="1"/>
  <c r="DR186" i="3" s="1"/>
  <c r="EC173" i="3" a="1"/>
  <c r="EC173" i="3" s="1"/>
  <c r="EC186" i="3" l="1" a="1"/>
  <c r="EC186" i="3" s="1"/>
  <c r="DX182" i="3" a="1"/>
  <c r="DX182" i="3" s="1"/>
  <c r="DZ182" i="3" s="1"/>
  <c r="EA182" i="3" s="1"/>
  <c r="EB182" i="3" s="1"/>
  <c r="DR182" i="3" a="1"/>
  <c r="DR182" i="3" s="1"/>
  <c r="EC175" i="3" a="1"/>
  <c r="EC175" i="3" s="1"/>
  <c r="EC187" i="3" a="1"/>
  <c r="EC187" i="3" s="1"/>
  <c r="EC179" i="3" a="1"/>
  <c r="EC179" i="3" s="1"/>
  <c r="EC182" i="3" l="1" a="1"/>
  <c r="EC182" i="3" s="1"/>
  <c r="DR103" i="3" a="1"/>
  <c r="DR103" i="3" s="1"/>
  <c r="DR102" i="3" a="1"/>
  <c r="DR102" i="3" s="1"/>
  <c r="DR101" i="3" a="1"/>
  <c r="DR101" i="3" s="1"/>
  <c r="DR89" i="3" a="1"/>
  <c r="DR89" i="3" s="1"/>
  <c r="DR88" i="3" a="1"/>
  <c r="DR88" i="3" s="1"/>
  <c r="DR87" i="3" a="1"/>
  <c r="DR87" i="3" s="1"/>
  <c r="DR86" i="3" a="1"/>
  <c r="DR86" i="3" s="1"/>
  <c r="DR100" i="3" a="1"/>
  <c r="DR100" i="3" s="1"/>
  <c r="DR85" i="3" a="1"/>
  <c r="DR85" i="3" s="1"/>
  <c r="DR84" i="3" a="1"/>
  <c r="DR84" i="3" s="1"/>
  <c r="DJ100" i="3" a="1"/>
  <c r="DJ100" i="3" l="1"/>
  <c r="DL100" i="3" a="1"/>
  <c r="DL100" i="3" s="1"/>
  <c r="DK100" i="3" a="1"/>
  <c r="DK100" i="3" s="1"/>
  <c r="DI100" i="3"/>
  <c r="DL139" i="3" a="1"/>
  <c r="DL139" i="3" s="1"/>
  <c r="DK139" i="3" a="1"/>
  <c r="DK139" i="3" s="1"/>
  <c r="DI139" i="3"/>
  <c r="DL153" i="3" a="1"/>
  <c r="DL153" i="3" s="1"/>
  <c r="DK153" i="3" a="1"/>
  <c r="DK153" i="3" s="1"/>
  <c r="DI153" i="3"/>
  <c r="DL155" i="3" a="1"/>
  <c r="DL155" i="3" s="1"/>
  <c r="DK155" i="3" a="1"/>
  <c r="DK155" i="3" s="1"/>
  <c r="DI155" i="3"/>
  <c r="DL154" i="3" a="1"/>
  <c r="DL154" i="3" s="1"/>
  <c r="DK154" i="3" a="1"/>
  <c r="DK154" i="3" s="1"/>
  <c r="DI154" i="3"/>
  <c r="DR149" i="3" a="1"/>
  <c r="DR149" i="3" s="1"/>
  <c r="FL26" i="3"/>
  <c r="DH117" i="3" a="1"/>
  <c r="DH117" i="3" s="1"/>
  <c r="DH87" i="3" a="1"/>
  <c r="DH87" i="3" s="1"/>
  <c r="DH72" i="3" a="1"/>
  <c r="DH72" i="3" s="1"/>
  <c r="DH55" i="3" a="1"/>
  <c r="DH55" i="3" s="1"/>
  <c r="DH186" i="3" a="1"/>
  <c r="DH186" i="3" s="1"/>
  <c r="DH71" i="3" a="1"/>
  <c r="DH71" i="3" s="1"/>
  <c r="DH43" i="3" a="1"/>
  <c r="DH43" i="3" s="1"/>
  <c r="DH169" i="3" a="1"/>
  <c r="DH169" i="3" s="1"/>
  <c r="DH103" i="3" a="1"/>
  <c r="DH103" i="3" s="1"/>
  <c r="DH85" i="3" a="1"/>
  <c r="DH85" i="3" s="1"/>
  <c r="DH70" i="3" a="1"/>
  <c r="DH70" i="3" s="1"/>
  <c r="DH42" i="3" a="1"/>
  <c r="DH42" i="3" s="1"/>
  <c r="DH187" i="3" a="1"/>
  <c r="DH187" i="3" s="1"/>
  <c r="DH86" i="3" a="1"/>
  <c r="DH86" i="3" s="1"/>
  <c r="DH168" i="3" a="1"/>
  <c r="DH168" i="3" s="1"/>
  <c r="DH184" i="3" a="1"/>
  <c r="DH184" i="3" s="1"/>
  <c r="DH167" i="3" a="1"/>
  <c r="DH167" i="3" s="1"/>
  <c r="DH102" i="3" a="1"/>
  <c r="DH102" i="3" s="1"/>
  <c r="DH84" i="3" a="1"/>
  <c r="DH84" i="3" s="1"/>
  <c r="DH69" i="3" a="1"/>
  <c r="DH69" i="3" s="1"/>
  <c r="DH41" i="3" a="1"/>
  <c r="DH41" i="3" s="1"/>
  <c r="DH170" i="3" a="1"/>
  <c r="DH170" i="3" s="1"/>
  <c r="DH183" i="3" a="1"/>
  <c r="DH183" i="3" s="1"/>
  <c r="DH101" i="3" a="1"/>
  <c r="DH101" i="3" s="1"/>
  <c r="DH75" i="3" a="1"/>
  <c r="DH75" i="3" s="1"/>
  <c r="DH59" i="3" a="1"/>
  <c r="DH59" i="3" s="1"/>
  <c r="DH116" i="3" a="1"/>
  <c r="DH116" i="3" s="1"/>
  <c r="DH185" i="3" a="1"/>
  <c r="DH185" i="3" s="1"/>
  <c r="DH155" i="3" a="1"/>
  <c r="DH155" i="3" s="1"/>
  <c r="DH182" i="3" a="1"/>
  <c r="DH182" i="3" s="1"/>
  <c r="DH154" i="3" a="1"/>
  <c r="DH154" i="3" s="1"/>
  <c r="DH100" i="3" a="1"/>
  <c r="DH100" i="3" s="1"/>
  <c r="DH74" i="3" a="1"/>
  <c r="DH74" i="3" s="1"/>
  <c r="DH58" i="3" a="1"/>
  <c r="DH58" i="3" s="1"/>
  <c r="DH181" i="3" a="1"/>
  <c r="DH181" i="3" s="1"/>
  <c r="DH153" i="3" a="1"/>
  <c r="DH153" i="3" s="1"/>
  <c r="DH89" i="3" a="1"/>
  <c r="DH89" i="3" s="1"/>
  <c r="DH57" i="3" a="1"/>
  <c r="DH57" i="3" s="1"/>
  <c r="DH171" i="3" a="1"/>
  <c r="DH171" i="3" s="1"/>
  <c r="DH139" i="3" a="1"/>
  <c r="DH139" i="3" s="1"/>
  <c r="DH88" i="3" a="1"/>
  <c r="DH88" i="3" s="1"/>
  <c r="DH73" i="3" a="1"/>
  <c r="DH73" i="3" s="1"/>
  <c r="DH56" i="3" a="1"/>
  <c r="DH56" i="3" s="1"/>
  <c r="CN29" i="3" a="1"/>
  <c r="CN29" i="3" s="1"/>
  <c r="CN27" i="3" a="1"/>
  <c r="CN27" i="3" s="1"/>
  <c r="CN43" i="3" a="1"/>
  <c r="CN43" i="3" s="1"/>
  <c r="CN23" i="3" a="1"/>
  <c r="CN23" i="3" s="1"/>
  <c r="CN41" i="3" a="1"/>
  <c r="CN41" i="3" s="1"/>
  <c r="CN31" i="3" a="1"/>
  <c r="CN31" i="3" s="1"/>
  <c r="FY18" i="3"/>
  <c r="CN35" i="3" a="1"/>
  <c r="CN35" i="3" s="1"/>
  <c r="CN21" i="3" a="1"/>
  <c r="CN21" i="3" s="1"/>
  <c r="CN39" i="3" a="1"/>
  <c r="CN39" i="3" s="1"/>
  <c r="CN25" i="3" a="1"/>
  <c r="CN25" i="3" s="1"/>
  <c r="CN37" i="3" a="1"/>
  <c r="CN37" i="3" s="1"/>
  <c r="DJ101" i="3" a="1"/>
  <c r="DJ101" i="3" l="1"/>
  <c r="DM139" i="3" a="1"/>
  <c r="DM139" i="3" s="1"/>
  <c r="DI101" i="3"/>
  <c r="DK101" i="3" a="1"/>
  <c r="DK101" i="3" s="1"/>
  <c r="DL101" i="3" a="1"/>
  <c r="DL101" i="3" s="1"/>
  <c r="DM153" i="3" a="1"/>
  <c r="DM153" i="3" s="1"/>
  <c r="DM154" i="3" a="1"/>
  <c r="DM154" i="3" s="1"/>
  <c r="DM155" i="3" a="1"/>
  <c r="DM155" i="3" s="1"/>
  <c r="DM100" i="3" a="1"/>
  <c r="DM100" i="3" s="1"/>
  <c r="DJ102" i="3" a="1"/>
  <c r="DJ102" i="3" l="1"/>
  <c r="DI102" i="3" s="1"/>
  <c r="DM101" i="3" a="1"/>
  <c r="DM101" i="3" s="1"/>
  <c r="DL102" i="3" a="1"/>
  <c r="DL102" i="3" s="1"/>
  <c r="DJ103" i="3" a="1"/>
  <c r="DK102" i="3" l="1" a="1"/>
  <c r="DK102" i="3" s="1"/>
  <c r="DM102" i="3" s="1" a="1"/>
  <c r="DM102" i="3" s="1"/>
  <c r="DJ103" i="3"/>
  <c r="DI103" i="3"/>
  <c r="DK103" i="3" a="1"/>
  <c r="DK103" i="3" s="1"/>
  <c r="DL103" i="3" a="1"/>
  <c r="DL103" i="3" s="1"/>
  <c r="DM103" i="3" s="1" a="1"/>
  <c r="DM103" i="3" s="1"/>
  <c r="DN20" i="3" a="1"/>
  <c r="DN20" i="3" s="1"/>
  <c r="DP20" i="3" s="1"/>
  <c r="DN27" i="3" a="1"/>
  <c r="DN27" i="3" s="1"/>
  <c r="DP27" i="3" s="1"/>
  <c r="EA20" i="3" l="1"/>
  <c r="DO34" i="3"/>
  <c r="EA27" i="3"/>
  <c r="DO41" i="3"/>
  <c r="DY50" i="3"/>
  <c r="DZ50" i="3" s="1"/>
  <c r="CU20" i="3" l="1"/>
  <c r="EB20" i="3"/>
  <c r="FJ25" i="3"/>
  <c r="EZ26" i="3"/>
  <c r="FA26" i="3" s="1"/>
  <c r="FC26" i="3" s="1"/>
  <c r="DP34" i="3"/>
  <c r="DQ34" i="3"/>
  <c r="CU21" i="3"/>
  <c r="EB27" i="3"/>
  <c r="DP41" i="3"/>
  <c r="DQ41" i="3"/>
  <c r="DY66" i="3"/>
  <c r="DZ66" i="3" s="1"/>
  <c r="DY64" i="3"/>
  <c r="DZ64" i="3" s="1"/>
  <c r="EA50" i="3"/>
  <c r="EC20" i="3" l="1" a="1"/>
  <c r="EC20" i="3" s="1"/>
  <c r="EE20" i="3" a="1"/>
  <c r="EE20" i="3" s="1"/>
  <c r="DO48" i="3"/>
  <c r="DR34" i="3" a="1"/>
  <c r="DR34" i="3" s="1"/>
  <c r="DX34" i="3" a="1"/>
  <c r="DX34" i="3" s="1"/>
  <c r="DZ34" i="3" s="1"/>
  <c r="DT34" i="3" a="1"/>
  <c r="DT34" i="3" s="1"/>
  <c r="EC27" i="3" a="1"/>
  <c r="EC27" i="3" s="1"/>
  <c r="EE27" i="3" a="1"/>
  <c r="EE27" i="3" s="1"/>
  <c r="DO55" i="3"/>
  <c r="DR41" i="3" a="1"/>
  <c r="DR41" i="3" s="1"/>
  <c r="DX41" i="3" a="1"/>
  <c r="DX41" i="3" s="1"/>
  <c r="DZ41" i="3" s="1"/>
  <c r="DT41" i="3" a="1"/>
  <c r="DT41" i="3" s="1"/>
  <c r="DY82" i="3"/>
  <c r="DZ82" i="3" s="1"/>
  <c r="DY80" i="3"/>
  <c r="DZ80" i="3" s="1"/>
  <c r="EA66" i="3"/>
  <c r="EB50" i="3"/>
  <c r="FL27" i="3"/>
  <c r="DY78" i="3"/>
  <c r="DZ78" i="3" s="1"/>
  <c r="EA64" i="3"/>
  <c r="ED20" i="3" l="1"/>
  <c r="EF20" i="3" a="1"/>
  <c r="EF20" i="3" s="1"/>
  <c r="DP48" i="3"/>
  <c r="DQ48" i="3"/>
  <c r="DS34" i="3"/>
  <c r="DU34" i="3" a="1"/>
  <c r="DU34" i="3" s="1"/>
  <c r="ED27" i="3"/>
  <c r="EF27" i="3" a="1"/>
  <c r="EF27" i="3" s="1"/>
  <c r="DP55" i="3"/>
  <c r="DQ55" i="3"/>
  <c r="DS41" i="3"/>
  <c r="DU41" i="3" a="1"/>
  <c r="DU41" i="3" s="1"/>
  <c r="DY48" i="3"/>
  <c r="EA34" i="3"/>
  <c r="DY55" i="3"/>
  <c r="EA41" i="3"/>
  <c r="EB64" i="3"/>
  <c r="FM27" i="3"/>
  <c r="EC50" i="3" a="1"/>
  <c r="EC50" i="3" s="1"/>
  <c r="EB66" i="3"/>
  <c r="FM29" i="3"/>
  <c r="DY92" i="3"/>
  <c r="DZ92" i="3" s="1"/>
  <c r="EA78" i="3"/>
  <c r="DY94" i="3"/>
  <c r="DZ94" i="3" s="1"/>
  <c r="EA80" i="3"/>
  <c r="DY96" i="3"/>
  <c r="DZ96" i="3" s="1"/>
  <c r="EA82" i="3"/>
  <c r="EB82" i="3" s="1"/>
  <c r="DT35" i="3" a="1"/>
  <c r="EE21" i="3" a="1"/>
  <c r="DT42" i="3" a="1"/>
  <c r="EE28" i="3" a="1"/>
  <c r="EE28" i="3" l="1"/>
  <c r="DT35" i="3"/>
  <c r="DT42" i="3"/>
  <c r="EE21" i="3"/>
  <c r="EF21" i="3" a="1"/>
  <c r="EF21" i="3" s="1"/>
  <c r="ED21" i="3"/>
  <c r="DO62" i="3"/>
  <c r="DR48" i="3" a="1"/>
  <c r="DR48" i="3" s="1"/>
  <c r="DX48" i="3" a="1"/>
  <c r="DX48" i="3" s="1"/>
  <c r="DZ48" i="3" s="1"/>
  <c r="DT48" i="3" a="1"/>
  <c r="DT48" i="3" s="1"/>
  <c r="DU35" i="3" a="1"/>
  <c r="DU35" i="3" s="1"/>
  <c r="DS35" i="3"/>
  <c r="EF28" i="3" a="1"/>
  <c r="EF28" i="3" s="1"/>
  <c r="ED28" i="3"/>
  <c r="DO69" i="3"/>
  <c r="DR55" i="3" a="1"/>
  <c r="DR55" i="3" s="1"/>
  <c r="DX55" i="3" a="1"/>
  <c r="DX55" i="3" s="1"/>
  <c r="DZ55" i="3" s="1"/>
  <c r="DT55" i="3" a="1"/>
  <c r="DT55" i="3" s="1"/>
  <c r="DU42" i="3" a="1"/>
  <c r="DU42" i="3" s="1"/>
  <c r="DS42" i="3"/>
  <c r="CU22" i="3"/>
  <c r="EB34" i="3"/>
  <c r="FK25" i="3"/>
  <c r="CU23" i="3"/>
  <c r="EB41" i="3"/>
  <c r="EC66" i="3" a="1"/>
  <c r="EC66" i="3" s="1"/>
  <c r="EB78" i="3"/>
  <c r="FN27" i="3"/>
  <c r="DY106" i="3"/>
  <c r="DZ106" i="3" s="1"/>
  <c r="EA92" i="3"/>
  <c r="EC82" i="3" a="1"/>
  <c r="EC82" i="3" s="1"/>
  <c r="EC64" i="3" a="1"/>
  <c r="EC64" i="3" s="1"/>
  <c r="DY110" i="3"/>
  <c r="DZ110" i="3" s="1"/>
  <c r="EA96" i="3"/>
  <c r="EB96" i="3" s="1"/>
  <c r="DY108" i="3"/>
  <c r="DZ108" i="3" s="1"/>
  <c r="EA94" i="3"/>
  <c r="EB80" i="3"/>
  <c r="FN29" i="3"/>
  <c r="DT36" i="3" a="1"/>
  <c r="EE29" i="3" a="1"/>
  <c r="DT43" i="3" a="1"/>
  <c r="EE22" i="3" a="1"/>
  <c r="DT43" i="3" l="1"/>
  <c r="EE22" i="3"/>
  <c r="EE29" i="3"/>
  <c r="ED29" i="3" s="1"/>
  <c r="DT36" i="3"/>
  <c r="DS36" i="3" s="1"/>
  <c r="EF22" i="3" a="1"/>
  <c r="EF22" i="3" s="1"/>
  <c r="ED22" i="3"/>
  <c r="DQ62" i="3"/>
  <c r="DP62" i="3"/>
  <c r="DS48" i="3"/>
  <c r="DU48" i="3" a="1"/>
  <c r="DU48" i="3" s="1"/>
  <c r="DU36" i="3" a="1"/>
  <c r="DU36" i="3" s="1"/>
  <c r="EF29" i="3" a="1"/>
  <c r="EF29" i="3" s="1"/>
  <c r="DP69" i="3"/>
  <c r="DQ69" i="3"/>
  <c r="DS55" i="3"/>
  <c r="DU55" i="3" a="1"/>
  <c r="DU55" i="3" s="1"/>
  <c r="DS43" i="3"/>
  <c r="DU43" i="3" a="1"/>
  <c r="DU43" i="3" s="1"/>
  <c r="BQ6" i="3" a="1"/>
  <c r="BQ6" i="3" s="1"/>
  <c r="BQ5" i="3" a="1"/>
  <c r="BQ5" i="3" s="1"/>
  <c r="EC34" i="3" a="1"/>
  <c r="EC34" i="3" s="1"/>
  <c r="EE34" i="3" a="1"/>
  <c r="EE34" i="3" s="1"/>
  <c r="EC41" i="3" a="1"/>
  <c r="EC41" i="3" s="1"/>
  <c r="EE41" i="3" a="1"/>
  <c r="EE41" i="3" s="1"/>
  <c r="DY62" i="3"/>
  <c r="EA48" i="3"/>
  <c r="DY69" i="3"/>
  <c r="EA55" i="3"/>
  <c r="EC80" i="3" a="1"/>
  <c r="EC80" i="3" s="1"/>
  <c r="EB94" i="3"/>
  <c r="FO29" i="3"/>
  <c r="EC96" i="3" a="1"/>
  <c r="EC96" i="3" s="1"/>
  <c r="EB92" i="3"/>
  <c r="FO27" i="3"/>
  <c r="DY122" i="3"/>
  <c r="DZ122" i="3" s="1"/>
  <c r="EA108" i="3"/>
  <c r="DY124" i="3"/>
  <c r="DZ124" i="3" s="1"/>
  <c r="EA110" i="3"/>
  <c r="EB110" i="3" s="1"/>
  <c r="DY120" i="3"/>
  <c r="DZ120" i="3" s="1"/>
  <c r="EA106" i="3"/>
  <c r="EC78" i="3" a="1"/>
  <c r="EC78" i="3" s="1"/>
  <c r="DT49" i="3" a="1"/>
  <c r="DT56" i="3" a="1"/>
  <c r="DT37" i="3" a="1"/>
  <c r="DT44" i="3" a="1"/>
  <c r="EE30" i="3" a="1"/>
  <c r="EE23" i="3" a="1"/>
  <c r="DT49" i="3" l="1"/>
  <c r="EE23" i="3"/>
  <c r="EE30" i="3"/>
  <c r="EF30" i="3" s="1" a="1"/>
  <c r="EF30" i="3" s="1"/>
  <c r="DT37" i="3"/>
  <c r="DT44" i="3"/>
  <c r="DS44" i="3" s="1"/>
  <c r="DT56" i="3"/>
  <c r="EF23" i="3" a="1"/>
  <c r="EF23" i="3" s="1"/>
  <c r="ED23" i="3"/>
  <c r="DX62" i="3" a="1"/>
  <c r="DX62" i="3" s="1"/>
  <c r="DZ62" i="3" s="1"/>
  <c r="DY76" i="3" s="1"/>
  <c r="DR62" i="3" a="1"/>
  <c r="DR62" i="3" s="1"/>
  <c r="DT62" i="3" a="1"/>
  <c r="DT62" i="3" s="1"/>
  <c r="DO76" i="3"/>
  <c r="DU49" i="3" a="1"/>
  <c r="DU49" i="3" s="1"/>
  <c r="DS49" i="3"/>
  <c r="DS37" i="3"/>
  <c r="DU37" i="3" a="1"/>
  <c r="DU37" i="3" s="1"/>
  <c r="DO83" i="3"/>
  <c r="DR69" i="3" a="1"/>
  <c r="DR69" i="3" s="1"/>
  <c r="DX69" i="3" a="1"/>
  <c r="DX69" i="3" s="1"/>
  <c r="DZ69" i="3" s="1"/>
  <c r="DT69" i="3" a="1"/>
  <c r="DT69" i="3" s="1"/>
  <c r="DU56" i="3" a="1"/>
  <c r="DU56" i="3" s="1"/>
  <c r="DS56" i="3"/>
  <c r="FZ23" i="3"/>
  <c r="B35" i="11" s="1"/>
  <c r="FY23" i="3"/>
  <c r="ED34" i="3"/>
  <c r="EF34" i="3" a="1"/>
  <c r="EF34" i="3" s="1"/>
  <c r="ED41" i="3"/>
  <c r="EF41" i="3" a="1"/>
  <c r="EF41" i="3" s="1"/>
  <c r="EB48" i="3"/>
  <c r="FL25" i="3"/>
  <c r="CU24" i="3"/>
  <c r="EB55" i="3"/>
  <c r="CU25" i="3"/>
  <c r="EB108" i="3"/>
  <c r="FP29" i="3"/>
  <c r="DY136" i="3"/>
  <c r="DZ136" i="3" s="1"/>
  <c r="EA122" i="3"/>
  <c r="EC92" i="3" a="1"/>
  <c r="EC92" i="3" s="1"/>
  <c r="EB106" i="3"/>
  <c r="FP27" i="3"/>
  <c r="DY134" i="3"/>
  <c r="DZ134" i="3" s="1"/>
  <c r="EA120" i="3"/>
  <c r="EC94" i="3" a="1"/>
  <c r="EC94" i="3" s="1"/>
  <c r="EC110" i="3" a="1"/>
  <c r="EC110" i="3" s="1"/>
  <c r="DY138" i="3"/>
  <c r="DZ138" i="3" s="1"/>
  <c r="EA124" i="3"/>
  <c r="EB124" i="3" s="1"/>
  <c r="DT38" i="3" a="1"/>
  <c r="EE24" i="3" a="1"/>
  <c r="DT45" i="3" a="1"/>
  <c r="EE31" i="3" a="1"/>
  <c r="DT57" i="3" a="1"/>
  <c r="EE35" i="3" a="1"/>
  <c r="DT50" i="3" a="1"/>
  <c r="EE42" i="3" a="1"/>
  <c r="ED30" i="3" l="1"/>
  <c r="DU44" i="3" a="1"/>
  <c r="DU44" i="3" s="1"/>
  <c r="EE31" i="3"/>
  <c r="DT45" i="3"/>
  <c r="DU45" i="3" s="1" a="1"/>
  <c r="DU45" i="3" s="1"/>
  <c r="EE24" i="3"/>
  <c r="ED24" i="3" s="1"/>
  <c r="DT38" i="3"/>
  <c r="DU38" i="3" s="1" a="1"/>
  <c r="DU38" i="3" s="1"/>
  <c r="DT57" i="3"/>
  <c r="DS57" i="3" s="1"/>
  <c r="DT50" i="3"/>
  <c r="DS50" i="3" s="1"/>
  <c r="EE42" i="3"/>
  <c r="ED42" i="3" s="1"/>
  <c r="EE35" i="3"/>
  <c r="EF35" i="3" s="1" a="1"/>
  <c r="EF35" i="3" s="1"/>
  <c r="EA62" i="3"/>
  <c r="CU26" i="3" s="1"/>
  <c r="EF24" i="3" a="1"/>
  <c r="EF24" i="3" s="1"/>
  <c r="DS62" i="3"/>
  <c r="DU62" i="3" a="1"/>
  <c r="DU62" i="3" s="1"/>
  <c r="DQ76" i="3"/>
  <c r="DP76" i="3"/>
  <c r="EF31" i="3" a="1"/>
  <c r="EF31" i="3" s="1"/>
  <c r="ED31" i="3"/>
  <c r="DP83" i="3"/>
  <c r="DQ83" i="3"/>
  <c r="DS69" i="3"/>
  <c r="DU69" i="3" a="1"/>
  <c r="DU69" i="3" s="1"/>
  <c r="DS45" i="3"/>
  <c r="EC48" i="3" a="1"/>
  <c r="EC48" i="3" s="1"/>
  <c r="EE48" i="3" a="1"/>
  <c r="EE48" i="3" s="1"/>
  <c r="EC55" i="3" a="1"/>
  <c r="EC55" i="3" s="1"/>
  <c r="EE55" i="3" a="1"/>
  <c r="EE55" i="3" s="1"/>
  <c r="DY83" i="3"/>
  <c r="EA69" i="3"/>
  <c r="EB120" i="3"/>
  <c r="FQ27" i="3"/>
  <c r="DY148" i="3"/>
  <c r="DZ148" i="3" s="1"/>
  <c r="EA134" i="3"/>
  <c r="EC106" i="3" a="1"/>
  <c r="EC106" i="3" s="1"/>
  <c r="DY152" i="3"/>
  <c r="DZ152" i="3" s="1"/>
  <c r="EA138" i="3"/>
  <c r="EB138" i="3" s="1"/>
  <c r="EC108" i="3" a="1"/>
  <c r="EC108" i="3" s="1"/>
  <c r="EC124" i="3" a="1"/>
  <c r="EC124" i="3" s="1"/>
  <c r="EB122" i="3"/>
  <c r="FQ29" i="3"/>
  <c r="DY150" i="3"/>
  <c r="DZ150" i="3" s="1"/>
  <c r="EA136" i="3"/>
  <c r="DT58" i="3" a="1"/>
  <c r="DT46" i="3" a="1"/>
  <c r="EE32" i="3" a="1"/>
  <c r="DT51" i="3" a="1"/>
  <c r="DT63" i="3" a="1"/>
  <c r="DT39" i="3" a="1"/>
  <c r="EE36" i="3" a="1"/>
  <c r="DT70" i="3" a="1"/>
  <c r="EE43" i="3" a="1"/>
  <c r="EE25" i="3" a="1"/>
  <c r="DU50" i="3" l="1" a="1"/>
  <c r="DU50" i="3" s="1"/>
  <c r="EF42" i="3" a="1"/>
  <c r="EF42" i="3" s="1"/>
  <c r="DS38" i="3"/>
  <c r="DU57" i="3" a="1"/>
  <c r="DU57" i="3" s="1"/>
  <c r="DT51" i="3"/>
  <c r="EE43" i="3"/>
  <c r="EF43" i="3" s="1" a="1"/>
  <c r="EF43" i="3" s="1"/>
  <c r="DT46" i="3"/>
  <c r="DU46" i="3" s="1" a="1"/>
  <c r="DU46" i="3" s="1"/>
  <c r="EE25" i="3"/>
  <c r="EF25" i="3" s="1" a="1"/>
  <c r="EF25" i="3" s="1"/>
  <c r="DT70" i="3"/>
  <c r="DS70" i="3" s="1"/>
  <c r="EE36" i="3"/>
  <c r="ED36" i="3" s="1"/>
  <c r="DT63" i="3"/>
  <c r="DS63" i="3" s="1"/>
  <c r="EE32" i="3"/>
  <c r="ED32" i="3" s="1"/>
  <c r="DT39" i="3"/>
  <c r="DS39" i="3" s="1"/>
  <c r="DT58" i="3"/>
  <c r="DU58" i="3" s="1" a="1"/>
  <c r="DU58" i="3" s="1"/>
  <c r="ED35" i="3"/>
  <c r="EB62" i="3"/>
  <c r="EC62" i="3" s="1" a="1"/>
  <c r="EC62" i="3" s="1"/>
  <c r="FM25" i="3"/>
  <c r="DR76" i="3" a="1"/>
  <c r="DR76" i="3" s="1"/>
  <c r="DX76" i="3" a="1"/>
  <c r="DX76" i="3" s="1"/>
  <c r="DZ76" i="3" s="1"/>
  <c r="DT76" i="3" a="1"/>
  <c r="DT76" i="3" s="1"/>
  <c r="DO90" i="3"/>
  <c r="DS51" i="3"/>
  <c r="DU51" i="3" a="1"/>
  <c r="DU51" i="3" s="1"/>
  <c r="EF32" i="3" a="1"/>
  <c r="EF32" i="3" s="1"/>
  <c r="DO97" i="3"/>
  <c r="DR83" i="3" a="1"/>
  <c r="DR83" i="3" s="1"/>
  <c r="DX83" i="3" a="1"/>
  <c r="DX83" i="3" s="1"/>
  <c r="DZ83" i="3" s="1"/>
  <c r="DT83" i="3" a="1"/>
  <c r="DT83" i="3" s="1"/>
  <c r="ED43" i="3"/>
  <c r="ED48" i="3"/>
  <c r="EF48" i="3" a="1"/>
  <c r="EF48" i="3" s="1"/>
  <c r="EF55" i="3" a="1"/>
  <c r="EF55" i="3" s="1"/>
  <c r="ED55" i="3"/>
  <c r="EB69" i="3"/>
  <c r="CU27" i="3"/>
  <c r="EC120" i="3" a="1"/>
  <c r="EC120" i="3" s="1"/>
  <c r="EC138" i="3" a="1"/>
  <c r="EC138" i="3" s="1"/>
  <c r="EB134" i="3"/>
  <c r="FR27" i="3"/>
  <c r="DY162" i="3"/>
  <c r="DZ162" i="3" s="1"/>
  <c r="EA148" i="3"/>
  <c r="DY166" i="3"/>
  <c r="DZ166" i="3" s="1"/>
  <c r="EA152" i="3"/>
  <c r="EB152" i="3" s="1"/>
  <c r="EB136" i="3"/>
  <c r="FR29" i="3"/>
  <c r="DY164" i="3"/>
  <c r="DZ164" i="3" s="1"/>
  <c r="EA150" i="3"/>
  <c r="EC122" i="3" a="1"/>
  <c r="EC122" i="3" s="1"/>
  <c r="DT40" i="3" a="1"/>
  <c r="DT71" i="3" a="1"/>
  <c r="EE33" i="3" a="1"/>
  <c r="EE37" i="3" a="1"/>
  <c r="DT47" i="3" a="1"/>
  <c r="EE49" i="3" a="1"/>
  <c r="DT59" i="3" a="1"/>
  <c r="DT64" i="3" a="1"/>
  <c r="EE26" i="3" a="1"/>
  <c r="EE44" i="3" a="1"/>
  <c r="DT52" i="3" a="1"/>
  <c r="EE56" i="3" a="1"/>
  <c r="DS46" i="3" l="1"/>
  <c r="EF36" i="3" a="1"/>
  <c r="EF36" i="3" s="1"/>
  <c r="DU70" i="3" a="1"/>
  <c r="DU70" i="3" s="1"/>
  <c r="DT64" i="3"/>
  <c r="EE56" i="3"/>
  <c r="EE33" i="3"/>
  <c r="ED33" i="3" s="1"/>
  <c r="EE49" i="3"/>
  <c r="EF49" i="3" s="1" a="1"/>
  <c r="EF49" i="3" s="1"/>
  <c r="DT47" i="3"/>
  <c r="DU47" i="3" s="1" a="1"/>
  <c r="DU47" i="3" s="1"/>
  <c r="DT59" i="3"/>
  <c r="DS59" i="3" s="1"/>
  <c r="DT71" i="3"/>
  <c r="DS71" i="3" s="1"/>
  <c r="DT40" i="3"/>
  <c r="DS40" i="3" s="1"/>
  <c r="EE26" i="3"/>
  <c r="ED26" i="3" s="1"/>
  <c r="DT52" i="3"/>
  <c r="DS52" i="3" s="1"/>
  <c r="EE44" i="3"/>
  <c r="ED44" i="3" s="1"/>
  <c r="EE37" i="3"/>
  <c r="ED37" i="3" s="1"/>
  <c r="EE62" i="3" a="1"/>
  <c r="EE62" i="3" s="1"/>
  <c r="ED62" i="3" s="1"/>
  <c r="DS58" i="3"/>
  <c r="DU39" i="3" a="1"/>
  <c r="DU39" i="3" s="1"/>
  <c r="DU63" i="3" a="1"/>
  <c r="DU63" i="3" s="1"/>
  <c r="ED25" i="3"/>
  <c r="DY90" i="3"/>
  <c r="EA76" i="3"/>
  <c r="DS64" i="3"/>
  <c r="DU64" i="3" a="1"/>
  <c r="DU64" i="3" s="1"/>
  <c r="DS76" i="3"/>
  <c r="DU76" i="3" a="1"/>
  <c r="DU76" i="3" s="1"/>
  <c r="DQ90" i="3"/>
  <c r="DP90" i="3"/>
  <c r="EF33" i="3" a="1"/>
  <c r="EF33" i="3" s="1"/>
  <c r="DP97" i="3"/>
  <c r="DQ97" i="3"/>
  <c r="DU83" i="3" a="1"/>
  <c r="DU83" i="3" s="1"/>
  <c r="DS83" i="3"/>
  <c r="ED56" i="3"/>
  <c r="EF56" i="3" a="1"/>
  <c r="EF56" i="3" s="1"/>
  <c r="EC69" i="3" a="1"/>
  <c r="EC69" i="3" s="1"/>
  <c r="EE69" i="3" a="1"/>
  <c r="EE69" i="3" s="1"/>
  <c r="DY97" i="3"/>
  <c r="EA83" i="3"/>
  <c r="EB150" i="3"/>
  <c r="FS29" i="3"/>
  <c r="DY176" i="3"/>
  <c r="DZ176" i="3" s="1"/>
  <c r="EA176" i="3" s="1"/>
  <c r="EA162" i="3"/>
  <c r="EC134" i="3" a="1"/>
  <c r="EC134" i="3" s="1"/>
  <c r="DY178" i="3"/>
  <c r="DZ178" i="3" s="1"/>
  <c r="EA178" i="3" s="1"/>
  <c r="EA164" i="3"/>
  <c r="EC136" i="3" a="1"/>
  <c r="EC136" i="3" s="1"/>
  <c r="EB148" i="3"/>
  <c r="FS27" i="3"/>
  <c r="EC152" i="3" a="1"/>
  <c r="EC152" i="3" s="1"/>
  <c r="DY180" i="3"/>
  <c r="DZ180" i="3" s="1"/>
  <c r="EA180" i="3" s="1"/>
  <c r="EB180" i="3" s="1"/>
  <c r="EA166" i="3"/>
  <c r="EB166" i="3" s="1"/>
  <c r="DT72" i="3" a="1"/>
  <c r="EE50" i="3" a="1"/>
  <c r="EE63" i="3" a="1"/>
  <c r="EE45" i="3" a="1"/>
  <c r="DT77" i="3" a="1"/>
  <c r="DT65" i="3" a="1"/>
  <c r="DT60" i="3" a="1"/>
  <c r="EE57" i="3" a="1"/>
  <c r="EE38" i="3" a="1"/>
  <c r="DT53" i="3" a="1"/>
  <c r="DT84" i="3" a="1"/>
  <c r="EF26" i="3" l="1" a="1"/>
  <c r="EF26" i="3" s="1"/>
  <c r="ED49" i="3"/>
  <c r="EF62" i="3" a="1"/>
  <c r="EF62" i="3" s="1"/>
  <c r="DU40" i="3" a="1"/>
  <c r="DU40" i="3" s="1"/>
  <c r="DS47" i="3"/>
  <c r="DU59" i="3" a="1"/>
  <c r="DU59" i="3" s="1"/>
  <c r="DU52" i="3" a="1"/>
  <c r="DU52" i="3" s="1"/>
  <c r="EF44" i="3" a="1"/>
  <c r="EF44" i="3" s="1"/>
  <c r="DU71" i="3" a="1"/>
  <c r="DU71" i="3" s="1"/>
  <c r="DT53" i="3"/>
  <c r="DU53" i="3" s="1" a="1"/>
  <c r="DU53" i="3" s="1"/>
  <c r="DT72" i="3"/>
  <c r="DS72" i="3" s="1"/>
  <c r="DT84" i="3"/>
  <c r="DU84" i="3" s="1" a="1"/>
  <c r="DU84" i="3" s="1"/>
  <c r="EE38" i="3"/>
  <c r="EE57" i="3"/>
  <c r="ED57" i="3" s="1"/>
  <c r="DT65" i="3"/>
  <c r="DU65" i="3" s="1" a="1"/>
  <c r="DU65" i="3" s="1"/>
  <c r="EE45" i="3"/>
  <c r="ED45" i="3" s="1"/>
  <c r="DT77" i="3"/>
  <c r="DU77" i="3" s="1" a="1"/>
  <c r="DU77" i="3" s="1"/>
  <c r="EE63" i="3"/>
  <c r="EF63" i="3" s="1" a="1"/>
  <c r="EF63" i="3" s="1"/>
  <c r="DT60" i="3"/>
  <c r="DU60" i="3" s="1" a="1"/>
  <c r="DU60" i="3" s="1"/>
  <c r="EE50" i="3"/>
  <c r="ED50" i="3" s="1"/>
  <c r="EF37" i="3" a="1"/>
  <c r="EF37" i="3" s="1"/>
  <c r="FN25" i="3"/>
  <c r="CU28" i="3"/>
  <c r="EB76" i="3"/>
  <c r="DR90" i="3" a="1"/>
  <c r="DR90" i="3" s="1"/>
  <c r="DX90" i="3" a="1"/>
  <c r="DX90" i="3" s="1"/>
  <c r="DZ90" i="3" s="1"/>
  <c r="DY104" i="3" s="1"/>
  <c r="DT90" i="3" a="1"/>
  <c r="DT90" i="3" s="1"/>
  <c r="DO104" i="3"/>
  <c r="DO111" i="3"/>
  <c r="DX97" i="3" a="1"/>
  <c r="DX97" i="3" s="1"/>
  <c r="DZ97" i="3" s="1"/>
  <c r="DR97" i="3" a="1"/>
  <c r="DR97" i="3" s="1"/>
  <c r="DT97" i="3" a="1"/>
  <c r="DT97" i="3" s="1"/>
  <c r="ED38" i="3"/>
  <c r="EF38" i="3" a="1"/>
  <c r="EF38" i="3" s="1"/>
  <c r="EF69" i="3" a="1"/>
  <c r="EF69" i="3" s="1"/>
  <c r="ED69" i="3"/>
  <c r="EB83" i="3"/>
  <c r="CU29" i="3"/>
  <c r="EC180" i="3" a="1"/>
  <c r="EC180" i="3" s="1"/>
  <c r="EC148" i="3" a="1"/>
  <c r="EC148" i="3" s="1"/>
  <c r="EB164" i="3"/>
  <c r="FT29" i="3"/>
  <c r="FU29" i="3"/>
  <c r="EB178" i="3"/>
  <c r="EB162" i="3"/>
  <c r="FT27" i="3"/>
  <c r="FU27" i="3"/>
  <c r="EB176" i="3"/>
  <c r="EC150" i="3" a="1"/>
  <c r="EC150" i="3" s="1"/>
  <c r="EC166" i="3" a="1"/>
  <c r="EC166" i="3" s="1"/>
  <c r="DT66" i="3" a="1"/>
  <c r="EE51" i="3" a="1"/>
  <c r="EE39" i="3" a="1"/>
  <c r="DT61" i="3" a="1"/>
  <c r="DT54" i="3" a="1"/>
  <c r="EE58" i="3" a="1"/>
  <c r="DT78" i="3" a="1"/>
  <c r="DT73" i="3" a="1"/>
  <c r="EE64" i="3" a="1"/>
  <c r="EE70" i="3" a="1"/>
  <c r="DT85" i="3" a="1"/>
  <c r="EE46" i="3" a="1"/>
  <c r="DU72" i="3" l="1" a="1"/>
  <c r="DU72" i="3" s="1"/>
  <c r="DS84" i="3"/>
  <c r="DS77" i="3"/>
  <c r="EF57" i="3" a="1"/>
  <c r="EF57" i="3" s="1"/>
  <c r="DS65" i="3"/>
  <c r="EF45" i="3" a="1"/>
  <c r="EF45" i="3" s="1"/>
  <c r="DS53" i="3"/>
  <c r="EE70" i="3"/>
  <c r="ED70" i="3" s="1"/>
  <c r="EE39" i="3"/>
  <c r="ED39" i="3" s="1"/>
  <c r="DT78" i="3"/>
  <c r="DS78" i="3" s="1"/>
  <c r="EE64" i="3"/>
  <c r="EF64" i="3" s="1" a="1"/>
  <c r="EF64" i="3" s="1"/>
  <c r="EE58" i="3"/>
  <c r="EF58" i="3" s="1" a="1"/>
  <c r="EF58" i="3" s="1"/>
  <c r="DT54" i="3"/>
  <c r="DU54" i="3" s="1" a="1"/>
  <c r="DU54" i="3" s="1"/>
  <c r="DT66" i="3"/>
  <c r="DU66" i="3" s="1" a="1"/>
  <c r="DU66" i="3" s="1"/>
  <c r="DT73" i="3"/>
  <c r="DU73" i="3" s="1" a="1"/>
  <c r="DU73" i="3" s="1"/>
  <c r="DT61" i="3"/>
  <c r="DU61" i="3" s="1" a="1"/>
  <c r="DU61" i="3" s="1"/>
  <c r="EE51" i="3"/>
  <c r="EF51" i="3" s="1" a="1"/>
  <c r="EF51" i="3" s="1"/>
  <c r="EE46" i="3"/>
  <c r="EF46" i="3" s="1" a="1"/>
  <c r="EF46" i="3" s="1"/>
  <c r="DT85" i="3"/>
  <c r="DU85" i="3" s="1" a="1"/>
  <c r="DU85" i="3" s="1"/>
  <c r="ED63" i="3"/>
  <c r="DS60" i="3"/>
  <c r="EF50" i="3" a="1"/>
  <c r="EF50" i="3" s="1"/>
  <c r="EA90" i="3"/>
  <c r="EB90" i="3" s="1"/>
  <c r="EC76" i="3" a="1"/>
  <c r="EC76" i="3" s="1"/>
  <c r="EE76" i="3" a="1"/>
  <c r="EE76" i="3" s="1"/>
  <c r="DS66" i="3"/>
  <c r="DS90" i="3"/>
  <c r="DU90" i="3" a="1"/>
  <c r="DU90" i="3" s="1"/>
  <c r="FO25" i="3"/>
  <c r="DP104" i="3"/>
  <c r="DQ104" i="3"/>
  <c r="DP111" i="3"/>
  <c r="DQ111" i="3"/>
  <c r="DS97" i="3"/>
  <c r="DU97" i="3" a="1"/>
  <c r="DU97" i="3" s="1"/>
  <c r="ED51" i="3"/>
  <c r="EC83" i="3" a="1"/>
  <c r="EC83" i="3" s="1"/>
  <c r="EE83" i="3" a="1"/>
  <c r="EE83" i="3" s="1"/>
  <c r="DY111" i="3"/>
  <c r="EA97" i="3"/>
  <c r="EC162" i="3" a="1"/>
  <c r="EC162" i="3" s="1"/>
  <c r="EC164" i="3" a="1"/>
  <c r="EC164" i="3" s="1"/>
  <c r="EC176" i="3" a="1"/>
  <c r="EC176" i="3" s="1"/>
  <c r="EC178" i="3" a="1"/>
  <c r="EC178" i="3" s="1"/>
  <c r="EE40" i="3" a="1"/>
  <c r="DT67" i="3" a="1"/>
  <c r="EE59" i="3" a="1"/>
  <c r="EE47" i="3" a="1"/>
  <c r="DT74" i="3" a="1"/>
  <c r="EE71" i="3" a="1"/>
  <c r="EE52" i="3" a="1"/>
  <c r="DT98" i="3" a="1"/>
  <c r="DT79" i="3" a="1"/>
  <c r="EE65" i="3" a="1"/>
  <c r="DT86" i="3" a="1"/>
  <c r="EE77" i="3" a="1"/>
  <c r="DT91" i="3" a="1"/>
  <c r="CU30" i="3" l="1"/>
  <c r="EF70" i="3" a="1"/>
  <c r="EF70" i="3" s="1"/>
  <c r="ED58" i="3"/>
  <c r="EF39" i="3" a="1"/>
  <c r="EF39" i="3" s="1"/>
  <c r="ED64" i="3"/>
  <c r="DS73" i="3"/>
  <c r="DU78" i="3" a="1"/>
  <c r="DU78" i="3" s="1"/>
  <c r="EE65" i="3"/>
  <c r="ED65" i="3" s="1"/>
  <c r="EE47" i="3"/>
  <c r="EF47" i="3" s="1" a="1"/>
  <c r="EF47" i="3" s="1"/>
  <c r="EE52" i="3"/>
  <c r="ED52" i="3" s="1"/>
  <c r="DT86" i="3"/>
  <c r="DU86" i="3" s="1" a="1"/>
  <c r="DU86" i="3" s="1"/>
  <c r="DT98" i="3"/>
  <c r="DU98" i="3" s="1" a="1"/>
  <c r="DU98" i="3" s="1"/>
  <c r="EE71" i="3"/>
  <c r="ED71" i="3" s="1"/>
  <c r="EE77" i="3"/>
  <c r="ED77" i="3" s="1"/>
  <c r="EE59" i="3"/>
  <c r="EF59" i="3" s="1" a="1"/>
  <c r="EF59" i="3" s="1"/>
  <c r="DT79" i="3"/>
  <c r="DS79" i="3" s="1"/>
  <c r="DT67" i="3"/>
  <c r="DS67" i="3" s="1"/>
  <c r="DT91" i="3"/>
  <c r="DS91" i="3" s="1"/>
  <c r="EE40" i="3"/>
  <c r="ED40" i="3" s="1"/>
  <c r="DT74" i="3"/>
  <c r="DS74" i="3" s="1"/>
  <c r="DS85" i="3"/>
  <c r="ED46" i="3"/>
  <c r="DS61" i="3"/>
  <c r="DS54" i="3"/>
  <c r="ED76" i="3"/>
  <c r="EF76" i="3" a="1"/>
  <c r="EF76" i="3" s="1"/>
  <c r="EC90" i="3" a="1"/>
  <c r="EC90" i="3" s="1"/>
  <c r="EE90" i="3" a="1"/>
  <c r="EE90" i="3" s="1"/>
  <c r="DO118" i="3"/>
  <c r="DR104" i="3" a="1"/>
  <c r="DR104" i="3" s="1"/>
  <c r="DX104" i="3" a="1"/>
  <c r="DX104" i="3" s="1"/>
  <c r="DZ104" i="3" s="1"/>
  <c r="DT104" i="3" a="1"/>
  <c r="DT104" i="3" s="1"/>
  <c r="DO125" i="3"/>
  <c r="DR111" i="3" a="1"/>
  <c r="DR111" i="3" s="1"/>
  <c r="DX111" i="3" a="1"/>
  <c r="DX111" i="3" s="1"/>
  <c r="DZ111" i="3" s="1"/>
  <c r="DT111" i="3" a="1"/>
  <c r="DT111" i="3" s="1"/>
  <c r="ED59" i="3"/>
  <c r="ED83" i="3"/>
  <c r="EF83" i="3" a="1"/>
  <c r="EF83" i="3" s="1"/>
  <c r="EB97" i="3"/>
  <c r="CU31" i="3"/>
  <c r="DT87" i="3" a="1"/>
  <c r="DT99" i="3" a="1"/>
  <c r="EE53" i="3" a="1"/>
  <c r="EE66" i="3" a="1"/>
  <c r="DT80" i="3" a="1"/>
  <c r="EE60" i="3" a="1"/>
  <c r="DT75" i="3" a="1"/>
  <c r="EE72" i="3" a="1"/>
  <c r="DT68" i="3" a="1"/>
  <c r="EE84" i="3" a="1"/>
  <c r="EE78" i="3" a="1"/>
  <c r="DT92" i="3" a="1"/>
  <c r="EF71" i="3" l="1" a="1"/>
  <c r="EF71" i="3" s="1"/>
  <c r="EF52" i="3" a="1"/>
  <c r="EF52" i="3" s="1"/>
  <c r="ED47" i="3"/>
  <c r="DU74" i="3" a="1"/>
  <c r="DU74" i="3" s="1"/>
  <c r="DS98" i="3"/>
  <c r="EF77" i="3" a="1"/>
  <c r="EF77" i="3" s="1"/>
  <c r="EF65" i="3" a="1"/>
  <c r="EF65" i="3" s="1"/>
  <c r="DS86" i="3"/>
  <c r="DT92" i="3"/>
  <c r="DU92" i="3" s="1" a="1"/>
  <c r="DU92" i="3" s="1"/>
  <c r="DT68" i="3"/>
  <c r="DS68" i="3" s="1"/>
  <c r="DT99" i="3"/>
  <c r="DS99" i="3" s="1"/>
  <c r="EE78" i="3"/>
  <c r="ED78" i="3" s="1"/>
  <c r="EE84" i="3"/>
  <c r="ED84" i="3" s="1"/>
  <c r="DT75" i="3"/>
  <c r="DS75" i="3" s="1"/>
  <c r="EE53" i="3"/>
  <c r="ED53" i="3" s="1"/>
  <c r="EE72" i="3"/>
  <c r="ED72" i="3" s="1"/>
  <c r="DT80" i="3"/>
  <c r="DU80" i="3" s="1" a="1"/>
  <c r="DU80" i="3" s="1"/>
  <c r="EE60" i="3"/>
  <c r="EF60" i="3" s="1" a="1"/>
  <c r="EF60" i="3" s="1"/>
  <c r="DT87" i="3"/>
  <c r="DS87" i="3" s="1"/>
  <c r="EE66" i="3"/>
  <c r="ED66" i="3" s="1"/>
  <c r="DU67" i="3" a="1"/>
  <c r="DU67" i="3" s="1"/>
  <c r="DU91" i="3" a="1"/>
  <c r="DU91" i="3" s="1"/>
  <c r="EF40" i="3" a="1"/>
  <c r="EF40" i="3" s="1"/>
  <c r="DU79" i="3" a="1"/>
  <c r="DU79" i="3" s="1"/>
  <c r="ED90" i="3"/>
  <c r="EF90" i="3" a="1"/>
  <c r="EF90" i="3" s="1"/>
  <c r="DP118" i="3"/>
  <c r="DQ118" i="3"/>
  <c r="DS104" i="3"/>
  <c r="DU104" i="3" a="1"/>
  <c r="DU104" i="3" s="1"/>
  <c r="DP125" i="3"/>
  <c r="DQ125" i="3"/>
  <c r="DU111" i="3" a="1"/>
  <c r="DU111" i="3" s="1"/>
  <c r="DS111" i="3"/>
  <c r="DU87" i="3" a="1"/>
  <c r="DU87" i="3" s="1"/>
  <c r="EC97" i="3" a="1"/>
  <c r="EC97" i="3" s="1"/>
  <c r="EE97" i="3" a="1"/>
  <c r="EE97" i="3" s="1"/>
  <c r="DY118" i="3"/>
  <c r="EA104" i="3"/>
  <c r="DY125" i="3"/>
  <c r="EA111" i="3"/>
  <c r="DT93" i="3" a="1"/>
  <c r="EE91" i="3" a="1"/>
  <c r="EE73" i="3" a="1"/>
  <c r="DT100" i="3" a="1"/>
  <c r="DT81" i="3" a="1"/>
  <c r="EE67" i="3" a="1"/>
  <c r="EE61" i="3" a="1"/>
  <c r="EE54" i="3" a="1"/>
  <c r="EE85" i="3" a="1"/>
  <c r="EE79" i="3" a="1"/>
  <c r="DT105" i="3" a="1"/>
  <c r="DT88" i="3" a="1"/>
  <c r="DT112" i="3" a="1"/>
  <c r="DU68" i="3" l="1" a="1"/>
  <c r="DU68" i="3" s="1"/>
  <c r="DS92" i="3"/>
  <c r="DU99" i="3" a="1"/>
  <c r="DU99" i="3" s="1"/>
  <c r="DS80" i="3"/>
  <c r="EF84" i="3" a="1"/>
  <c r="EF84" i="3" s="1"/>
  <c r="EF72" i="3" a="1"/>
  <c r="EF72" i="3" s="1"/>
  <c r="DT81" i="3"/>
  <c r="DS81" i="3" s="1"/>
  <c r="EE67" i="3"/>
  <c r="ED67" i="3" s="1"/>
  <c r="EE91" i="3"/>
  <c r="ED91" i="3" s="1"/>
  <c r="EE73" i="3"/>
  <c r="EF73" i="3" s="1" a="1"/>
  <c r="EF73" i="3" s="1"/>
  <c r="DT100" i="3"/>
  <c r="DU100" i="3" s="1" a="1"/>
  <c r="DU100" i="3" s="1"/>
  <c r="EE61" i="3"/>
  <c r="EF61" i="3" s="1" a="1"/>
  <c r="EF61" i="3" s="1"/>
  <c r="DT93" i="3"/>
  <c r="DS93" i="3" s="1"/>
  <c r="DT112" i="3"/>
  <c r="EE85" i="3"/>
  <c r="ED85" i="3" s="1"/>
  <c r="EE79" i="3"/>
  <c r="ED79" i="3" s="1"/>
  <c r="EE54" i="3"/>
  <c r="ED54" i="3" s="1"/>
  <c r="DT105" i="3"/>
  <c r="DU105" i="3" s="1" a="1"/>
  <c r="DU105" i="3" s="1"/>
  <c r="DT88" i="3"/>
  <c r="DS88" i="3" s="1"/>
  <c r="EF66" i="3" a="1"/>
  <c r="EF66" i="3" s="1"/>
  <c r="EF53" i="3" a="1"/>
  <c r="EF53" i="3" s="1"/>
  <c r="DU75" i="3" a="1"/>
  <c r="DU75" i="3" s="1"/>
  <c r="ED60" i="3"/>
  <c r="EF78" i="3" a="1"/>
  <c r="EF78" i="3" s="1"/>
  <c r="DO132" i="3"/>
  <c r="DR118" i="3" a="1"/>
  <c r="DR118" i="3" s="1"/>
  <c r="DX118" i="3" a="1"/>
  <c r="DX118" i="3" s="1"/>
  <c r="DZ118" i="3" s="1"/>
  <c r="DT118" i="3" a="1"/>
  <c r="DT118" i="3" s="1"/>
  <c r="DO139" i="3"/>
  <c r="DR125" i="3" a="1"/>
  <c r="DR125" i="3" s="1"/>
  <c r="DX125" i="3" a="1"/>
  <c r="DX125" i="3" s="1"/>
  <c r="DZ125" i="3" s="1"/>
  <c r="DT125" i="3" a="1"/>
  <c r="DT125" i="3" s="1"/>
  <c r="DS112" i="3"/>
  <c r="DU112" i="3" a="1"/>
  <c r="DU112" i="3" s="1"/>
  <c r="ED97" i="3"/>
  <c r="EF97" i="3" a="1"/>
  <c r="EF97" i="3" s="1"/>
  <c r="CU32" i="3"/>
  <c r="EB104" i="3"/>
  <c r="FP25" i="3"/>
  <c r="EB111" i="3"/>
  <c r="CU33" i="3"/>
  <c r="EE80" i="3" a="1"/>
  <c r="DT89" i="3" a="1"/>
  <c r="DT94" i="3" a="1"/>
  <c r="DT106" i="3" a="1"/>
  <c r="DT113" i="3" a="1"/>
  <c r="EE92" i="3" a="1"/>
  <c r="DT82" i="3" a="1"/>
  <c r="EE74" i="3" a="1"/>
  <c r="EE68" i="3" a="1"/>
  <c r="EE98" i="3" a="1"/>
  <c r="EE86" i="3" a="1"/>
  <c r="DT101" i="3" a="1"/>
  <c r="EF67" i="3" l="1" a="1"/>
  <c r="EF67" i="3" s="1"/>
  <c r="DU88" i="3" a="1"/>
  <c r="DU88" i="3" s="1"/>
  <c r="DU81" i="3" a="1"/>
  <c r="DU81" i="3" s="1"/>
  <c r="ED73" i="3"/>
  <c r="DS100" i="3"/>
  <c r="EF91" i="3" a="1"/>
  <c r="EF91" i="3" s="1"/>
  <c r="ED61" i="3"/>
  <c r="DT82" i="3"/>
  <c r="DS82" i="3" s="1"/>
  <c r="EE68" i="3"/>
  <c r="EF68" i="3" s="1" a="1"/>
  <c r="EF68" i="3" s="1"/>
  <c r="EE74" i="3"/>
  <c r="ED74" i="3" s="1"/>
  <c r="DT113" i="3"/>
  <c r="DU113" i="3" s="1" a="1"/>
  <c r="DU113" i="3" s="1"/>
  <c r="EE92" i="3"/>
  <c r="ED92" i="3" s="1"/>
  <c r="DT89" i="3"/>
  <c r="DS89" i="3" s="1"/>
  <c r="DT94" i="3"/>
  <c r="DU94" i="3" s="1" a="1"/>
  <c r="DU94" i="3" s="1"/>
  <c r="DT106" i="3"/>
  <c r="DS106" i="3" s="1"/>
  <c r="EE80" i="3"/>
  <c r="EF80" i="3" s="1" a="1"/>
  <c r="EF80" i="3" s="1"/>
  <c r="DT101" i="3"/>
  <c r="DS101" i="3" s="1"/>
  <c r="EE98" i="3"/>
  <c r="EF98" i="3" s="1" a="1"/>
  <c r="EF98" i="3" s="1"/>
  <c r="EE86" i="3"/>
  <c r="ED86" i="3" s="1"/>
  <c r="EF54" i="3" a="1"/>
  <c r="EF54" i="3" s="1"/>
  <c r="DU93" i="3" a="1"/>
  <c r="DU93" i="3" s="1"/>
  <c r="DS105" i="3"/>
  <c r="EF85" i="3" a="1"/>
  <c r="EF85" i="3" s="1"/>
  <c r="EF79" i="3" a="1"/>
  <c r="EF79" i="3" s="1"/>
  <c r="DP132" i="3"/>
  <c r="DQ132" i="3"/>
  <c r="DS118" i="3"/>
  <c r="DU118" i="3" a="1"/>
  <c r="DU118" i="3" s="1"/>
  <c r="DP139" i="3"/>
  <c r="DQ139" i="3"/>
  <c r="DU125" i="3" a="1"/>
  <c r="DU125" i="3" s="1"/>
  <c r="DS125" i="3"/>
  <c r="EC104" i="3" a="1"/>
  <c r="EC104" i="3" s="1"/>
  <c r="EE104" i="3" a="1"/>
  <c r="EE104" i="3" s="1"/>
  <c r="EC111" i="3" a="1"/>
  <c r="EC111" i="3" s="1"/>
  <c r="EE111" i="3" a="1"/>
  <c r="EE111" i="3" s="1"/>
  <c r="DY132" i="3"/>
  <c r="EA118" i="3"/>
  <c r="DY139" i="3"/>
  <c r="EA125" i="3"/>
  <c r="EE75" i="3" a="1"/>
  <c r="EE87" i="3" a="1"/>
  <c r="EE93" i="3" a="1"/>
  <c r="EE99" i="3" a="1"/>
  <c r="DT107" i="3" a="1"/>
  <c r="DT95" i="3" a="1"/>
  <c r="EE81" i="3" a="1"/>
  <c r="DT119" i="3" a="1"/>
  <c r="DT102" i="3" a="1"/>
  <c r="DT126" i="3" a="1"/>
  <c r="DT114" i="3" a="1"/>
  <c r="DS113" i="3" l="1"/>
  <c r="ED68" i="3"/>
  <c r="DU82" i="3" a="1"/>
  <c r="DU82" i="3" s="1"/>
  <c r="EF74" i="3" a="1"/>
  <c r="EF74" i="3" s="1"/>
  <c r="ED80" i="3"/>
  <c r="DU106" i="3" a="1"/>
  <c r="DU106" i="3" s="1"/>
  <c r="ED98" i="3"/>
  <c r="DU101" i="3" a="1"/>
  <c r="DU101" i="3" s="1"/>
  <c r="EF92" i="3" a="1"/>
  <c r="EF92" i="3" s="1"/>
  <c r="EE99" i="3"/>
  <c r="EF99" i="3" s="1" a="1"/>
  <c r="EF99" i="3" s="1"/>
  <c r="EE87" i="3"/>
  <c r="ED87" i="3" s="1"/>
  <c r="EE81" i="3"/>
  <c r="ED81" i="3" s="1"/>
  <c r="EE75" i="3"/>
  <c r="EE93" i="3"/>
  <c r="EF93" i="3" s="1" a="1"/>
  <c r="EF93" i="3" s="1"/>
  <c r="DT95" i="3"/>
  <c r="DS95" i="3" s="1"/>
  <c r="DT119" i="3"/>
  <c r="DS119" i="3" s="1"/>
  <c r="DT107" i="3"/>
  <c r="DU107" i="3" s="1" a="1"/>
  <c r="DU107" i="3" s="1"/>
  <c r="DT114" i="3"/>
  <c r="DU114" i="3" s="1" a="1"/>
  <c r="DU114" i="3" s="1"/>
  <c r="DT126" i="3"/>
  <c r="DS126" i="3" s="1"/>
  <c r="DT102" i="3"/>
  <c r="DS102" i="3" s="1"/>
  <c r="EF86" i="3" a="1"/>
  <c r="EF86" i="3" s="1"/>
  <c r="DU89" i="3" a="1"/>
  <c r="DU89" i="3" s="1"/>
  <c r="DS94" i="3"/>
  <c r="EF81" i="3" a="1"/>
  <c r="EF81" i="3" s="1"/>
  <c r="ED93" i="3"/>
  <c r="DO146" i="3"/>
  <c r="DR132" i="3" a="1"/>
  <c r="DR132" i="3" s="1"/>
  <c r="DX132" i="3" a="1"/>
  <c r="DX132" i="3" s="1"/>
  <c r="DZ132" i="3" s="1"/>
  <c r="DT132" i="3" a="1"/>
  <c r="DT132" i="3" s="1"/>
  <c r="DO153" i="3"/>
  <c r="DR139" i="3" a="1"/>
  <c r="DR139" i="3" s="1"/>
  <c r="DX139" i="3" a="1"/>
  <c r="DX139" i="3" s="1"/>
  <c r="DZ139" i="3" s="1"/>
  <c r="DT139" i="3" a="1"/>
  <c r="DT139" i="3" s="1"/>
  <c r="DS114" i="3"/>
  <c r="ED75" i="3"/>
  <c r="EF75" i="3" a="1"/>
  <c r="EF75" i="3" s="1"/>
  <c r="ED104" i="3"/>
  <c r="EF104" i="3" a="1"/>
  <c r="EF104" i="3" s="1"/>
  <c r="EF111" i="3" a="1"/>
  <c r="EF111" i="3" s="1"/>
  <c r="ED111" i="3"/>
  <c r="CU34" i="3"/>
  <c r="EB118" i="3"/>
  <c r="FQ25" i="3"/>
  <c r="EB125" i="3"/>
  <c r="CU35" i="3"/>
  <c r="DT120" i="3" a="1"/>
  <c r="DT108" i="3" a="1"/>
  <c r="EE94" i="3" a="1"/>
  <c r="EE82" i="3" a="1"/>
  <c r="EE105" i="3" a="1"/>
  <c r="EE88" i="3" a="1"/>
  <c r="EE112" i="3" a="1"/>
  <c r="DT96" i="3" a="1"/>
  <c r="DT115" i="3" a="1"/>
  <c r="DT127" i="3" a="1"/>
  <c r="EE100" i="3" a="1"/>
  <c r="DT103" i="3" a="1"/>
  <c r="ED99" i="3" l="1"/>
  <c r="EF87" i="3" a="1"/>
  <c r="EF87" i="3" s="1"/>
  <c r="DU95" i="3" a="1"/>
  <c r="DU95" i="3" s="1"/>
  <c r="DS107" i="3"/>
  <c r="EE105" i="3"/>
  <c r="DT96" i="3"/>
  <c r="EE94" i="3"/>
  <c r="DT115" i="3"/>
  <c r="EE112" i="3"/>
  <c r="ED112" i="3" s="1"/>
  <c r="EE100" i="3"/>
  <c r="EF100" i="3" s="1" a="1"/>
  <c r="EF100" i="3" s="1"/>
  <c r="EE82" i="3"/>
  <c r="ED82" i="3" s="1"/>
  <c r="EE88" i="3"/>
  <c r="ED88" i="3" s="1"/>
  <c r="DT108" i="3"/>
  <c r="DS108" i="3" s="1"/>
  <c r="DT120" i="3"/>
  <c r="DS120" i="3" s="1"/>
  <c r="DT127" i="3"/>
  <c r="DU127" i="3" s="1" a="1"/>
  <c r="DU127" i="3" s="1"/>
  <c r="DT103" i="3"/>
  <c r="DS103" i="3" s="1"/>
  <c r="DU102" i="3" a="1"/>
  <c r="DU102" i="3" s="1"/>
  <c r="DU119" i="3" a="1"/>
  <c r="DU119" i="3" s="1"/>
  <c r="DU126" i="3" a="1"/>
  <c r="DU126" i="3" s="1"/>
  <c r="DS96" i="3"/>
  <c r="DU96" i="3" a="1"/>
  <c r="DU96" i="3" s="1"/>
  <c r="ED94" i="3"/>
  <c r="EF94" i="3" a="1"/>
  <c r="EF94" i="3" s="1"/>
  <c r="DQ146" i="3"/>
  <c r="DP146" i="3"/>
  <c r="DU132" i="3" a="1"/>
  <c r="DU132" i="3" s="1"/>
  <c r="DS132" i="3"/>
  <c r="DP153" i="3"/>
  <c r="DQ153" i="3"/>
  <c r="DU139" i="3" a="1"/>
  <c r="DU139" i="3" s="1"/>
  <c r="DS139" i="3"/>
  <c r="DU115" i="3" a="1"/>
  <c r="DU115" i="3" s="1"/>
  <c r="DS115" i="3"/>
  <c r="ED105" i="3"/>
  <c r="EF105" i="3" a="1"/>
  <c r="EF105" i="3" s="1"/>
  <c r="EF112" i="3" a="1"/>
  <c r="EF112" i="3" s="1"/>
  <c r="EC118" i="3" a="1"/>
  <c r="EC118" i="3" s="1"/>
  <c r="EE118" i="3" a="1"/>
  <c r="EE118" i="3" s="1"/>
  <c r="EC125" i="3" a="1"/>
  <c r="EC125" i="3" s="1"/>
  <c r="EE125" i="3" a="1"/>
  <c r="EE125" i="3" s="1"/>
  <c r="DY146" i="3"/>
  <c r="EA132" i="3"/>
  <c r="DY153" i="3"/>
  <c r="EA139" i="3"/>
  <c r="EE95" i="3" a="1"/>
  <c r="EE101" i="3" a="1"/>
  <c r="DT121" i="3" a="1"/>
  <c r="DT116" i="3" a="1"/>
  <c r="DT133" i="3" a="1"/>
  <c r="DT128" i="3" a="1"/>
  <c r="EE113" i="3" a="1"/>
  <c r="EE89" i="3" a="1"/>
  <c r="EE106" i="3" a="1"/>
  <c r="DT140" i="3" a="1"/>
  <c r="DT109" i="3" a="1"/>
  <c r="EF88" i="3" l="1" a="1"/>
  <c r="EF88" i="3" s="1"/>
  <c r="DT109" i="3"/>
  <c r="EE113" i="3"/>
  <c r="EE106" i="3"/>
  <c r="EF106" i="3" s="1" a="1"/>
  <c r="EF106" i="3" s="1"/>
  <c r="DT128" i="3"/>
  <c r="DT133" i="3"/>
  <c r="DS133" i="3" s="1"/>
  <c r="EE95" i="3"/>
  <c r="DT116" i="3"/>
  <c r="DT121" i="3"/>
  <c r="DU121" i="3" s="1" a="1"/>
  <c r="DU121" i="3" s="1"/>
  <c r="DT140" i="3"/>
  <c r="DU140" i="3" s="1" a="1"/>
  <c r="DU140" i="3" s="1"/>
  <c r="EE101" i="3"/>
  <c r="ED101" i="3" s="1"/>
  <c r="EE89" i="3"/>
  <c r="ED89" i="3" s="1"/>
  <c r="DU103" i="3" a="1"/>
  <c r="DU103" i="3" s="1"/>
  <c r="DU120" i="3" a="1"/>
  <c r="DU120" i="3" s="1"/>
  <c r="EF82" i="3" a="1"/>
  <c r="EF82" i="3" s="1"/>
  <c r="ED100" i="3"/>
  <c r="DS127" i="3"/>
  <c r="DU108" i="3" a="1"/>
  <c r="DU108" i="3" s="1"/>
  <c r="ED95" i="3"/>
  <c r="EF95" i="3" a="1"/>
  <c r="EF95" i="3" s="1"/>
  <c r="DR146" i="3" a="1"/>
  <c r="DR146" i="3" s="1"/>
  <c r="DX146" i="3" a="1"/>
  <c r="DX146" i="3" s="1"/>
  <c r="DZ146" i="3" s="1"/>
  <c r="DT146" i="3" a="1"/>
  <c r="DT146" i="3" s="1"/>
  <c r="DO160" i="3"/>
  <c r="DU109" i="3" a="1"/>
  <c r="DU109" i="3" s="1"/>
  <c r="DS109" i="3"/>
  <c r="DO167" i="3"/>
  <c r="DR153" i="3" a="1"/>
  <c r="DR153" i="3" s="1"/>
  <c r="DX153" i="3" a="1"/>
  <c r="DX153" i="3" s="1"/>
  <c r="DZ153" i="3" s="1"/>
  <c r="DT153" i="3" a="1"/>
  <c r="DT153" i="3" s="1"/>
  <c r="DS128" i="3"/>
  <c r="DU128" i="3" a="1"/>
  <c r="DU128" i="3" s="1"/>
  <c r="DU116" i="3" a="1"/>
  <c r="DU116" i="3" s="1"/>
  <c r="DS116" i="3"/>
  <c r="ED113" i="3"/>
  <c r="EF113" i="3" a="1"/>
  <c r="EF113" i="3" s="1"/>
  <c r="ED118" i="3"/>
  <c r="EF118" i="3" a="1"/>
  <c r="EF118" i="3" s="1"/>
  <c r="EF125" i="3" a="1"/>
  <c r="EF125" i="3" s="1"/>
  <c r="ED125" i="3"/>
  <c r="EB132" i="3"/>
  <c r="CU36" i="3"/>
  <c r="FR25" i="3"/>
  <c r="CU37" i="3"/>
  <c r="EB139" i="3"/>
  <c r="EE114" i="3" a="1"/>
  <c r="EE119" i="3" a="1"/>
  <c r="EE102" i="3" a="1"/>
  <c r="DT134" i="3" a="1"/>
  <c r="DT122" i="3" a="1"/>
  <c r="DT129" i="3" a="1"/>
  <c r="EE107" i="3" a="1"/>
  <c r="EE96" i="3" a="1"/>
  <c r="DT110" i="3" a="1"/>
  <c r="DT117" i="3" a="1"/>
  <c r="DT141" i="3" a="1"/>
  <c r="EE126" i="3" a="1"/>
  <c r="EF89" i="3" l="1" a="1"/>
  <c r="EF89" i="3" s="1"/>
  <c r="ED106" i="3"/>
  <c r="DT110" i="3"/>
  <c r="EE96" i="3"/>
  <c r="DT117" i="3"/>
  <c r="EE114" i="3"/>
  <c r="ED114" i="3" s="1"/>
  <c r="EE107" i="3"/>
  <c r="EF107" i="3" s="1" a="1"/>
  <c r="EF107" i="3" s="1"/>
  <c r="EE102" i="3"/>
  <c r="ED102" i="3" s="1"/>
  <c r="DT134" i="3"/>
  <c r="DS134" i="3" s="1"/>
  <c r="DT122" i="3"/>
  <c r="DS122" i="3" s="1"/>
  <c r="EE126" i="3"/>
  <c r="ED126" i="3" s="1"/>
  <c r="EE119" i="3"/>
  <c r="ED119" i="3" s="1"/>
  <c r="DT129" i="3"/>
  <c r="DU129" i="3" s="1" a="1"/>
  <c r="DU129" i="3" s="1"/>
  <c r="DT141" i="3"/>
  <c r="DU141" i="3" s="1" a="1"/>
  <c r="DU141" i="3" s="1"/>
  <c r="DS121" i="3"/>
  <c r="DS140" i="3"/>
  <c r="EF101" i="3" a="1"/>
  <c r="EF101" i="3" s="1"/>
  <c r="DU133" i="3" a="1"/>
  <c r="DU133" i="3" s="1"/>
  <c r="DY160" i="3"/>
  <c r="EA146" i="3"/>
  <c r="EB146" i="3" s="1"/>
  <c r="EF96" i="3" a="1"/>
  <c r="EF96" i="3" s="1"/>
  <c r="ED96" i="3"/>
  <c r="DS146" i="3"/>
  <c r="DU146" i="3" a="1"/>
  <c r="DU146" i="3" s="1"/>
  <c r="FS25" i="3"/>
  <c r="CU38" i="3"/>
  <c r="DQ160" i="3"/>
  <c r="DP160" i="3"/>
  <c r="DS110" i="3"/>
  <c r="DU110" i="3" a="1"/>
  <c r="DU110" i="3" s="1"/>
  <c r="DP167" i="3"/>
  <c r="DQ167" i="3"/>
  <c r="DU153" i="3" a="1"/>
  <c r="DU153" i="3" s="1"/>
  <c r="DS153" i="3"/>
  <c r="DU117" i="3" a="1"/>
  <c r="DU117" i="3" s="1"/>
  <c r="DS117" i="3"/>
  <c r="ED107" i="3"/>
  <c r="EF114" i="3" a="1"/>
  <c r="EF114" i="3" s="1"/>
  <c r="EC132" i="3" a="1"/>
  <c r="EC132" i="3" s="1"/>
  <c r="EE132" i="3" a="1"/>
  <c r="EE132" i="3" s="1"/>
  <c r="EC139" i="3" a="1"/>
  <c r="EC139" i="3" s="1"/>
  <c r="EE139" i="3" a="1"/>
  <c r="EE139" i="3" s="1"/>
  <c r="DY167" i="3"/>
  <c r="EA153" i="3"/>
  <c r="DT130" i="3" a="1"/>
  <c r="EE103" i="3" a="1"/>
  <c r="EE108" i="3" a="1"/>
  <c r="DT123" i="3" a="1"/>
  <c r="EE120" i="3" a="1"/>
  <c r="EE127" i="3" a="1"/>
  <c r="DT154" i="3" a="1"/>
  <c r="DT135" i="3" a="1"/>
  <c r="DT147" i="3" a="1"/>
  <c r="EE115" i="3" a="1"/>
  <c r="DT142" i="3" a="1"/>
  <c r="DS129" i="3" l="1"/>
  <c r="DU122" i="3" a="1"/>
  <c r="DU122" i="3" s="1"/>
  <c r="EF119" i="3" a="1"/>
  <c r="EF119" i="3" s="1"/>
  <c r="DU134" i="3" a="1"/>
  <c r="DU134" i="3" s="1"/>
  <c r="DT130" i="3"/>
  <c r="EE120" i="3"/>
  <c r="EE108" i="3"/>
  <c r="EF108" i="3" s="1" a="1"/>
  <c r="EF108" i="3" s="1"/>
  <c r="DT123" i="3"/>
  <c r="DS123" i="3" s="1"/>
  <c r="DT142" i="3"/>
  <c r="DS142" i="3" s="1"/>
  <c r="EE103" i="3"/>
  <c r="ED103" i="3" s="1"/>
  <c r="EE115" i="3"/>
  <c r="EF115" i="3" s="1" a="1"/>
  <c r="EF115" i="3" s="1"/>
  <c r="DT135" i="3"/>
  <c r="DS135" i="3" s="1"/>
  <c r="DT154" i="3"/>
  <c r="DU154" i="3" s="1" a="1"/>
  <c r="DU154" i="3" s="1"/>
  <c r="EE127" i="3"/>
  <c r="EF127" i="3" s="1" a="1"/>
  <c r="EF127" i="3" s="1"/>
  <c r="DT147" i="3"/>
  <c r="DS147" i="3" s="1"/>
  <c r="DS141" i="3"/>
  <c r="EF126" i="3" a="1"/>
  <c r="EF126" i="3" s="1"/>
  <c r="EF102" i="3" a="1"/>
  <c r="EF102" i="3" s="1"/>
  <c r="EC146" i="3" a="1"/>
  <c r="EC146" i="3" s="1"/>
  <c r="EE146" i="3" a="1"/>
  <c r="EE146" i="3" s="1"/>
  <c r="DX160" i="3" a="1"/>
  <c r="DX160" i="3" s="1"/>
  <c r="DZ160" i="3" s="1"/>
  <c r="DR160" i="3" a="1"/>
  <c r="DR160" i="3" s="1"/>
  <c r="DT160" i="3" a="1"/>
  <c r="DT160" i="3" s="1"/>
  <c r="DO174" i="3"/>
  <c r="DO181" i="3"/>
  <c r="DX167" i="3" a="1"/>
  <c r="DX167" i="3" s="1"/>
  <c r="DZ167" i="3" s="1"/>
  <c r="DR167" i="3" a="1"/>
  <c r="DR167" i="3" s="1"/>
  <c r="DT167" i="3" a="1"/>
  <c r="DT167" i="3" s="1"/>
  <c r="DU130" i="3" a="1"/>
  <c r="DU130" i="3" s="1"/>
  <c r="DS130" i="3"/>
  <c r="ED120" i="3"/>
  <c r="EF120" i="3" a="1"/>
  <c r="EF120" i="3" s="1"/>
  <c r="ED132" i="3"/>
  <c r="EF132" i="3" a="1"/>
  <c r="EF132" i="3" s="1"/>
  <c r="EF139" i="3" a="1"/>
  <c r="EF139" i="3" s="1"/>
  <c r="ED139" i="3"/>
  <c r="EB153" i="3"/>
  <c r="CU39" i="3"/>
  <c r="EE109" i="3" a="1"/>
  <c r="DT136" i="3" a="1"/>
  <c r="DT131" i="3" a="1"/>
  <c r="DT148" i="3" a="1"/>
  <c r="EE140" i="3" a="1"/>
  <c r="EE133" i="3" a="1"/>
  <c r="DT155" i="3" a="1"/>
  <c r="EE116" i="3" a="1"/>
  <c r="DT124" i="3" a="1"/>
  <c r="EE128" i="3" a="1"/>
  <c r="DT143" i="3" a="1"/>
  <c r="EE121" i="3" a="1"/>
  <c r="EF103" i="3" l="1" a="1"/>
  <c r="EF103" i="3" s="1"/>
  <c r="DU135" i="3" a="1"/>
  <c r="DU135" i="3" s="1"/>
  <c r="DS154" i="3"/>
  <c r="ED115" i="3"/>
  <c r="ED108" i="3"/>
  <c r="DU123" i="3" a="1"/>
  <c r="DU123" i="3" s="1"/>
  <c r="DT155" i="3"/>
  <c r="DS155" i="3" s="1"/>
  <c r="EE128" i="3"/>
  <c r="EF128" i="3" s="1" a="1"/>
  <c r="EF128" i="3" s="1"/>
  <c r="EE133" i="3"/>
  <c r="ED133" i="3" s="1"/>
  <c r="DT148" i="3"/>
  <c r="DU148" i="3" s="1" a="1"/>
  <c r="DU148" i="3" s="1"/>
  <c r="EE109" i="3"/>
  <c r="EF109" i="3" s="1" a="1"/>
  <c r="EF109" i="3" s="1"/>
  <c r="DT131" i="3"/>
  <c r="DU131" i="3" s="1" a="1"/>
  <c r="DU131" i="3" s="1"/>
  <c r="EE121" i="3"/>
  <c r="EF121" i="3" s="1" a="1"/>
  <c r="EF121" i="3" s="1"/>
  <c r="DT143" i="3"/>
  <c r="DS143" i="3" s="1"/>
  <c r="EE140" i="3"/>
  <c r="ED140" i="3" s="1"/>
  <c r="EE116" i="3"/>
  <c r="EF116" i="3" s="1" a="1"/>
  <c r="EF116" i="3" s="1"/>
  <c r="DT136" i="3"/>
  <c r="DS136" i="3" s="1"/>
  <c r="DT124" i="3"/>
  <c r="DS124" i="3" s="1"/>
  <c r="ED127" i="3"/>
  <c r="DU147" i="3" a="1"/>
  <c r="DU147" i="3" s="1"/>
  <c r="DU142" i="3" a="1"/>
  <c r="DU142" i="3" s="1"/>
  <c r="DY174" i="3"/>
  <c r="EA160" i="3"/>
  <c r="DS148" i="3"/>
  <c r="ED146" i="3"/>
  <c r="EF146" i="3" a="1"/>
  <c r="EF146" i="3" s="1"/>
  <c r="DS160" i="3"/>
  <c r="DU160" i="3" a="1"/>
  <c r="DU160" i="3" s="1"/>
  <c r="CU40" i="3"/>
  <c r="DQ174" i="3"/>
  <c r="DV155" i="3" s="1" a="1"/>
  <c r="DV155" i="3" s="1"/>
  <c r="DP174" i="3"/>
  <c r="DP181" i="3"/>
  <c r="DQ181" i="3"/>
  <c r="DS167" i="3"/>
  <c r="DU167" i="3" a="1"/>
  <c r="DU167" i="3" s="1"/>
  <c r="EF140" i="3" a="1"/>
  <c r="EF140" i="3" s="1"/>
  <c r="EC153" i="3" a="1"/>
  <c r="EC153" i="3" s="1"/>
  <c r="EE153" i="3" a="1"/>
  <c r="EE153" i="3" s="1"/>
  <c r="DY181" i="3"/>
  <c r="EA167" i="3"/>
  <c r="EE141" i="3" a="1"/>
  <c r="DT168" i="3" a="1"/>
  <c r="DT149" i="3" a="1"/>
  <c r="EE129" i="3" a="1"/>
  <c r="EE147" i="3" a="1"/>
  <c r="DT137" i="3" a="1"/>
  <c r="EE117" i="3" a="1"/>
  <c r="EE122" i="3" a="1"/>
  <c r="DT161" i="3" a="1"/>
  <c r="EE110" i="3" a="1"/>
  <c r="DT144" i="3" a="1"/>
  <c r="DT156" i="3" a="1"/>
  <c r="EE134" i="3" a="1"/>
  <c r="EF133" i="3" l="1" a="1"/>
  <c r="EF133" i="3" s="1"/>
  <c r="ED128" i="3"/>
  <c r="DU155" i="3" a="1"/>
  <c r="DU155" i="3" s="1"/>
  <c r="ED121" i="3"/>
  <c r="ED109" i="3"/>
  <c r="DS131" i="3"/>
  <c r="DU143" i="3" a="1"/>
  <c r="DU143" i="3" s="1"/>
  <c r="EE147" i="3"/>
  <c r="EE129" i="3"/>
  <c r="DT137" i="3"/>
  <c r="DT149" i="3"/>
  <c r="DU149" i="3" s="1" a="1"/>
  <c r="DU149" i="3" s="1"/>
  <c r="DT156" i="3"/>
  <c r="DV156" i="3" s="1" a="1"/>
  <c r="DV156" i="3" s="1"/>
  <c r="DT144" i="3"/>
  <c r="DU144" i="3" s="1" a="1"/>
  <c r="DU144" i="3" s="1"/>
  <c r="EE141" i="3"/>
  <c r="ED141" i="3" s="1"/>
  <c r="EE117" i="3"/>
  <c r="EE134" i="3"/>
  <c r="EE110" i="3"/>
  <c r="DT161" i="3"/>
  <c r="DU161" i="3" s="1" a="1"/>
  <c r="DU161" i="3" s="1"/>
  <c r="EE122" i="3"/>
  <c r="DT168" i="3"/>
  <c r="DU124" i="3" a="1"/>
  <c r="DU124" i="3" s="1"/>
  <c r="DU136" i="3" a="1"/>
  <c r="DU136" i="3" s="1"/>
  <c r="ED116" i="3"/>
  <c r="FT25" i="3"/>
  <c r="EB160" i="3"/>
  <c r="EC160" i="3" s="1" a="1"/>
  <c r="EC160" i="3" s="1"/>
  <c r="DV148" i="3" a="1"/>
  <c r="DV148" i="3" s="1"/>
  <c r="DW148" i="3" s="1" a="1"/>
  <c r="DW148" i="3" s="1"/>
  <c r="DV167" i="3" a="1"/>
  <c r="DV167" i="3" s="1"/>
  <c r="DV143" i="3" a="1"/>
  <c r="DV143" i="3" s="1"/>
  <c r="DV131" i="3" a="1"/>
  <c r="DV131" i="3" s="1"/>
  <c r="EF147" i="3" a="1"/>
  <c r="EF147" i="3" s="1"/>
  <c r="ED147" i="3"/>
  <c r="DV24" i="3" a="1"/>
  <c r="DV24" i="3" s="1"/>
  <c r="DW24" i="3" s="1" a="1"/>
  <c r="DW24" i="3" s="1"/>
  <c r="DV134" i="3" a="1"/>
  <c r="DV134" i="3" s="1"/>
  <c r="DW134" i="3" s="1" a="1"/>
  <c r="DW134" i="3" s="1"/>
  <c r="DV48" i="3" a="1"/>
  <c r="DV48" i="3" s="1"/>
  <c r="DW48" i="3" s="1" a="1"/>
  <c r="DW48" i="3" s="1"/>
  <c r="DV129" i="3" a="1"/>
  <c r="DV129" i="3" s="1"/>
  <c r="DW129" i="3" s="1" a="1"/>
  <c r="DW129" i="3" s="1"/>
  <c r="DV84" i="3" a="1"/>
  <c r="DV84" i="3" s="1"/>
  <c r="DW84" i="3" s="1" a="1"/>
  <c r="DW84" i="3" s="1"/>
  <c r="DV28" i="3" a="1"/>
  <c r="DV28" i="3" s="1"/>
  <c r="DW28" i="3" s="1" a="1"/>
  <c r="DW28" i="3" s="1"/>
  <c r="DV110" i="3" a="1"/>
  <c r="DV110" i="3" s="1"/>
  <c r="DW110" i="3" s="1" a="1"/>
  <c r="DW110" i="3" s="1"/>
  <c r="DV122" i="3" a="1"/>
  <c r="DV122" i="3" s="1"/>
  <c r="DW122" i="3" s="1" a="1"/>
  <c r="DW122" i="3" s="1"/>
  <c r="DV47" i="3" a="1"/>
  <c r="DV47" i="3" s="1"/>
  <c r="DW47" i="3" s="1" a="1"/>
  <c r="DW47" i="3" s="1"/>
  <c r="DV53" i="3" a="1"/>
  <c r="DV53" i="3" s="1"/>
  <c r="DW53" i="3" s="1" a="1"/>
  <c r="DW53" i="3" s="1"/>
  <c r="DV60" i="3" a="1"/>
  <c r="DV60" i="3" s="1"/>
  <c r="DW60" i="3" s="1" a="1"/>
  <c r="DW60" i="3" s="1"/>
  <c r="DV72" i="3" a="1"/>
  <c r="DV72" i="3" s="1"/>
  <c r="DW72" i="3" s="1" a="1"/>
  <c r="DW72" i="3" s="1"/>
  <c r="DV49" i="3" a="1"/>
  <c r="DV49" i="3" s="1"/>
  <c r="DW49" i="3" s="1" a="1"/>
  <c r="DW49" i="3" s="1"/>
  <c r="DV43" i="3" a="1"/>
  <c r="DV43" i="3" s="1"/>
  <c r="DW43" i="3" s="1" a="1"/>
  <c r="DW43" i="3" s="1"/>
  <c r="DV55" i="3" a="1"/>
  <c r="DV55" i="3" s="1"/>
  <c r="DW55" i="3" s="1" a="1"/>
  <c r="DW55" i="3" s="1"/>
  <c r="DV35" i="3" a="1"/>
  <c r="DV35" i="3" s="1"/>
  <c r="DW35" i="3" s="1" a="1"/>
  <c r="DW35" i="3" s="1"/>
  <c r="DV29" i="3" a="1"/>
  <c r="DV29" i="3" s="1"/>
  <c r="DW29" i="3" s="1" a="1"/>
  <c r="DW29" i="3" s="1"/>
  <c r="DV27" i="3" a="1"/>
  <c r="DV27" i="3" s="1"/>
  <c r="DW27" i="3" s="1" a="1"/>
  <c r="DW27" i="3" s="1"/>
  <c r="DV34" i="3" a="1"/>
  <c r="DV34" i="3" s="1"/>
  <c r="DW34" i="3" s="1" a="1"/>
  <c r="DW34" i="3" s="1"/>
  <c r="DV36" i="3" a="1"/>
  <c r="DV36" i="3" s="1"/>
  <c r="DW36" i="3" s="1" a="1"/>
  <c r="DW36" i="3" s="1"/>
  <c r="DV153" i="3" a="1"/>
  <c r="DV153" i="3" s="1"/>
  <c r="DW153" i="3" s="1" a="1"/>
  <c r="DW153" i="3" s="1"/>
  <c r="DV123" i="3" a="1"/>
  <c r="DV123" i="3" s="1"/>
  <c r="DW123" i="3" s="1" a="1"/>
  <c r="DW123" i="3" s="1"/>
  <c r="DV142" i="3" a="1"/>
  <c r="DV142" i="3" s="1"/>
  <c r="DW142" i="3" s="1" a="1"/>
  <c r="DW142" i="3" s="1"/>
  <c r="DV154" i="3" a="1"/>
  <c r="DV154" i="3" s="1"/>
  <c r="DW154" i="3" s="1" a="1"/>
  <c r="DW154" i="3" s="1"/>
  <c r="DV135" i="3" a="1"/>
  <c r="DV135" i="3" s="1"/>
  <c r="DW135" i="3" s="1" a="1"/>
  <c r="DW135" i="3" s="1"/>
  <c r="DV130" i="3" a="1"/>
  <c r="DV130" i="3" s="1"/>
  <c r="DW130" i="3" s="1" a="1"/>
  <c r="DW130" i="3" s="1"/>
  <c r="DV147" i="3" a="1"/>
  <c r="DV147" i="3" s="1"/>
  <c r="DW147" i="3" s="1" a="1"/>
  <c r="DW147" i="3" s="1"/>
  <c r="DV132" i="3" a="1"/>
  <c r="DV132" i="3" s="1"/>
  <c r="DW132" i="3" s="1" a="1"/>
  <c r="DW132" i="3" s="1"/>
  <c r="DV103" i="3" a="1"/>
  <c r="DV103" i="3" s="1"/>
  <c r="DW103" i="3" s="1" a="1"/>
  <c r="DW103" i="3" s="1"/>
  <c r="DV115" i="3" a="1"/>
  <c r="DV115" i="3" s="1"/>
  <c r="DW115" i="3" s="1" a="1"/>
  <c r="DW115" i="3" s="1"/>
  <c r="DV140" i="3" a="1"/>
  <c r="DV140" i="3" s="1"/>
  <c r="DW140" i="3" s="1" a="1"/>
  <c r="DW140" i="3" s="1"/>
  <c r="DV106" i="3" a="1"/>
  <c r="DV106" i="3" s="1"/>
  <c r="DW106" i="3" s="1" a="1"/>
  <c r="DW106" i="3" s="1"/>
  <c r="DV120" i="3" a="1"/>
  <c r="DV120" i="3" s="1"/>
  <c r="DW120" i="3" s="1" a="1"/>
  <c r="DW120" i="3" s="1"/>
  <c r="DV96" i="3" a="1"/>
  <c r="DV96" i="3" s="1"/>
  <c r="DW96" i="3" s="1" a="1"/>
  <c r="DW96" i="3" s="1"/>
  <c r="DV102" i="3" a="1"/>
  <c r="DV102" i="3" s="1"/>
  <c r="DW102" i="3" s="1" a="1"/>
  <c r="DW102" i="3" s="1"/>
  <c r="DV107" i="3" a="1"/>
  <c r="DV107" i="3" s="1"/>
  <c r="DW107" i="3" s="1" a="1"/>
  <c r="DW107" i="3" s="1"/>
  <c r="DV109" i="3" a="1"/>
  <c r="DV109" i="3" s="1"/>
  <c r="DW109" i="3" s="1" a="1"/>
  <c r="DW109" i="3" s="1"/>
  <c r="DV104" i="3" a="1"/>
  <c r="DV104" i="3" s="1"/>
  <c r="DW104" i="3" s="1" a="1"/>
  <c r="DW104" i="3" s="1"/>
  <c r="DV100" i="3" a="1"/>
  <c r="DV100" i="3" s="1"/>
  <c r="DW100" i="3" s="1" a="1"/>
  <c r="DW100" i="3" s="1"/>
  <c r="DV127" i="3" a="1"/>
  <c r="DV127" i="3" s="1"/>
  <c r="DW127" i="3" s="1" a="1"/>
  <c r="DW127" i="3" s="1"/>
  <c r="DV139" i="3" a="1"/>
  <c r="DV139" i="3" s="1"/>
  <c r="DW139" i="3" s="1" a="1"/>
  <c r="DW139" i="3" s="1"/>
  <c r="DV114" i="3" a="1"/>
  <c r="DV114" i="3" s="1"/>
  <c r="DW114" i="3" s="1" a="1"/>
  <c r="DW114" i="3" s="1"/>
  <c r="DV81" i="3" a="1"/>
  <c r="DV81" i="3" s="1"/>
  <c r="DW81" i="3" s="1" a="1"/>
  <c r="DW81" i="3" s="1"/>
  <c r="DV105" i="3" a="1"/>
  <c r="DV105" i="3" s="1"/>
  <c r="DW105" i="3" s="1" a="1"/>
  <c r="DW105" i="3" s="1"/>
  <c r="DV126" i="3" a="1"/>
  <c r="DV126" i="3" s="1"/>
  <c r="DW126" i="3" s="1" a="1"/>
  <c r="DW126" i="3" s="1"/>
  <c r="DV88" i="3" a="1"/>
  <c r="DV88" i="3" s="1"/>
  <c r="DW88" i="3" s="1" a="1"/>
  <c r="DW88" i="3" s="1"/>
  <c r="DV108" i="3" a="1"/>
  <c r="DV108" i="3" s="1"/>
  <c r="DW108" i="3" s="1" a="1"/>
  <c r="DW108" i="3" s="1"/>
  <c r="DR174" i="3" a="1"/>
  <c r="DR174" i="3" s="1"/>
  <c r="DV125" i="3" a="1"/>
  <c r="DV125" i="3" s="1"/>
  <c r="DW125" i="3" s="1" a="1"/>
  <c r="DW125" i="3" s="1"/>
  <c r="DV93" i="3" a="1"/>
  <c r="DV93" i="3" s="1"/>
  <c r="DW93" i="3" s="1" a="1"/>
  <c r="DW93" i="3" s="1"/>
  <c r="DV117" i="3" a="1"/>
  <c r="DV117" i="3" s="1"/>
  <c r="DW117" i="3" s="1" a="1"/>
  <c r="DW117" i="3" s="1"/>
  <c r="DV98" i="3" a="1"/>
  <c r="DV98" i="3" s="1"/>
  <c r="DW98" i="3" s="1" a="1"/>
  <c r="DW98" i="3" s="1"/>
  <c r="DV87" i="3" a="1"/>
  <c r="DV87" i="3" s="1"/>
  <c r="DW87" i="3" s="1" a="1"/>
  <c r="DW87" i="3" s="1"/>
  <c r="DV97" i="3" a="1"/>
  <c r="DV97" i="3" s="1"/>
  <c r="DW97" i="3" s="1" a="1"/>
  <c r="DW97" i="3" s="1"/>
  <c r="DV67" i="3" a="1"/>
  <c r="DV67" i="3" s="1"/>
  <c r="DW67" i="3" s="1" a="1"/>
  <c r="DW67" i="3" s="1"/>
  <c r="DV111" i="3" a="1"/>
  <c r="DV111" i="3" s="1"/>
  <c r="DW111" i="3" s="1" a="1"/>
  <c r="DW111" i="3" s="1"/>
  <c r="DV86" i="3" a="1"/>
  <c r="DV86" i="3" s="1"/>
  <c r="DW86" i="3" s="1" a="1"/>
  <c r="DW86" i="3" s="1"/>
  <c r="DV74" i="3" a="1"/>
  <c r="DV74" i="3" s="1"/>
  <c r="DW74" i="3" s="1" a="1"/>
  <c r="DW74" i="3" s="1"/>
  <c r="DV75" i="3" a="1"/>
  <c r="DV75" i="3" s="1"/>
  <c r="DW75" i="3" s="1" a="1"/>
  <c r="DW75" i="3" s="1"/>
  <c r="DV91" i="3" a="1"/>
  <c r="DV91" i="3" s="1"/>
  <c r="DW91" i="3" s="1" a="1"/>
  <c r="DW91" i="3" s="1"/>
  <c r="DV90" i="3" a="1"/>
  <c r="DV90" i="3" s="1"/>
  <c r="DW90" i="3" s="1" a="1"/>
  <c r="DW90" i="3" s="1"/>
  <c r="DV73" i="3" a="1"/>
  <c r="DV73" i="3" s="1"/>
  <c r="DW73" i="3" s="1" a="1"/>
  <c r="DW73" i="3" s="1"/>
  <c r="DV71" i="3" a="1"/>
  <c r="DV71" i="3" s="1"/>
  <c r="DW71" i="3" s="1" a="1"/>
  <c r="DW71" i="3" s="1"/>
  <c r="DV92" i="3" a="1"/>
  <c r="DV92" i="3" s="1"/>
  <c r="DW92" i="3" s="1" a="1"/>
  <c r="DW92" i="3" s="1"/>
  <c r="DV61" i="3" a="1"/>
  <c r="DV61" i="3" s="1"/>
  <c r="DW61" i="3" s="1" a="1"/>
  <c r="DW61" i="3" s="1"/>
  <c r="DV66" i="3" a="1"/>
  <c r="DV66" i="3" s="1"/>
  <c r="DW66" i="3" s="1" a="1"/>
  <c r="DW66" i="3" s="1"/>
  <c r="DV94" i="3" a="1"/>
  <c r="DV94" i="3" s="1"/>
  <c r="DW94" i="3" s="1" a="1"/>
  <c r="DW94" i="3" s="1"/>
  <c r="DV82" i="3" a="1"/>
  <c r="DV82" i="3" s="1"/>
  <c r="DW82" i="3" s="1" a="1"/>
  <c r="DW82" i="3" s="1"/>
  <c r="DV141" i="3" a="1"/>
  <c r="DV141" i="3" s="1"/>
  <c r="DW141" i="3" s="1" a="1"/>
  <c r="DW141" i="3" s="1"/>
  <c r="DV112" i="3" a="1"/>
  <c r="DV112" i="3" s="1"/>
  <c r="DW112" i="3" s="1" a="1"/>
  <c r="DW112" i="3" s="1"/>
  <c r="DV95" i="3" a="1"/>
  <c r="DV95" i="3" s="1"/>
  <c r="DW95" i="3" s="1" a="1"/>
  <c r="DW95" i="3" s="1"/>
  <c r="DV68" i="3" a="1"/>
  <c r="DV68" i="3" s="1"/>
  <c r="DW68" i="3" s="1" a="1"/>
  <c r="DW68" i="3" s="1"/>
  <c r="DV78" i="3" a="1"/>
  <c r="DV78" i="3" s="1"/>
  <c r="DW78" i="3" s="1" a="1"/>
  <c r="DW78" i="3" s="1"/>
  <c r="DV76" i="3" a="1"/>
  <c r="DV76" i="3" s="1"/>
  <c r="DW76" i="3" s="1" a="1"/>
  <c r="DW76" i="3" s="1"/>
  <c r="DV64" i="3" a="1"/>
  <c r="DV64" i="3" s="1"/>
  <c r="DW64" i="3" s="1" a="1"/>
  <c r="DW64" i="3" s="1"/>
  <c r="DV40" i="3" a="1"/>
  <c r="DV40" i="3" s="1"/>
  <c r="DW40" i="3" s="1" a="1"/>
  <c r="DW40" i="3" s="1"/>
  <c r="DV63" i="3" a="1"/>
  <c r="DV63" i="3" s="1"/>
  <c r="DW63" i="3" s="1" a="1"/>
  <c r="DW63" i="3" s="1"/>
  <c r="DV83" i="3" a="1"/>
  <c r="DV83" i="3" s="1"/>
  <c r="DW83" i="3" s="1" a="1"/>
  <c r="DW83" i="3" s="1"/>
  <c r="DV69" i="3" a="1"/>
  <c r="DV69" i="3" s="1"/>
  <c r="DW69" i="3" s="1" a="1"/>
  <c r="DW69" i="3" s="1"/>
  <c r="DV62" i="3" a="1"/>
  <c r="DV62" i="3" s="1"/>
  <c r="DW62" i="3" s="1" a="1"/>
  <c r="DW62" i="3" s="1"/>
  <c r="DV44" i="3" a="1"/>
  <c r="DV44" i="3" s="1"/>
  <c r="DW44" i="3" s="1" a="1"/>
  <c r="DW44" i="3" s="1"/>
  <c r="DV45" i="3" a="1"/>
  <c r="DV45" i="3" s="1"/>
  <c r="DW45" i="3" s="1" a="1"/>
  <c r="DW45" i="3" s="1"/>
  <c r="DV37" i="3" a="1"/>
  <c r="DV37" i="3" s="1"/>
  <c r="DW37" i="3" s="1" a="1"/>
  <c r="DW37" i="3" s="1"/>
  <c r="DV50" i="3" a="1"/>
  <c r="DV50" i="3" s="1"/>
  <c r="DW50" i="3" s="1" a="1"/>
  <c r="DW50" i="3" s="1"/>
  <c r="DV56" i="3" a="1"/>
  <c r="DV56" i="3" s="1"/>
  <c r="DW56" i="3" s="1" a="1"/>
  <c r="DW56" i="3" s="1"/>
  <c r="DV57" i="3" a="1"/>
  <c r="DV57" i="3" s="1"/>
  <c r="DW57" i="3" s="1" a="1"/>
  <c r="DW57" i="3" s="1"/>
  <c r="DV119" i="3" a="1"/>
  <c r="DV119" i="3" s="1"/>
  <c r="DW119" i="3" s="1" a="1"/>
  <c r="DW119" i="3" s="1"/>
  <c r="DV121" i="3" a="1"/>
  <c r="DV121" i="3" s="1"/>
  <c r="DW121" i="3" s="1" a="1"/>
  <c r="DW121" i="3" s="1"/>
  <c r="DV89" i="3" a="1"/>
  <c r="DV89" i="3" s="1"/>
  <c r="DW89" i="3" s="1" a="1"/>
  <c r="DW89" i="3" s="1"/>
  <c r="DV116" i="3" a="1"/>
  <c r="DV116" i="3" s="1"/>
  <c r="DW116" i="3" s="1" a="1"/>
  <c r="DW116" i="3" s="1"/>
  <c r="DV133" i="3" a="1"/>
  <c r="DV133" i="3" s="1"/>
  <c r="DW133" i="3" s="1" a="1"/>
  <c r="DW133" i="3" s="1"/>
  <c r="DX174" i="3" a="1"/>
  <c r="DX174" i="3" s="1"/>
  <c r="DZ174" i="3" s="1"/>
  <c r="EA174" i="3" s="1"/>
  <c r="DV79" i="3" a="1"/>
  <c r="DV79" i="3" s="1"/>
  <c r="DW79" i="3" s="1" a="1"/>
  <c r="DW79" i="3" s="1"/>
  <c r="DV99" i="3" a="1"/>
  <c r="DV99" i="3" s="1"/>
  <c r="DW99" i="3" s="1" a="1"/>
  <c r="DW99" i="3" s="1"/>
  <c r="DV65" i="3" a="1"/>
  <c r="DV65" i="3" s="1"/>
  <c r="DW65" i="3" s="1" a="1"/>
  <c r="DW65" i="3" s="1"/>
  <c r="DV77" i="3" a="1"/>
  <c r="DV77" i="3" s="1"/>
  <c r="DW77" i="3" s="1" a="1"/>
  <c r="DW77" i="3" s="1"/>
  <c r="DV59" i="3" a="1"/>
  <c r="DV59" i="3" s="1"/>
  <c r="DW59" i="3" s="1" a="1"/>
  <c r="DW59" i="3" s="1"/>
  <c r="DV46" i="3" a="1"/>
  <c r="DV46" i="3" s="1"/>
  <c r="DW46" i="3" s="1" a="1"/>
  <c r="DW46" i="3" s="1"/>
  <c r="DV51" i="3" a="1"/>
  <c r="DV51" i="3" s="1"/>
  <c r="DW51" i="3" s="1" a="1"/>
  <c r="DW51" i="3" s="1"/>
  <c r="DV41" i="3" a="1"/>
  <c r="DV41" i="3" s="1"/>
  <c r="DW41" i="3" s="1" a="1"/>
  <c r="DW41" i="3" s="1"/>
  <c r="DV23" i="3" a="1"/>
  <c r="DV23" i="3" s="1"/>
  <c r="DW23" i="3" s="1" a="1"/>
  <c r="DW23" i="3" s="1"/>
  <c r="DV22" i="3" a="1"/>
  <c r="DV22" i="3" s="1"/>
  <c r="DW22" i="3" s="1" a="1"/>
  <c r="DW22" i="3" s="1"/>
  <c r="DV33" i="3" a="1"/>
  <c r="DV33" i="3" s="1"/>
  <c r="DW33" i="3" s="1" a="1"/>
  <c r="DW33" i="3" s="1"/>
  <c r="DV20" i="3" a="1"/>
  <c r="DV20" i="3" s="1"/>
  <c r="DW20" i="3" s="1" a="1"/>
  <c r="DW20" i="3" s="1"/>
  <c r="DV26" i="3" a="1"/>
  <c r="DV26" i="3" s="1"/>
  <c r="DW26" i="3" s="1" a="1"/>
  <c r="DW26" i="3" s="1"/>
  <c r="DV30" i="3" a="1"/>
  <c r="DV30" i="3" s="1"/>
  <c r="DW30" i="3" s="1" a="1"/>
  <c r="DW30" i="3" s="1"/>
  <c r="DV31" i="3" a="1"/>
  <c r="DV31" i="3" s="1"/>
  <c r="DW31" i="3" s="1" a="1"/>
  <c r="DW31" i="3" s="1"/>
  <c r="DV21" i="3" a="1"/>
  <c r="DV21" i="3" s="1"/>
  <c r="DW21" i="3" s="1" a="1"/>
  <c r="DW21" i="3" s="1"/>
  <c r="DV118" i="3" a="1"/>
  <c r="DV118" i="3" s="1"/>
  <c r="DW118" i="3" s="1" a="1"/>
  <c r="DW118" i="3" s="1"/>
  <c r="DV101" i="3" a="1"/>
  <c r="DV101" i="3" s="1"/>
  <c r="DW101" i="3" s="1" a="1"/>
  <c r="DW101" i="3" s="1"/>
  <c r="DV128" i="3" a="1"/>
  <c r="DV128" i="3" s="1"/>
  <c r="DW128" i="3" s="1" a="1"/>
  <c r="DW128" i="3" s="1"/>
  <c r="DV146" i="3" a="1"/>
  <c r="DV146" i="3" s="1"/>
  <c r="DW146" i="3" s="1" a="1"/>
  <c r="DW146" i="3" s="1"/>
  <c r="DV113" i="3" a="1"/>
  <c r="DV113" i="3" s="1"/>
  <c r="DW113" i="3" s="1" a="1"/>
  <c r="DW113" i="3" s="1"/>
  <c r="DV85" i="3" a="1"/>
  <c r="DV85" i="3" s="1"/>
  <c r="DW85" i="3" s="1" a="1"/>
  <c r="DW85" i="3" s="1"/>
  <c r="DV80" i="3" a="1"/>
  <c r="DV80" i="3" s="1"/>
  <c r="DW80" i="3" s="1" a="1"/>
  <c r="DW80" i="3" s="1"/>
  <c r="DV54" i="3" a="1"/>
  <c r="DV54" i="3" s="1"/>
  <c r="DW54" i="3" s="1" a="1"/>
  <c r="DW54" i="3" s="1"/>
  <c r="DV52" i="3" a="1"/>
  <c r="DV52" i="3" s="1"/>
  <c r="DW52" i="3" s="1" a="1"/>
  <c r="DW52" i="3" s="1"/>
  <c r="DV38" i="3" a="1"/>
  <c r="DV38" i="3" s="1"/>
  <c r="DW38" i="3" s="1" a="1"/>
  <c r="DW38" i="3" s="1"/>
  <c r="DV70" i="3" a="1"/>
  <c r="DV70" i="3" s="1"/>
  <c r="DW70" i="3" s="1" a="1"/>
  <c r="DW70" i="3" s="1"/>
  <c r="DV58" i="3" a="1"/>
  <c r="DV58" i="3" s="1"/>
  <c r="DW58" i="3" s="1" a="1"/>
  <c r="DW58" i="3" s="1"/>
  <c r="DV39" i="3" a="1"/>
  <c r="DV39" i="3" s="1"/>
  <c r="DW39" i="3" s="1" a="1"/>
  <c r="DW39" i="3" s="1"/>
  <c r="DV42" i="3" a="1"/>
  <c r="DV42" i="3" s="1"/>
  <c r="DW42" i="3" s="1" a="1"/>
  <c r="DW42" i="3" s="1"/>
  <c r="DV25" i="3" a="1"/>
  <c r="DV25" i="3" s="1"/>
  <c r="DW25" i="3" s="1" a="1"/>
  <c r="DW25" i="3" s="1"/>
  <c r="DV32" i="3" a="1"/>
  <c r="DV32" i="3" s="1"/>
  <c r="DW32" i="3" s="1" a="1"/>
  <c r="DW32" i="3" s="1"/>
  <c r="DT174" i="3" a="1"/>
  <c r="DT174" i="3" s="1"/>
  <c r="DV160" i="3" a="1"/>
  <c r="DV160" i="3" s="1"/>
  <c r="DW160" i="3" s="1" a="1"/>
  <c r="DW160" i="3" s="1"/>
  <c r="DV137" i="3" a="1"/>
  <c r="DV137" i="3" s="1"/>
  <c r="DS137" i="3"/>
  <c r="DU137" i="3" a="1"/>
  <c r="DU137" i="3" s="1"/>
  <c r="DR181" i="3" a="1"/>
  <c r="DR181" i="3" s="1"/>
  <c r="DX181" i="3" a="1"/>
  <c r="DX181" i="3" s="1"/>
  <c r="DZ181" i="3" s="1"/>
  <c r="EA181" i="3" s="1"/>
  <c r="DT181" i="3" a="1"/>
  <c r="DT181" i="3" s="1"/>
  <c r="DU168" i="3" a="1"/>
  <c r="DU168" i="3" s="1"/>
  <c r="DV168" i="3" a="1"/>
  <c r="DV168" i="3" s="1"/>
  <c r="DW168" i="3" s="1" a="1"/>
  <c r="DW168" i="3" s="1"/>
  <c r="DS168" i="3"/>
  <c r="DU156" i="3" a="1"/>
  <c r="DU156" i="3" s="1"/>
  <c r="ED110" i="3"/>
  <c r="EF110" i="3" a="1"/>
  <c r="EF110" i="3" s="1"/>
  <c r="ED117" i="3"/>
  <c r="EF117" i="3" a="1"/>
  <c r="EF117" i="3" s="1"/>
  <c r="EF122" i="3" a="1"/>
  <c r="EF122" i="3" s="1"/>
  <c r="ED122" i="3"/>
  <c r="ED129" i="3"/>
  <c r="EF129" i="3" a="1"/>
  <c r="EF129" i="3" s="1"/>
  <c r="ED134" i="3"/>
  <c r="EF134" i="3" a="1"/>
  <c r="EF134" i="3" s="1"/>
  <c r="EF153" i="3" a="1"/>
  <c r="EF153" i="3" s="1"/>
  <c r="ED153" i="3"/>
  <c r="EB167" i="3"/>
  <c r="CU41" i="3"/>
  <c r="DW167" i="3" a="1"/>
  <c r="DW167" i="3" s="1"/>
  <c r="DW155" i="3" a="1"/>
  <c r="DW155" i="3" s="1"/>
  <c r="DW143" i="3" a="1"/>
  <c r="DW143" i="3" s="1"/>
  <c r="DW131" i="3" a="1"/>
  <c r="DW131" i="3" s="1"/>
  <c r="DV136" i="3" a="1"/>
  <c r="DV136" i="3" s="1"/>
  <c r="DW136" i="3" s="1" a="1"/>
  <c r="DW136" i="3" s="1"/>
  <c r="DV124" i="3" a="1"/>
  <c r="DV124" i="3" s="1"/>
  <c r="DW124" i="3" s="1" a="1"/>
  <c r="DW124" i="3" s="1"/>
  <c r="EE142" i="3" a="1"/>
  <c r="EE123" i="3" a="1"/>
  <c r="EE135" i="3" a="1"/>
  <c r="DT150" i="3" a="1"/>
  <c r="DT138" i="3" a="1"/>
  <c r="DT169" i="3" a="1"/>
  <c r="DT145" i="3" a="1"/>
  <c r="EE148" i="3" a="1"/>
  <c r="EE154" i="3" a="1"/>
  <c r="DT157" i="3" a="1"/>
  <c r="EE130" i="3" a="1"/>
  <c r="DT162" i="3" a="1"/>
  <c r="DW156" i="3" l="1" a="1"/>
  <c r="DW156" i="3" s="1"/>
  <c r="EE160" i="3" a="1"/>
  <c r="EE160" i="3" s="1"/>
  <c r="ED160" i="3" s="1"/>
  <c r="EF141" i="3" a="1"/>
  <c r="EF141" i="3" s="1"/>
  <c r="DV144" i="3" a="1"/>
  <c r="DV144" i="3" s="1"/>
  <c r="DW144" i="3" s="1" a="1"/>
  <c r="DW144" i="3" s="1"/>
  <c r="DS144" i="3"/>
  <c r="DV149" i="3" a="1"/>
  <c r="DV149" i="3" s="1"/>
  <c r="DW149" i="3" s="1" a="1"/>
  <c r="DW149" i="3" s="1"/>
  <c r="DS149" i="3"/>
  <c r="DS156" i="3"/>
  <c r="DT145" i="3"/>
  <c r="DV145" i="3" s="1" a="1"/>
  <c r="DV145" i="3" s="1"/>
  <c r="EE130" i="3"/>
  <c r="ED130" i="3" s="1"/>
  <c r="DT138" i="3"/>
  <c r="DU138" i="3" s="1" a="1"/>
  <c r="DU138" i="3" s="1"/>
  <c r="DT162" i="3"/>
  <c r="DU162" i="3" s="1" a="1"/>
  <c r="DU162" i="3" s="1"/>
  <c r="DT157" i="3"/>
  <c r="DU157" i="3" s="1" a="1"/>
  <c r="DU157" i="3" s="1"/>
  <c r="EE154" i="3"/>
  <c r="EE123" i="3"/>
  <c r="EE148" i="3"/>
  <c r="EF148" i="3" s="1" a="1"/>
  <c r="EF148" i="3" s="1"/>
  <c r="EE142" i="3"/>
  <c r="EF142" i="3" s="1" a="1"/>
  <c r="EF142" i="3" s="1"/>
  <c r="DT169" i="3"/>
  <c r="DV169" i="3" s="1" a="1"/>
  <c r="DV169" i="3" s="1"/>
  <c r="DT150" i="3"/>
  <c r="DS150" i="3" s="1"/>
  <c r="EE135" i="3"/>
  <c r="ED135" i="3" s="1"/>
  <c r="DS161" i="3"/>
  <c r="DV161" i="3" a="1"/>
  <c r="DV161" i="3" s="1"/>
  <c r="DW161" i="3" s="1" a="1"/>
  <c r="DW161" i="3" s="1"/>
  <c r="DW137" i="3" a="1"/>
  <c r="DW137" i="3" s="1"/>
  <c r="ED148" i="3"/>
  <c r="EF160" i="3" a="1"/>
  <c r="EF160" i="3" s="1"/>
  <c r="FU25" i="3"/>
  <c r="CU42" i="3"/>
  <c r="BZ47" i="3" s="1"/>
  <c r="EB174" i="3"/>
  <c r="DS174" i="3"/>
  <c r="DU174" i="3" a="1"/>
  <c r="DU174" i="3" s="1"/>
  <c r="DV174" i="3" a="1"/>
  <c r="DV174" i="3" s="1"/>
  <c r="DW174" i="3" s="1" a="1"/>
  <c r="DW174" i="3" s="1"/>
  <c r="EB181" i="3"/>
  <c r="CU43" i="3"/>
  <c r="DS181" i="3"/>
  <c r="DV181" i="3" a="1"/>
  <c r="DV181" i="3" s="1"/>
  <c r="DU181" i="3" a="1"/>
  <c r="DU181" i="3" s="1"/>
  <c r="ED123" i="3"/>
  <c r="EF123" i="3" a="1"/>
  <c r="EF123" i="3" s="1"/>
  <c r="ED154" i="3"/>
  <c r="EF154" i="3" a="1"/>
  <c r="EF154" i="3" s="1"/>
  <c r="EC167" i="3" a="1"/>
  <c r="EC167" i="3" s="1"/>
  <c r="EE167" i="3" a="1"/>
  <c r="EE167" i="3" s="1"/>
  <c r="DT170" i="3" a="1"/>
  <c r="EE155" i="3" a="1"/>
  <c r="DT158" i="3" a="1"/>
  <c r="DT151" i="3" a="1"/>
  <c r="EE131" i="3" a="1"/>
  <c r="DT163" i="3" a="1"/>
  <c r="EE143" i="3" a="1"/>
  <c r="EE161" i="3" a="1"/>
  <c r="EE124" i="3" a="1"/>
  <c r="DT175" i="3" a="1"/>
  <c r="EE136" i="3" a="1"/>
  <c r="EE149" i="3" a="1"/>
  <c r="DT182" i="3" a="1"/>
  <c r="ED142" i="3" l="1"/>
  <c r="DS138" i="3"/>
  <c r="DS157" i="3"/>
  <c r="EG49" i="3" a="1"/>
  <c r="EG49" i="3" s="1"/>
  <c r="EH49" i="3" s="1" a="1"/>
  <c r="EH49" i="3" s="1"/>
  <c r="EI49" i="3" s="1" a="1"/>
  <c r="EI49" i="3" s="1"/>
  <c r="DV157" i="3" a="1"/>
  <c r="DV157" i="3" s="1"/>
  <c r="DW157" i="3" s="1" a="1"/>
  <c r="DW157" i="3" s="1"/>
  <c r="DU169" i="3" a="1"/>
  <c r="DU169" i="3" s="1"/>
  <c r="DS169" i="3"/>
  <c r="EF130" i="3" a="1"/>
  <c r="EF130" i="3" s="1"/>
  <c r="DV138" i="3" a="1"/>
  <c r="DV138" i="3" s="1"/>
  <c r="DS145" i="3"/>
  <c r="DS162" i="3"/>
  <c r="DU145" i="3" a="1"/>
  <c r="DU145" i="3" s="1"/>
  <c r="DW145" i="3" s="1" a="1"/>
  <c r="DW145" i="3" s="1"/>
  <c r="DV162" i="3" a="1"/>
  <c r="DV162" i="3" s="1"/>
  <c r="EE155" i="3"/>
  <c r="EE149" i="3"/>
  <c r="DT182" i="3"/>
  <c r="DV182" i="3" s="1" a="1"/>
  <c r="DV182" i="3" s="1"/>
  <c r="DT151" i="3"/>
  <c r="EE161" i="3"/>
  <c r="EG161" i="3" s="1" a="1"/>
  <c r="EG161" i="3" s="1"/>
  <c r="EE136" i="3"/>
  <c r="EG136" i="3" s="1" a="1"/>
  <c r="EG136" i="3" s="1"/>
  <c r="DT158" i="3"/>
  <c r="EE143" i="3"/>
  <c r="DT175" i="3"/>
  <c r="DS175" i="3" s="1"/>
  <c r="EE124" i="3"/>
  <c r="EG124" i="3" s="1" a="1"/>
  <c r="EG124" i="3" s="1"/>
  <c r="EE131" i="3"/>
  <c r="ED131" i="3" s="1"/>
  <c r="DT163" i="3"/>
  <c r="DT170" i="3"/>
  <c r="DU150" i="3" a="1"/>
  <c r="DU150" i="3" s="1"/>
  <c r="DV150" i="3" a="1"/>
  <c r="DV150" i="3" s="1"/>
  <c r="DW150" i="3" s="1" a="1"/>
  <c r="DW150" i="3" s="1"/>
  <c r="EF135" i="3" a="1"/>
  <c r="EF135" i="3" s="1"/>
  <c r="EG33" i="3" a="1"/>
  <c r="EG33" i="3" s="1"/>
  <c r="EH33" i="3" s="1" a="1"/>
  <c r="EH33" i="3" s="1"/>
  <c r="EI33" i="3" s="1" a="1"/>
  <c r="EI33" i="3" s="1"/>
  <c r="EG134" i="3" a="1"/>
  <c r="EG134" i="3" s="1"/>
  <c r="EH134" i="3" s="1" a="1"/>
  <c r="EH134" i="3" s="1"/>
  <c r="EI134" i="3" s="1" a="1"/>
  <c r="EI134" i="3" s="1"/>
  <c r="EG141" i="3" a="1"/>
  <c r="EG141" i="3" s="1"/>
  <c r="EH141" i="3" s="1" a="1"/>
  <c r="EH141" i="3" s="1"/>
  <c r="EI141" i="3" s="1" a="1"/>
  <c r="EI141" i="3" s="1"/>
  <c r="EG123" i="3" a="1"/>
  <c r="EG123" i="3" s="1"/>
  <c r="EH123" i="3" s="1" a="1"/>
  <c r="EH123" i="3" s="1"/>
  <c r="EI123" i="3" s="1" a="1"/>
  <c r="EI123" i="3" s="1"/>
  <c r="EG78" i="3" a="1"/>
  <c r="EG78" i="3" s="1"/>
  <c r="EH78" i="3" s="1" a="1"/>
  <c r="EH78" i="3" s="1"/>
  <c r="EI78" i="3" s="1" a="1"/>
  <c r="EI78" i="3" s="1"/>
  <c r="EG77" i="3" a="1"/>
  <c r="EG77" i="3" s="1"/>
  <c r="EH77" i="3" s="1" a="1"/>
  <c r="EH77" i="3" s="1"/>
  <c r="EI77" i="3" s="1" a="1"/>
  <c r="EI77" i="3" s="1"/>
  <c r="EG70" i="3" a="1"/>
  <c r="EG70" i="3" s="1"/>
  <c r="EH70" i="3" s="1" a="1"/>
  <c r="EH70" i="3" s="1"/>
  <c r="EI70" i="3" s="1" a="1"/>
  <c r="EI70" i="3" s="1"/>
  <c r="EG69" i="3" a="1"/>
  <c r="EG69" i="3" s="1"/>
  <c r="EH69" i="3" s="1" a="1"/>
  <c r="EH69" i="3" s="1"/>
  <c r="EI69" i="3" s="1" a="1"/>
  <c r="EI69" i="3" s="1"/>
  <c r="CT22" i="3"/>
  <c r="CT35" i="3"/>
  <c r="CT31" i="3"/>
  <c r="EG121" i="3" a="1"/>
  <c r="EG121" i="3" s="1"/>
  <c r="EH121" i="3" s="1" a="1"/>
  <c r="EH121" i="3" s="1"/>
  <c r="EI121" i="3" s="1" a="1"/>
  <c r="EI121" i="3" s="1"/>
  <c r="EG94" i="3" a="1"/>
  <c r="EG94" i="3" s="1"/>
  <c r="EH94" i="3" s="1" a="1"/>
  <c r="EH94" i="3" s="1"/>
  <c r="EI94" i="3" s="1" a="1"/>
  <c r="EI94" i="3" s="1"/>
  <c r="EG132" i="3" a="1"/>
  <c r="EG132" i="3" s="1"/>
  <c r="EH132" i="3" s="1" a="1"/>
  <c r="EH132" i="3" s="1"/>
  <c r="EI132" i="3" s="1" a="1"/>
  <c r="EI132" i="3" s="1"/>
  <c r="EG46" i="3" a="1"/>
  <c r="EG46" i="3" s="1"/>
  <c r="EH46" i="3" s="1" a="1"/>
  <c r="EH46" i="3" s="1"/>
  <c r="EI46" i="3" s="1" a="1"/>
  <c r="EI46" i="3" s="1"/>
  <c r="EG45" i="3" a="1"/>
  <c r="EG45" i="3" s="1"/>
  <c r="EH45" i="3" s="1" a="1"/>
  <c r="EH45" i="3" s="1"/>
  <c r="EI45" i="3" s="1" a="1"/>
  <c r="EI45" i="3" s="1"/>
  <c r="EG51" i="3" a="1"/>
  <c r="EG51" i="3" s="1"/>
  <c r="EH51" i="3" s="1" a="1"/>
  <c r="EH51" i="3" s="1"/>
  <c r="EI51" i="3" s="1" a="1"/>
  <c r="EI51" i="3" s="1"/>
  <c r="EG43" i="3" a="1"/>
  <c r="EG43" i="3" s="1"/>
  <c r="EH43" i="3" s="1" a="1"/>
  <c r="EH43" i="3" s="1"/>
  <c r="EI43" i="3" s="1" a="1"/>
  <c r="EI43" i="3" s="1"/>
  <c r="EG35" i="3" a="1"/>
  <c r="EG35" i="3" s="1"/>
  <c r="EH35" i="3" s="1" a="1"/>
  <c r="EH35" i="3" s="1"/>
  <c r="EI35" i="3" s="1" a="1"/>
  <c r="EI35" i="3" s="1"/>
  <c r="EG27" i="3" a="1"/>
  <c r="EG27" i="3" s="1"/>
  <c r="EH27" i="3" s="1" a="1"/>
  <c r="EH27" i="3" s="1"/>
  <c r="EI27" i="3" s="1" a="1"/>
  <c r="EI27" i="3" s="1"/>
  <c r="CT42" i="3"/>
  <c r="CT38" i="3"/>
  <c r="EG93" i="3" a="1"/>
  <c r="EG93" i="3" s="1"/>
  <c r="EH93" i="3" s="1" a="1"/>
  <c r="EH93" i="3" s="1"/>
  <c r="EI93" i="3" s="1" a="1"/>
  <c r="EI93" i="3" s="1"/>
  <c r="EG114" i="3" a="1"/>
  <c r="EG114" i="3" s="1"/>
  <c r="EH114" i="3" s="1" a="1"/>
  <c r="EH114" i="3" s="1"/>
  <c r="EI114" i="3" s="1" a="1"/>
  <c r="EI114" i="3" s="1"/>
  <c r="CT43" i="3"/>
  <c r="CT32" i="3"/>
  <c r="CT40" i="3"/>
  <c r="EG20" i="3" a="1"/>
  <c r="EG20" i="3" s="1"/>
  <c r="EH20" i="3" s="1" a="1"/>
  <c r="EH20" i="3" s="1"/>
  <c r="EI20" i="3" s="1" a="1"/>
  <c r="EI20" i="3" s="1"/>
  <c r="FE26" i="3" s="1" a="1"/>
  <c r="FE26" i="3" s="1"/>
  <c r="CT26" i="3"/>
  <c r="CT25" i="3"/>
  <c r="CT29" i="3"/>
  <c r="CT37" i="3"/>
  <c r="CT39" i="3"/>
  <c r="EG146" i="3" a="1"/>
  <c r="EG146" i="3" s="1"/>
  <c r="EH146" i="3" s="1" a="1"/>
  <c r="EH146" i="3" s="1"/>
  <c r="EI146" i="3" s="1" a="1"/>
  <c r="EI146" i="3" s="1"/>
  <c r="CT23" i="3"/>
  <c r="DS151" i="3"/>
  <c r="DV151" i="3" a="1"/>
  <c r="DV151" i="3" s="1"/>
  <c r="DU151" i="3" a="1"/>
  <c r="DU151" i="3" s="1"/>
  <c r="ED149" i="3"/>
  <c r="EG149" i="3" a="1"/>
  <c r="EG149" i="3" s="1"/>
  <c r="EF149" i="3" a="1"/>
  <c r="EF149" i="3" s="1"/>
  <c r="DS163" i="3"/>
  <c r="DV163" i="3" a="1"/>
  <c r="DV163" i="3" s="1"/>
  <c r="DU163" i="3" a="1"/>
  <c r="DU163" i="3" s="1"/>
  <c r="ED161" i="3"/>
  <c r="EG129" i="3" a="1"/>
  <c r="EG129" i="3" s="1"/>
  <c r="EH129" i="3" s="1" a="1"/>
  <c r="EH129" i="3" s="1"/>
  <c r="EI129" i="3" s="1" a="1"/>
  <c r="EI129" i="3" s="1"/>
  <c r="EG110" i="3" a="1"/>
  <c r="EG110" i="3" s="1"/>
  <c r="EH110" i="3" s="1" a="1"/>
  <c r="EH110" i="3" s="1"/>
  <c r="EI110" i="3" s="1" a="1"/>
  <c r="EI110" i="3" s="1"/>
  <c r="EG98" i="3" a="1"/>
  <c r="EG98" i="3" s="1"/>
  <c r="EH98" i="3" s="1" a="1"/>
  <c r="EH98" i="3" s="1"/>
  <c r="EI98" i="3" s="1" a="1"/>
  <c r="EI98" i="3" s="1"/>
  <c r="EG112" i="3" a="1"/>
  <c r="EG112" i="3" s="1"/>
  <c r="EH112" i="3" s="1" a="1"/>
  <c r="EH112" i="3" s="1"/>
  <c r="EI112" i="3" s="1" a="1"/>
  <c r="EI112" i="3" s="1"/>
  <c r="EG60" i="3" a="1"/>
  <c r="EG60" i="3" s="1"/>
  <c r="EH60" i="3" s="1" a="1"/>
  <c r="EH60" i="3" s="1"/>
  <c r="EI60" i="3" s="1" a="1"/>
  <c r="EI60" i="3" s="1"/>
  <c r="EG97" i="3" a="1"/>
  <c r="EG97" i="3" s="1"/>
  <c r="EH97" i="3" s="1" a="1"/>
  <c r="EH97" i="3" s="1"/>
  <c r="EI97" i="3" s="1" a="1"/>
  <c r="EI97" i="3" s="1"/>
  <c r="EG36" i="3" a="1"/>
  <c r="EG36" i="3" s="1"/>
  <c r="EH36" i="3" s="1" a="1"/>
  <c r="EH36" i="3" s="1"/>
  <c r="EI36" i="3" s="1" a="1"/>
  <c r="EI36" i="3" s="1"/>
  <c r="EG48" i="3" a="1"/>
  <c r="EG48" i="3" s="1"/>
  <c r="EH48" i="3" s="1" a="1"/>
  <c r="EH48" i="3" s="1"/>
  <c r="EI48" i="3" s="1" a="1"/>
  <c r="EI48" i="3" s="1"/>
  <c r="EG38" i="3" a="1"/>
  <c r="EG38" i="3" s="1"/>
  <c r="EH38" i="3" s="1" a="1"/>
  <c r="EH38" i="3" s="1"/>
  <c r="EI38" i="3" s="1" a="1"/>
  <c r="EI38" i="3" s="1"/>
  <c r="EG63" i="3" a="1"/>
  <c r="EG63" i="3" s="1"/>
  <c r="EH63" i="3" s="1" a="1"/>
  <c r="EH63" i="3" s="1"/>
  <c r="EI63" i="3" s="1" a="1"/>
  <c r="EI63" i="3" s="1"/>
  <c r="EG56" i="3" a="1"/>
  <c r="EG56" i="3" s="1"/>
  <c r="EH56" i="3" s="1" a="1"/>
  <c r="EH56" i="3" s="1"/>
  <c r="EI56" i="3" s="1" a="1"/>
  <c r="EI56" i="3" s="1"/>
  <c r="EG31" i="3" a="1"/>
  <c r="EG31" i="3" s="1"/>
  <c r="EH31" i="3" s="1" a="1"/>
  <c r="EH31" i="3" s="1"/>
  <c r="EI31" i="3" s="1" a="1"/>
  <c r="EI31" i="3" s="1"/>
  <c r="EG22" i="3" a="1"/>
  <c r="EG22" i="3" s="1"/>
  <c r="EH22" i="3" s="1" a="1"/>
  <c r="EH22" i="3" s="1"/>
  <c r="EI22" i="3" s="1" a="1"/>
  <c r="EI22" i="3" s="1"/>
  <c r="FE28" i="3" s="1" a="1"/>
  <c r="FE28" i="3" s="1"/>
  <c r="EG34" i="3" a="1"/>
  <c r="EG34" i="3" s="1"/>
  <c r="EH34" i="3" s="1" a="1"/>
  <c r="EH34" i="3" s="1"/>
  <c r="EI34" i="3" s="1" a="1"/>
  <c r="EI34" i="3" s="1"/>
  <c r="EG85" i="3" a="1"/>
  <c r="EG85" i="3" s="1"/>
  <c r="EH85" i="3" s="1" a="1"/>
  <c r="EH85" i="3" s="1"/>
  <c r="EI85" i="3" s="1" a="1"/>
  <c r="EI85" i="3" s="1"/>
  <c r="EG23" i="3" a="1"/>
  <c r="EG23" i="3" s="1"/>
  <c r="EH23" i="3" s="1" a="1"/>
  <c r="EH23" i="3" s="1"/>
  <c r="EI23" i="3" s="1" a="1"/>
  <c r="EI23" i="3" s="1"/>
  <c r="FE29" i="3" s="1" a="1"/>
  <c r="FE29" i="3" s="1"/>
  <c r="EG21" i="3" a="1"/>
  <c r="EG21" i="3" s="1"/>
  <c r="EH21" i="3" s="1" a="1"/>
  <c r="EH21" i="3" s="1"/>
  <c r="EI21" i="3" s="1" a="1"/>
  <c r="EI21" i="3" s="1"/>
  <c r="FE27" i="3" s="1" a="1"/>
  <c r="FE27" i="3" s="1"/>
  <c r="EG30" i="3" a="1"/>
  <c r="EG30" i="3" s="1"/>
  <c r="EH30" i="3" s="1" a="1"/>
  <c r="EH30" i="3" s="1"/>
  <c r="EI30" i="3" s="1" a="1"/>
  <c r="EI30" i="3" s="1"/>
  <c r="EG91" i="3" a="1"/>
  <c r="EG91" i="3" s="1"/>
  <c r="EH91" i="3" s="1" a="1"/>
  <c r="EH91" i="3" s="1"/>
  <c r="EI91" i="3" s="1" a="1"/>
  <c r="EI91" i="3" s="1"/>
  <c r="EG118" i="3" a="1"/>
  <c r="EG118" i="3" s="1"/>
  <c r="EH118" i="3" s="1" a="1"/>
  <c r="EH118" i="3" s="1"/>
  <c r="EI118" i="3" s="1" a="1"/>
  <c r="EI118" i="3" s="1"/>
  <c r="EG125" i="3" a="1"/>
  <c r="EG125" i="3" s="1"/>
  <c r="EH125" i="3" s="1" a="1"/>
  <c r="EH125" i="3" s="1"/>
  <c r="EI125" i="3" s="1" a="1"/>
  <c r="EI125" i="3" s="1"/>
  <c r="EG113" i="3" a="1"/>
  <c r="EG113" i="3" s="1"/>
  <c r="EH113" i="3" s="1" a="1"/>
  <c r="EH113" i="3" s="1"/>
  <c r="EI113" i="3" s="1" a="1"/>
  <c r="EI113" i="3" s="1"/>
  <c r="EG66" i="3" a="1"/>
  <c r="EG66" i="3" s="1"/>
  <c r="EH66" i="3" s="1" a="1"/>
  <c r="EH66" i="3" s="1"/>
  <c r="EI66" i="3" s="1" a="1"/>
  <c r="EI66" i="3" s="1"/>
  <c r="EG40" i="3" a="1"/>
  <c r="EG40" i="3" s="1"/>
  <c r="EH40" i="3" s="1" a="1"/>
  <c r="EH40" i="3" s="1"/>
  <c r="EI40" i="3" s="1" a="1"/>
  <c r="EI40" i="3" s="1"/>
  <c r="EG127" i="3" a="1"/>
  <c r="EG127" i="3" s="1"/>
  <c r="EH127" i="3" s="1" a="1"/>
  <c r="EH127" i="3" s="1"/>
  <c r="EI127" i="3" s="1" a="1"/>
  <c r="EI127" i="3" s="1"/>
  <c r="EG105" i="3" a="1"/>
  <c r="EG105" i="3" s="1"/>
  <c r="EH105" i="3" s="1" a="1"/>
  <c r="EH105" i="3" s="1"/>
  <c r="EI105" i="3" s="1" a="1"/>
  <c r="EI105" i="3" s="1"/>
  <c r="EG140" i="3" a="1"/>
  <c r="EG140" i="3" s="1"/>
  <c r="EH140" i="3" s="1" a="1"/>
  <c r="EH140" i="3" s="1"/>
  <c r="EI140" i="3" s="1" a="1"/>
  <c r="EI140" i="3" s="1"/>
  <c r="EG111" i="3" a="1"/>
  <c r="EG111" i="3" s="1"/>
  <c r="EH111" i="3" s="1" a="1"/>
  <c r="EH111" i="3" s="1"/>
  <c r="EI111" i="3" s="1" a="1"/>
  <c r="EI111" i="3" s="1"/>
  <c r="EG83" i="3" a="1"/>
  <c r="EG83" i="3" s="1"/>
  <c r="EH83" i="3" s="1" a="1"/>
  <c r="EH83" i="3" s="1"/>
  <c r="EI83" i="3" s="1" a="1"/>
  <c r="EI83" i="3" s="1"/>
  <c r="EG71" i="3" a="1"/>
  <c r="EG71" i="3" s="1"/>
  <c r="EH71" i="3" s="1" a="1"/>
  <c r="EH71" i="3" s="1"/>
  <c r="EI71" i="3" s="1" a="1"/>
  <c r="EI71" i="3" s="1"/>
  <c r="EG29" i="3" a="1"/>
  <c r="EG29" i="3" s="1"/>
  <c r="EH29" i="3" s="1" a="1"/>
  <c r="EH29" i="3" s="1"/>
  <c r="EI29" i="3" s="1" a="1"/>
  <c r="EI29" i="3" s="1"/>
  <c r="EG117" i="3" a="1"/>
  <c r="EG117" i="3" s="1"/>
  <c r="EH117" i="3" s="1" a="1"/>
  <c r="EH117" i="3" s="1"/>
  <c r="EI117" i="3" s="1" a="1"/>
  <c r="EI117" i="3" s="1"/>
  <c r="EG54" i="3" a="1"/>
  <c r="EG54" i="3" s="1"/>
  <c r="EH54" i="3" s="1" a="1"/>
  <c r="EH54" i="3" s="1"/>
  <c r="EI54" i="3" s="1" a="1"/>
  <c r="EI54" i="3" s="1"/>
  <c r="EG106" i="3" a="1"/>
  <c r="EG106" i="3" s="1"/>
  <c r="EH106" i="3" s="1" a="1"/>
  <c r="EH106" i="3" s="1"/>
  <c r="EI106" i="3" s="1" a="1"/>
  <c r="EI106" i="3" s="1"/>
  <c r="EG108" i="3" a="1"/>
  <c r="EG108" i="3" s="1"/>
  <c r="EH108" i="3" s="1" a="1"/>
  <c r="EH108" i="3" s="1"/>
  <c r="EI108" i="3" s="1" a="1"/>
  <c r="EI108" i="3" s="1"/>
  <c r="EG80" i="3" a="1"/>
  <c r="EG80" i="3" s="1"/>
  <c r="EH80" i="3" s="1" a="1"/>
  <c r="EH80" i="3" s="1"/>
  <c r="EI80" i="3" s="1" a="1"/>
  <c r="EI80" i="3" s="1"/>
  <c r="EG139" i="3" a="1"/>
  <c r="EG139" i="3" s="1"/>
  <c r="EH139" i="3" s="1" a="1"/>
  <c r="EH139" i="3" s="1"/>
  <c r="EI139" i="3" s="1" a="1"/>
  <c r="EI139" i="3" s="1"/>
  <c r="EG95" i="3" a="1"/>
  <c r="EG95" i="3" s="1"/>
  <c r="EH95" i="3" s="1" a="1"/>
  <c r="EH95" i="3" s="1"/>
  <c r="EI95" i="3" s="1" a="1"/>
  <c r="EI95" i="3" s="1"/>
  <c r="EG103" i="3" a="1"/>
  <c r="EG103" i="3" s="1"/>
  <c r="EH103" i="3" s="1" a="1"/>
  <c r="EH103" i="3" s="1"/>
  <c r="EI103" i="3" s="1" a="1"/>
  <c r="EI103" i="3" s="1"/>
  <c r="EG96" i="3" a="1"/>
  <c r="EG96" i="3" s="1"/>
  <c r="EH96" i="3" s="1" a="1"/>
  <c r="EH96" i="3" s="1"/>
  <c r="EI96" i="3" s="1" a="1"/>
  <c r="EI96" i="3" s="1"/>
  <c r="EG102" i="3" a="1"/>
  <c r="EG102" i="3" s="1"/>
  <c r="EH102" i="3" s="1" a="1"/>
  <c r="EH102" i="3" s="1"/>
  <c r="EI102" i="3" s="1" a="1"/>
  <c r="EI102" i="3" s="1"/>
  <c r="EG68" i="3" a="1"/>
  <c r="EG68" i="3" s="1"/>
  <c r="EH68" i="3" s="1" a="1"/>
  <c r="EH68" i="3" s="1"/>
  <c r="EI68" i="3" s="1" a="1"/>
  <c r="EI68" i="3" s="1"/>
  <c r="EG107" i="3" a="1"/>
  <c r="EG107" i="3" s="1"/>
  <c r="EH107" i="3" s="1" a="1"/>
  <c r="EH107" i="3" s="1"/>
  <c r="EI107" i="3" s="1" a="1"/>
  <c r="EI107" i="3" s="1"/>
  <c r="EG101" i="3" a="1"/>
  <c r="EG101" i="3" s="1"/>
  <c r="EH101" i="3" s="1" a="1"/>
  <c r="EH101" i="3" s="1"/>
  <c r="EI101" i="3" s="1" a="1"/>
  <c r="EI101" i="3" s="1"/>
  <c r="EG61" i="3" a="1"/>
  <c r="EG61" i="3" s="1"/>
  <c r="EH61" i="3" s="1" a="1"/>
  <c r="EH61" i="3" s="1"/>
  <c r="EI61" i="3" s="1" a="1"/>
  <c r="EI61" i="3" s="1"/>
  <c r="EG115" i="3" a="1"/>
  <c r="EG115" i="3" s="1"/>
  <c r="EH115" i="3" s="1" a="1"/>
  <c r="EH115" i="3" s="1"/>
  <c r="EI115" i="3" s="1" a="1"/>
  <c r="EI115" i="3" s="1"/>
  <c r="EG87" i="3" a="1"/>
  <c r="EG87" i="3" s="1"/>
  <c r="EH87" i="3" s="1" a="1"/>
  <c r="EH87" i="3" s="1"/>
  <c r="EI87" i="3" s="1" a="1"/>
  <c r="EI87" i="3" s="1"/>
  <c r="EG81" i="3" a="1"/>
  <c r="EG81" i="3" s="1"/>
  <c r="EH81" i="3" s="1" a="1"/>
  <c r="EH81" i="3" s="1"/>
  <c r="EI81" i="3" s="1" a="1"/>
  <c r="EI81" i="3" s="1"/>
  <c r="EG82" i="3" a="1"/>
  <c r="EG82" i="3" s="1"/>
  <c r="EH82" i="3" s="1" a="1"/>
  <c r="EH82" i="3" s="1"/>
  <c r="EI82" i="3" s="1" a="1"/>
  <c r="EI82" i="3" s="1"/>
  <c r="EG119" i="3" a="1"/>
  <c r="EG119" i="3" s="1"/>
  <c r="EH119" i="3" s="1" a="1"/>
  <c r="EH119" i="3" s="1"/>
  <c r="EI119" i="3" s="1" a="1"/>
  <c r="EI119" i="3" s="1"/>
  <c r="EG88" i="3" a="1"/>
  <c r="EG88" i="3" s="1"/>
  <c r="EH88" i="3" s="1" a="1"/>
  <c r="EH88" i="3" s="1"/>
  <c r="EI88" i="3" s="1" a="1"/>
  <c r="EI88" i="3" s="1"/>
  <c r="EG74" i="3" a="1"/>
  <c r="EG74" i="3" s="1"/>
  <c r="EH74" i="3" s="1" a="1"/>
  <c r="EH74" i="3" s="1"/>
  <c r="EI74" i="3" s="1" a="1"/>
  <c r="EI74" i="3" s="1"/>
  <c r="EG89" i="3" a="1"/>
  <c r="EG89" i="3" s="1"/>
  <c r="EH89" i="3" s="1" a="1"/>
  <c r="EH89" i="3" s="1"/>
  <c r="EI89" i="3" s="1" a="1"/>
  <c r="EI89" i="3" s="1"/>
  <c r="EG126" i="3" a="1"/>
  <c r="EG126" i="3" s="1"/>
  <c r="EH126" i="3" s="1" a="1"/>
  <c r="EH126" i="3" s="1"/>
  <c r="EI126" i="3" s="1" a="1"/>
  <c r="EI126" i="3" s="1"/>
  <c r="EG92" i="3" a="1"/>
  <c r="EG92" i="3" s="1"/>
  <c r="EH92" i="3" s="1" a="1"/>
  <c r="EH92" i="3" s="1"/>
  <c r="EI92" i="3" s="1" a="1"/>
  <c r="EI92" i="3" s="1"/>
  <c r="EG109" i="3" a="1"/>
  <c r="EG109" i="3" s="1"/>
  <c r="EH109" i="3" s="1" a="1"/>
  <c r="EH109" i="3" s="1"/>
  <c r="EI109" i="3" s="1" a="1"/>
  <c r="EI109" i="3" s="1"/>
  <c r="EG116" i="3" a="1"/>
  <c r="EG116" i="3" s="1"/>
  <c r="EH116" i="3" s="1" a="1"/>
  <c r="EH116" i="3" s="1"/>
  <c r="EI116" i="3" s="1" a="1"/>
  <c r="EI116" i="3" s="1"/>
  <c r="EG128" i="3" a="1"/>
  <c r="EG128" i="3" s="1"/>
  <c r="EH128" i="3" s="1" a="1"/>
  <c r="EH128" i="3" s="1"/>
  <c r="EI128" i="3" s="1" a="1"/>
  <c r="EI128" i="3" s="1"/>
  <c r="EG133" i="3" a="1"/>
  <c r="EG133" i="3" s="1"/>
  <c r="EH133" i="3" s="1" a="1"/>
  <c r="EH133" i="3" s="1"/>
  <c r="EI133" i="3" s="1" a="1"/>
  <c r="EI133" i="3" s="1"/>
  <c r="EC174" i="3" a="1"/>
  <c r="EC174" i="3" s="1"/>
  <c r="EE174" i="3" a="1"/>
  <c r="EE174" i="3" s="1"/>
  <c r="EC181" i="3" a="1"/>
  <c r="EC181" i="3" s="1"/>
  <c r="EE181" i="3" a="1"/>
  <c r="EE181" i="3" s="1"/>
  <c r="EG99" i="3" a="1"/>
  <c r="EG99" i="3" s="1"/>
  <c r="EH99" i="3" s="1" a="1"/>
  <c r="EH99" i="3" s="1"/>
  <c r="EI99" i="3" s="1" a="1"/>
  <c r="EI99" i="3" s="1"/>
  <c r="DS170" i="3"/>
  <c r="DU170" i="3" a="1"/>
  <c r="DU170" i="3" s="1"/>
  <c r="DV170" i="3" a="1"/>
  <c r="DV170" i="3" s="1"/>
  <c r="DU158" i="3" a="1"/>
  <c r="DU158" i="3" s="1"/>
  <c r="DV158" i="3" a="1"/>
  <c r="DV158" i="3" s="1"/>
  <c r="DS158" i="3"/>
  <c r="ED143" i="3"/>
  <c r="EG143" i="3" a="1"/>
  <c r="EG143" i="3" s="1"/>
  <c r="EF143" i="3" a="1"/>
  <c r="EF143" i="3" s="1"/>
  <c r="EG155" i="3" a="1"/>
  <c r="EG155" i="3" s="1"/>
  <c r="ED155" i="3"/>
  <c r="EF155" i="3" a="1"/>
  <c r="EF155" i="3" s="1"/>
  <c r="EG167" i="3" a="1"/>
  <c r="EG167" i="3" s="1"/>
  <c r="EF167" i="3" a="1"/>
  <c r="EF167" i="3" s="1"/>
  <c r="ED167" i="3"/>
  <c r="DW162" i="3" a="1"/>
  <c r="DW162" i="3" s="1"/>
  <c r="DW138" i="3" a="1"/>
  <c r="DW138" i="3" s="1"/>
  <c r="DW181" i="3" a="1"/>
  <c r="DW181" i="3" s="1"/>
  <c r="DW169" i="3" a="1"/>
  <c r="DW169" i="3" s="1"/>
  <c r="EG148" i="3" a="1"/>
  <c r="EG148" i="3" s="1"/>
  <c r="EH148" i="3" s="1" a="1"/>
  <c r="EH148" i="3" s="1"/>
  <c r="EI148" i="3" s="1" a="1"/>
  <c r="EI148" i="3" s="1"/>
  <c r="EG160" i="3" a="1"/>
  <c r="EG160" i="3" s="1"/>
  <c r="EH160" i="3" s="1" a="1"/>
  <c r="EH160" i="3" s="1"/>
  <c r="EI160" i="3" s="1" a="1"/>
  <c r="EI160" i="3" s="1"/>
  <c r="EG130" i="3" a="1"/>
  <c r="EG130" i="3" s="1"/>
  <c r="EH130" i="3" s="1" a="1"/>
  <c r="EH130" i="3" s="1"/>
  <c r="EI130" i="3" s="1" a="1"/>
  <c r="EI130" i="3" s="1"/>
  <c r="EG135" i="3" a="1"/>
  <c r="EG135" i="3" s="1"/>
  <c r="EH135" i="3" s="1" a="1"/>
  <c r="EH135" i="3" s="1"/>
  <c r="EI135" i="3" s="1" a="1"/>
  <c r="EI135" i="3" s="1"/>
  <c r="EG142" i="3" a="1"/>
  <c r="EG142" i="3" s="1"/>
  <c r="EH142" i="3" s="1" a="1"/>
  <c r="EH142" i="3" s="1"/>
  <c r="EI142" i="3" s="1" a="1"/>
  <c r="EI142" i="3" s="1"/>
  <c r="EG154" i="3" a="1"/>
  <c r="EG154" i="3" s="1"/>
  <c r="EH154" i="3" s="1" a="1"/>
  <c r="EH154" i="3" s="1"/>
  <c r="EI154" i="3" s="1" a="1"/>
  <c r="EI154" i="3" s="1"/>
  <c r="EG153" i="3" a="1"/>
  <c r="EG153" i="3" s="1"/>
  <c r="EH153" i="3" s="1" a="1"/>
  <c r="EH153" i="3" s="1"/>
  <c r="EI153" i="3" s="1" a="1"/>
  <c r="EI153" i="3" s="1"/>
  <c r="EG122" i="3" a="1"/>
  <c r="EG122" i="3" s="1"/>
  <c r="EH122" i="3" s="1" a="1"/>
  <c r="EH122" i="3" s="1"/>
  <c r="EI122" i="3" s="1" a="1"/>
  <c r="EI122" i="3" s="1"/>
  <c r="EG147" i="3" a="1"/>
  <c r="EG147" i="3" s="1"/>
  <c r="EH147" i="3" s="1" a="1"/>
  <c r="EH147" i="3" s="1"/>
  <c r="EI147" i="3" s="1" a="1"/>
  <c r="EI147" i="3" s="1"/>
  <c r="EG55" i="3" a="1"/>
  <c r="EG55" i="3" s="1"/>
  <c r="EH55" i="3" s="1" a="1"/>
  <c r="EH55" i="3" s="1"/>
  <c r="EI55" i="3" s="1" a="1"/>
  <c r="EI55" i="3" s="1"/>
  <c r="EG120" i="3" a="1"/>
  <c r="EG120" i="3" s="1"/>
  <c r="EH120" i="3" s="1" a="1"/>
  <c r="EH120" i="3" s="1"/>
  <c r="EI120" i="3" s="1" a="1"/>
  <c r="EI120" i="3" s="1"/>
  <c r="EG67" i="3" a="1"/>
  <c r="EG67" i="3" s="1"/>
  <c r="EH67" i="3" s="1" a="1"/>
  <c r="EH67" i="3" s="1"/>
  <c r="EI67" i="3" s="1" a="1"/>
  <c r="EI67" i="3" s="1"/>
  <c r="EG72" i="3" a="1"/>
  <c r="EG72" i="3" s="1"/>
  <c r="EH72" i="3" s="1" a="1"/>
  <c r="EH72" i="3" s="1"/>
  <c r="EI72" i="3" s="1" a="1"/>
  <c r="EI72" i="3" s="1"/>
  <c r="CT20" i="3"/>
  <c r="CT27" i="3"/>
  <c r="CT41" i="3"/>
  <c r="EG64" i="3" a="1"/>
  <c r="EG64" i="3" s="1"/>
  <c r="EH64" i="3" s="1" a="1"/>
  <c r="EH64" i="3" s="1"/>
  <c r="EI64" i="3" s="1" a="1"/>
  <c r="EI64" i="3" s="1"/>
  <c r="EG47" i="3" a="1"/>
  <c r="EG47" i="3" s="1"/>
  <c r="EH47" i="3" s="1" a="1"/>
  <c r="EH47" i="3" s="1"/>
  <c r="EI47" i="3" s="1" a="1"/>
  <c r="EI47" i="3" s="1"/>
  <c r="EG104" i="3" a="1"/>
  <c r="EG104" i="3" s="1"/>
  <c r="EH104" i="3" s="1" a="1"/>
  <c r="EH104" i="3" s="1"/>
  <c r="EI104" i="3" s="1" a="1"/>
  <c r="EI104" i="3" s="1"/>
  <c r="EG86" i="3" a="1"/>
  <c r="EG86" i="3" s="1"/>
  <c r="EH86" i="3" s="1" a="1"/>
  <c r="EH86" i="3" s="1"/>
  <c r="EI86" i="3" s="1" a="1"/>
  <c r="EI86" i="3" s="1"/>
  <c r="CT28" i="3"/>
  <c r="EG50" i="3" a="1"/>
  <c r="EG50" i="3" s="1"/>
  <c r="EH50" i="3" s="1" a="1"/>
  <c r="EH50" i="3" s="1"/>
  <c r="EI50" i="3" s="1" a="1"/>
  <c r="EI50" i="3" s="1"/>
  <c r="EG65" i="3" a="1"/>
  <c r="EG65" i="3" s="1"/>
  <c r="EH65" i="3" s="1" a="1"/>
  <c r="EH65" i="3" s="1"/>
  <c r="EI65" i="3" s="1" a="1"/>
  <c r="EI65" i="3" s="1"/>
  <c r="EG75" i="3" a="1"/>
  <c r="EG75" i="3" s="1"/>
  <c r="EH75" i="3" s="1" a="1"/>
  <c r="EH75" i="3" s="1"/>
  <c r="EI75" i="3" s="1" a="1"/>
  <c r="EI75" i="3" s="1"/>
  <c r="EG53" i="3" a="1"/>
  <c r="EG53" i="3" s="1"/>
  <c r="EH53" i="3" s="1" a="1"/>
  <c r="EH53" i="3" s="1"/>
  <c r="EI53" i="3" s="1" a="1"/>
  <c r="EI53" i="3" s="1"/>
  <c r="EG90" i="3" a="1"/>
  <c r="EG90" i="3" s="1"/>
  <c r="EH90" i="3" s="1" a="1"/>
  <c r="EH90" i="3" s="1"/>
  <c r="EI90" i="3" s="1" a="1"/>
  <c r="EI90" i="3" s="1"/>
  <c r="EG58" i="3" a="1"/>
  <c r="EG58" i="3" s="1"/>
  <c r="EH58" i="3" s="1" a="1"/>
  <c r="EH58" i="3" s="1"/>
  <c r="EI58" i="3" s="1" a="1"/>
  <c r="EI58" i="3" s="1"/>
  <c r="CT33" i="3"/>
  <c r="EG76" i="3" a="1"/>
  <c r="EG76" i="3" s="1"/>
  <c r="EH76" i="3" s="1" a="1"/>
  <c r="EH76" i="3" s="1"/>
  <c r="EI76" i="3" s="1" a="1"/>
  <c r="EI76" i="3" s="1"/>
  <c r="EG84" i="3" a="1"/>
  <c r="EG84" i="3" s="1"/>
  <c r="EH84" i="3" s="1" a="1"/>
  <c r="EH84" i="3" s="1"/>
  <c r="EI84" i="3" s="1" a="1"/>
  <c r="EI84" i="3" s="1"/>
  <c r="EG44" i="3" a="1"/>
  <c r="EG44" i="3" s="1"/>
  <c r="EH44" i="3" s="1" a="1"/>
  <c r="EH44" i="3" s="1"/>
  <c r="EI44" i="3" s="1" a="1"/>
  <c r="EI44" i="3" s="1"/>
  <c r="EG62" i="3" a="1"/>
  <c r="EG62" i="3" s="1"/>
  <c r="EH62" i="3" s="1" a="1"/>
  <c r="EH62" i="3" s="1"/>
  <c r="EI62" i="3" s="1" a="1"/>
  <c r="EI62" i="3" s="1"/>
  <c r="EG57" i="3" a="1"/>
  <c r="EG57" i="3" s="1"/>
  <c r="EH57" i="3" s="1" a="1"/>
  <c r="EH57" i="3" s="1"/>
  <c r="EI57" i="3" s="1" a="1"/>
  <c r="EI57" i="3" s="1"/>
  <c r="EG26" i="3" a="1"/>
  <c r="EG26" i="3" s="1"/>
  <c r="EH26" i="3" s="1" a="1"/>
  <c r="EH26" i="3" s="1"/>
  <c r="EI26" i="3" s="1" a="1"/>
  <c r="EI26" i="3" s="1"/>
  <c r="FE32" i="3" s="1" a="1"/>
  <c r="FE32" i="3" s="1"/>
  <c r="EG37" i="3" a="1"/>
  <c r="EG37" i="3" s="1"/>
  <c r="EH37" i="3" s="1" a="1"/>
  <c r="EH37" i="3" s="1"/>
  <c r="EI37" i="3" s="1" a="1"/>
  <c r="EI37" i="3" s="1"/>
  <c r="EG42" i="3" a="1"/>
  <c r="EG42" i="3" s="1"/>
  <c r="EH42" i="3" s="1" a="1"/>
  <c r="EH42" i="3" s="1"/>
  <c r="EI42" i="3" s="1" a="1"/>
  <c r="EI42" i="3" s="1"/>
  <c r="EG41" i="3" a="1"/>
  <c r="EG41" i="3" s="1"/>
  <c r="EH41" i="3" s="1" a="1"/>
  <c r="EH41" i="3" s="1"/>
  <c r="EI41" i="3" s="1" a="1"/>
  <c r="EI41" i="3" s="1"/>
  <c r="CT24" i="3"/>
  <c r="CT34" i="3"/>
  <c r="EG52" i="3" a="1"/>
  <c r="EG52" i="3" s="1"/>
  <c r="EH52" i="3" s="1" a="1"/>
  <c r="EH52" i="3" s="1"/>
  <c r="EI52" i="3" s="1" a="1"/>
  <c r="EI52" i="3" s="1"/>
  <c r="EG100" i="3" a="1"/>
  <c r="EG100" i="3" s="1"/>
  <c r="EH100" i="3" s="1" a="1"/>
  <c r="EH100" i="3" s="1"/>
  <c r="EI100" i="3" s="1" a="1"/>
  <c r="EI100" i="3" s="1"/>
  <c r="EG79" i="3" a="1"/>
  <c r="EG79" i="3" s="1"/>
  <c r="EH79" i="3" s="1" a="1"/>
  <c r="EH79" i="3" s="1"/>
  <c r="EI79" i="3" s="1" a="1"/>
  <c r="EI79" i="3" s="1"/>
  <c r="EG59" i="3" a="1"/>
  <c r="EG59" i="3" s="1"/>
  <c r="EH59" i="3" s="1" a="1"/>
  <c r="EH59" i="3" s="1"/>
  <c r="EI59" i="3" s="1" a="1"/>
  <c r="EI59" i="3" s="1"/>
  <c r="EG39" i="3" a="1"/>
  <c r="EG39" i="3" s="1"/>
  <c r="EH39" i="3" s="1" a="1"/>
  <c r="EH39" i="3" s="1"/>
  <c r="EI39" i="3" s="1" a="1"/>
  <c r="EI39" i="3" s="1"/>
  <c r="EG73" i="3" a="1"/>
  <c r="EG73" i="3" s="1"/>
  <c r="EH73" i="3" s="1" a="1"/>
  <c r="EH73" i="3" s="1"/>
  <c r="EI73" i="3" s="1" a="1"/>
  <c r="EI73" i="3" s="1"/>
  <c r="EG24" i="3" a="1"/>
  <c r="EG24" i="3" s="1"/>
  <c r="EH24" i="3" s="1" a="1"/>
  <c r="EH24" i="3" s="1"/>
  <c r="EI24" i="3" s="1" a="1"/>
  <c r="EI24" i="3" s="1"/>
  <c r="FE30" i="3" s="1" a="1"/>
  <c r="FE30" i="3" s="1"/>
  <c r="EG25" i="3" a="1"/>
  <c r="EG25" i="3" s="1"/>
  <c r="EH25" i="3" s="1" a="1"/>
  <c r="EH25" i="3" s="1"/>
  <c r="EI25" i="3" s="1" a="1"/>
  <c r="EI25" i="3" s="1"/>
  <c r="FE31" i="3" s="1" a="1"/>
  <c r="FE31" i="3" s="1"/>
  <c r="EG32" i="3" a="1"/>
  <c r="EG32" i="3" s="1"/>
  <c r="EH32" i="3" s="1" a="1"/>
  <c r="EH32" i="3" s="1"/>
  <c r="EI32" i="3" s="1" a="1"/>
  <c r="EI32" i="3" s="1"/>
  <c r="CT21" i="3"/>
  <c r="EG28" i="3" a="1"/>
  <c r="EG28" i="3" s="1"/>
  <c r="EH28" i="3" s="1" a="1"/>
  <c r="EH28" i="3" s="1"/>
  <c r="EI28" i="3" s="1" a="1"/>
  <c r="EI28" i="3" s="1"/>
  <c r="CT36" i="3"/>
  <c r="CT30" i="3"/>
  <c r="DT176" i="3" a="1"/>
  <c r="DT171" i="3" a="1"/>
  <c r="EE137" i="3" a="1"/>
  <c r="DT164" i="3" a="1"/>
  <c r="EE144" i="3" a="1"/>
  <c r="EE150" i="3" a="1"/>
  <c r="DT159" i="3" a="1"/>
  <c r="DT152" i="3" a="1"/>
  <c r="DT183" i="3" a="1"/>
  <c r="EE162" i="3" a="1"/>
  <c r="EE156" i="3" a="1"/>
  <c r="EE168" i="3" a="1"/>
  <c r="ED124" i="3" l="1"/>
  <c r="DU175" i="3" a="1"/>
  <c r="DU175" i="3" s="1"/>
  <c r="EF124" i="3" a="1"/>
  <c r="EF124" i="3" s="1"/>
  <c r="DV175" i="3" a="1"/>
  <c r="DV175" i="3" s="1"/>
  <c r="DW175" i="3" s="1" a="1"/>
  <c r="DW175" i="3" s="1"/>
  <c r="DW170" i="3" a="1"/>
  <c r="DW170" i="3" s="1"/>
  <c r="EF161" i="3" a="1"/>
  <c r="EF161" i="3" s="1"/>
  <c r="EF136" i="3" a="1"/>
  <c r="EF136" i="3" s="1"/>
  <c r="DU182" i="3" a="1"/>
  <c r="DU182" i="3" s="1"/>
  <c r="DW182" i="3" s="1" a="1"/>
  <c r="DW182" i="3" s="1"/>
  <c r="ED136" i="3"/>
  <c r="DS182" i="3"/>
  <c r="DT176" i="3"/>
  <c r="DU176" i="3" s="1" a="1"/>
  <c r="DU176" i="3" s="1"/>
  <c r="DT171" i="3"/>
  <c r="DU171" i="3" s="1" a="1"/>
  <c r="DU171" i="3" s="1"/>
  <c r="EE156" i="3"/>
  <c r="DT183" i="3"/>
  <c r="DU183" i="3" s="1" a="1"/>
  <c r="DU183" i="3" s="1"/>
  <c r="EE162" i="3"/>
  <c r="ED162" i="3" s="1"/>
  <c r="DT152" i="3"/>
  <c r="DS152" i="3" s="1"/>
  <c r="EE144" i="3"/>
  <c r="EG144" i="3" s="1" a="1"/>
  <c r="EG144" i="3" s="1"/>
  <c r="EE150" i="3"/>
  <c r="DT159" i="3"/>
  <c r="DT164" i="3"/>
  <c r="DU164" i="3" s="1" a="1"/>
  <c r="DU164" i="3" s="1"/>
  <c r="EE168" i="3"/>
  <c r="ED168" i="3" s="1"/>
  <c r="EE137" i="3"/>
  <c r="EF137" i="3" s="1" a="1"/>
  <c r="EF137" i="3" s="1"/>
  <c r="EF131" i="3" a="1"/>
  <c r="EF131" i="3" s="1"/>
  <c r="EG131" i="3" a="1"/>
  <c r="EG131" i="3" s="1"/>
  <c r="DW158" i="3" a="1"/>
  <c r="DW158" i="3" s="1"/>
  <c r="EH124" i="3" a="1"/>
  <c r="EH124" i="3" s="1"/>
  <c r="EI124" i="3" s="1" a="1"/>
  <c r="EI124" i="3" s="1"/>
  <c r="ED150" i="3"/>
  <c r="EG150" i="3" a="1"/>
  <c r="EG150" i="3" s="1"/>
  <c r="EF150" i="3" a="1"/>
  <c r="EF150" i="3" s="1"/>
  <c r="ED174" i="3"/>
  <c r="EF174" i="3" a="1"/>
  <c r="EF174" i="3" s="1"/>
  <c r="EG174" i="3" a="1"/>
  <c r="EG174" i="3" s="1"/>
  <c r="EF181" i="3" a="1"/>
  <c r="EF181" i="3" s="1"/>
  <c r="EG181" i="3" a="1"/>
  <c r="EG181" i="3" s="1"/>
  <c r="ED181" i="3"/>
  <c r="DU159" i="3" a="1"/>
  <c r="DU159" i="3" s="1"/>
  <c r="DV159" i="3" a="1"/>
  <c r="DV159" i="3" s="1"/>
  <c r="DW159" i="3" s="1" a="1"/>
  <c r="DW159" i="3" s="1"/>
  <c r="DS159" i="3"/>
  <c r="ED137" i="3"/>
  <c r="EG137" i="3" a="1"/>
  <c r="EG137" i="3" s="1"/>
  <c r="ED144" i="3"/>
  <c r="ED156" i="3"/>
  <c r="EG156" i="3" a="1"/>
  <c r="EG156" i="3" s="1"/>
  <c r="EF156" i="3" a="1"/>
  <c r="EF156" i="3" s="1"/>
  <c r="BT6" i="3" a="1"/>
  <c r="BT6" i="3" s="1"/>
  <c r="BW6" i="3" s="1"/>
  <c r="D50" i="9" s="1" a="1"/>
  <c r="D50" i="9" s="1"/>
  <c r="BR5" i="3"/>
  <c r="BR6" i="3"/>
  <c r="BZ48" i="3" a="1"/>
  <c r="BZ48" i="3" s="1"/>
  <c r="BT5" i="3" a="1"/>
  <c r="BT5" i="3" s="1"/>
  <c r="BU5" i="3"/>
  <c r="C49" i="9"/>
  <c r="BZ51" i="3"/>
  <c r="C50" i="9"/>
  <c r="BU6" i="3"/>
  <c r="DW151" i="3" a="1"/>
  <c r="DW151" i="3" s="1"/>
  <c r="EH149" i="3" a="1"/>
  <c r="EH149" i="3" s="1"/>
  <c r="EI149" i="3" s="1" a="1"/>
  <c r="EI149" i="3" s="1"/>
  <c r="DW163" i="3" a="1"/>
  <c r="DW163" i="3" s="1"/>
  <c r="EH161" i="3" a="1"/>
  <c r="EH161" i="3" s="1"/>
  <c r="EI161" i="3" s="1" a="1"/>
  <c r="EI161" i="3" s="1"/>
  <c r="EH136" i="3" a="1"/>
  <c r="EH136" i="3" s="1"/>
  <c r="EI136" i="3" s="1" a="1"/>
  <c r="EI136" i="3" s="1"/>
  <c r="EH143" i="3" a="1"/>
  <c r="EH143" i="3" s="1"/>
  <c r="EI143" i="3" s="1" a="1"/>
  <c r="EI143" i="3" s="1"/>
  <c r="EH155" i="3" a="1"/>
  <c r="EH155" i="3" s="1"/>
  <c r="EI155" i="3" s="1" a="1"/>
  <c r="EI155" i="3" s="1"/>
  <c r="EH167" i="3" a="1"/>
  <c r="EH167" i="3" s="1"/>
  <c r="EI167" i="3" s="1" a="1"/>
  <c r="EI167" i="3" s="1"/>
  <c r="DT172" i="3" a="1"/>
  <c r="EE163" i="3" a="1"/>
  <c r="EE182" i="3" a="1"/>
  <c r="EE145" i="3" a="1"/>
  <c r="EE138" i="3" a="1"/>
  <c r="EE169" i="3" a="1"/>
  <c r="EE151" i="3" a="1"/>
  <c r="EE175" i="3" a="1"/>
  <c r="DT165" i="3" a="1"/>
  <c r="DT184" i="3" a="1"/>
  <c r="EE157" i="3" a="1"/>
  <c r="DT177" i="3" a="1"/>
  <c r="DS164" i="3" l="1"/>
  <c r="DV171" i="3" a="1"/>
  <c r="DV171" i="3" s="1"/>
  <c r="DS171" i="3"/>
  <c r="EF168" i="3" a="1"/>
  <c r="EF168" i="3" s="1"/>
  <c r="EH131" i="3" a="1"/>
  <c r="EH131" i="3" s="1"/>
  <c r="EI131" i="3" s="1" a="1"/>
  <c r="EI131" i="3" s="1"/>
  <c r="DV183" i="3" a="1"/>
  <c r="DV183" i="3" s="1"/>
  <c r="DW183" i="3" s="1" a="1"/>
  <c r="DW183" i="3" s="1"/>
  <c r="EF144" i="3" a="1"/>
  <c r="EF144" i="3" s="1"/>
  <c r="EH181" i="3" a="1"/>
  <c r="EH181" i="3" s="1"/>
  <c r="EI181" i="3" s="1" a="1"/>
  <c r="EI181" i="3" s="1"/>
  <c r="DW171" i="3" a="1"/>
  <c r="DW171" i="3" s="1"/>
  <c r="DS183" i="3"/>
  <c r="EG162" i="3" a="1"/>
  <c r="EG162" i="3" s="1"/>
  <c r="EH162" i="3" s="1" a="1"/>
  <c r="EH162" i="3" s="1"/>
  <c r="EI162" i="3" s="1" a="1"/>
  <c r="EI162" i="3" s="1"/>
  <c r="EF162" i="3" a="1"/>
  <c r="EF162" i="3" s="1"/>
  <c r="DV176" i="3" a="1"/>
  <c r="DV176" i="3" s="1"/>
  <c r="DW176" i="3" s="1" a="1"/>
  <c r="DW176" i="3" s="1"/>
  <c r="DS176" i="3"/>
  <c r="DV152" i="3" a="1"/>
  <c r="DV152" i="3" s="1"/>
  <c r="DW152" i="3" s="1" a="1"/>
  <c r="DW152" i="3" s="1"/>
  <c r="DU152" i="3" a="1"/>
  <c r="DU152" i="3" s="1"/>
  <c r="EE169" i="3"/>
  <c r="EF169" i="3" s="1" a="1"/>
  <c r="EF169" i="3" s="1"/>
  <c r="EE182" i="3"/>
  <c r="EG182" i="3" s="1" a="1"/>
  <c r="EG182" i="3" s="1"/>
  <c r="EE163" i="3"/>
  <c r="ED163" i="3" s="1"/>
  <c r="EE157" i="3"/>
  <c r="ED157" i="3" s="1"/>
  <c r="EE138" i="3"/>
  <c r="DT172" i="3"/>
  <c r="DV172" i="3" s="1" a="1"/>
  <c r="DV172" i="3" s="1"/>
  <c r="DT177" i="3"/>
  <c r="DU177" i="3" s="1" a="1"/>
  <c r="DU177" i="3" s="1"/>
  <c r="DT165" i="3"/>
  <c r="DS165" i="3" s="1"/>
  <c r="EE145" i="3"/>
  <c r="EG145" i="3" s="1" a="1"/>
  <c r="EG145" i="3" s="1"/>
  <c r="DT184" i="3"/>
  <c r="DU184" i="3" s="1" a="1"/>
  <c r="DU184" i="3" s="1"/>
  <c r="EE175" i="3"/>
  <c r="ED175" i="3" s="1"/>
  <c r="EE151" i="3"/>
  <c r="EG151" i="3" s="1" a="1"/>
  <c r="EG151" i="3" s="1"/>
  <c r="EH174" i="3" a="1"/>
  <c r="EH174" i="3" s="1"/>
  <c r="EI174" i="3" s="1" a="1"/>
  <c r="EI174" i="3" s="1"/>
  <c r="EG168" i="3" a="1"/>
  <c r="EG168" i="3" s="1"/>
  <c r="EH168" i="3" s="1" a="1"/>
  <c r="EH168" i="3" s="1"/>
  <c r="EI168" i="3" s="1" a="1"/>
  <c r="EI168" i="3" s="1"/>
  <c r="DV164" i="3" a="1"/>
  <c r="DV164" i="3" s="1"/>
  <c r="DW164" i="3" s="1" a="1"/>
  <c r="DW164" i="3" s="1"/>
  <c r="EH137" i="3" a="1"/>
  <c r="EH137" i="3" s="1"/>
  <c r="EI137" i="3" s="1" a="1"/>
  <c r="EI137" i="3" s="1"/>
  <c r="EH144" i="3" a="1"/>
  <c r="EH144" i="3" s="1"/>
  <c r="EI144" i="3" s="1" a="1"/>
  <c r="EI144" i="3" s="1"/>
  <c r="EH156" i="3" a="1"/>
  <c r="EH156" i="3" s="1"/>
  <c r="EI156" i="3" s="1" a="1"/>
  <c r="EI156" i="3" s="1"/>
  <c r="DU165" i="3" a="1"/>
  <c r="DU165" i="3" s="1"/>
  <c r="DV165" i="3" a="1"/>
  <c r="DV165" i="3" s="1"/>
  <c r="DW165" i="3" s="1" a="1"/>
  <c r="DW165" i="3" s="1"/>
  <c r="DS184" i="3"/>
  <c r="DU172" i="3" a="1"/>
  <c r="DU172" i="3" s="1"/>
  <c r="DS172" i="3"/>
  <c r="EF138" i="3" a="1"/>
  <c r="EF138" i="3" s="1"/>
  <c r="ED138" i="3"/>
  <c r="EG138" i="3" a="1"/>
  <c r="EG138" i="3" s="1"/>
  <c r="FY22" i="3"/>
  <c r="BZ49" i="3"/>
  <c r="BZ50" i="3" s="1" a="1"/>
  <c r="BZ50" i="3" s="1"/>
  <c r="FZ22" i="3"/>
  <c r="B34" i="11" s="1"/>
  <c r="FZ21" i="3"/>
  <c r="B33" i="11" s="1"/>
  <c r="FY21" i="3"/>
  <c r="FY20" i="3"/>
  <c r="BW5" i="3"/>
  <c r="D49" i="9" s="1" a="1"/>
  <c r="D49" i="9" s="1"/>
  <c r="FZ20" i="3"/>
  <c r="B32" i="11" s="1"/>
  <c r="BV5" i="3"/>
  <c r="BS5" i="3"/>
  <c r="BV6" i="3"/>
  <c r="BS6" i="3"/>
  <c r="EH150" i="3" a="1"/>
  <c r="EH150" i="3" s="1"/>
  <c r="EI150" i="3" s="1" a="1"/>
  <c r="EI150" i="3" s="1"/>
  <c r="EE152" i="3" a="1"/>
  <c r="DT178" i="3" a="1"/>
  <c r="DT166" i="3" a="1"/>
  <c r="DT185" i="3" a="1"/>
  <c r="EE183" i="3" a="1"/>
  <c r="EE164" i="3" a="1"/>
  <c r="DT173" i="3" a="1"/>
  <c r="EE170" i="3" a="1"/>
  <c r="EE158" i="3" a="1"/>
  <c r="EE176" i="3" a="1"/>
  <c r="DV177" i="3" l="1" a="1"/>
  <c r="DV177" i="3" s="1"/>
  <c r="DV184" i="3" a="1"/>
  <c r="DV184" i="3" s="1"/>
  <c r="EH138" i="3" a="1"/>
  <c r="EH138" i="3" s="1"/>
  <c r="EI138" i="3" s="1" a="1"/>
  <c r="EI138" i="3" s="1"/>
  <c r="DS177" i="3"/>
  <c r="ED145" i="3"/>
  <c r="ED182" i="3"/>
  <c r="ED169" i="3"/>
  <c r="EG163" i="3" a="1"/>
  <c r="EG163" i="3" s="1"/>
  <c r="EG169" i="3" a="1"/>
  <c r="EG169" i="3" s="1"/>
  <c r="EH169" i="3" s="1" a="1"/>
  <c r="EH169" i="3" s="1"/>
  <c r="EI169" i="3" s="1" a="1"/>
  <c r="EI169" i="3" s="1"/>
  <c r="EF163" i="3" a="1"/>
  <c r="EF163" i="3" s="1"/>
  <c r="EG157" i="3" a="1"/>
  <c r="EG157" i="3" s="1"/>
  <c r="EH157" i="3" s="1" a="1"/>
  <c r="EH157" i="3" s="1"/>
  <c r="EI157" i="3" s="1" a="1"/>
  <c r="EI157" i="3" s="1"/>
  <c r="EF157" i="3" a="1"/>
  <c r="EF157" i="3" s="1"/>
  <c r="EF151" i="3" a="1"/>
  <c r="EF151" i="3" s="1"/>
  <c r="EH151" i="3" s="1" a="1"/>
  <c r="EH151" i="3" s="1"/>
  <c r="EI151" i="3" s="1" a="1"/>
  <c r="EI151" i="3" s="1"/>
  <c r="DW184" i="3" a="1"/>
  <c r="DW184" i="3" s="1"/>
  <c r="EF145" i="3" a="1"/>
  <c r="EF145" i="3" s="1"/>
  <c r="EH145" i="3" s="1" a="1"/>
  <c r="EH145" i="3" s="1"/>
  <c r="EI145" i="3" s="1" a="1"/>
  <c r="EI145" i="3" s="1"/>
  <c r="EF182" i="3" a="1"/>
  <c r="EF182" i="3" s="1"/>
  <c r="EH182" i="3" s="1" a="1"/>
  <c r="EH182" i="3" s="1"/>
  <c r="EI182" i="3" s="1" a="1"/>
  <c r="EI182" i="3" s="1"/>
  <c r="DT185" i="3"/>
  <c r="DU185" i="3" s="1" a="1"/>
  <c r="DU185" i="3" s="1"/>
  <c r="EE152" i="3"/>
  <c r="EF152" i="3" s="1" a="1"/>
  <c r="EF152" i="3" s="1"/>
  <c r="EE183" i="3"/>
  <c r="EE164" i="3"/>
  <c r="EF164" i="3" s="1" a="1"/>
  <c r="EF164" i="3" s="1"/>
  <c r="EE176" i="3"/>
  <c r="EG176" i="3" s="1" a="1"/>
  <c r="EG176" i="3" s="1"/>
  <c r="EE170" i="3"/>
  <c r="EF170" i="3" s="1" a="1"/>
  <c r="EF170" i="3" s="1"/>
  <c r="DT173" i="3"/>
  <c r="DU173" i="3" s="1" a="1"/>
  <c r="DU173" i="3" s="1"/>
  <c r="DT178" i="3"/>
  <c r="DS178" i="3" s="1"/>
  <c r="DT166" i="3"/>
  <c r="DS166" i="3" s="1"/>
  <c r="EE158" i="3"/>
  <c r="EG158" i="3" s="1" a="1"/>
  <c r="EG158" i="3" s="1"/>
  <c r="EF175" i="3" a="1"/>
  <c r="EF175" i="3" s="1"/>
  <c r="EG175" i="3" a="1"/>
  <c r="EG175" i="3" s="1"/>
  <c r="ED151" i="3"/>
  <c r="DW172" i="3" a="1"/>
  <c r="DW172" i="3" s="1"/>
  <c r="ED183" i="3"/>
  <c r="EF183" i="3" a="1"/>
  <c r="EF183" i="3" s="1"/>
  <c r="EG183" i="3" a="1"/>
  <c r="EG183" i="3" s="1"/>
  <c r="ED170" i="3"/>
  <c r="EG170" i="3" a="1"/>
  <c r="EG170" i="3" s="1"/>
  <c r="FY24" i="3"/>
  <c r="FZ24" i="3"/>
  <c r="DW177" i="3" a="1"/>
  <c r="DW177" i="3" s="1"/>
  <c r="BZ54" i="3"/>
  <c r="EE165" i="3" a="1"/>
  <c r="EE184" i="3" a="1"/>
  <c r="DT186" i="3" a="1"/>
  <c r="EE177" i="3" a="1"/>
  <c r="EE159" i="3" a="1"/>
  <c r="EE171" i="3" a="1"/>
  <c r="DT179" i="3" a="1"/>
  <c r="DV178" i="3" l="1" a="1"/>
  <c r="DV178" i="3" s="1"/>
  <c r="EG164" i="3" a="1"/>
  <c r="EG164" i="3" s="1"/>
  <c r="EH164" i="3" s="1" a="1"/>
  <c r="EH164" i="3" s="1"/>
  <c r="EI164" i="3" s="1" a="1"/>
  <c r="EI164" i="3" s="1"/>
  <c r="DU178" i="3" a="1"/>
  <c r="DU178" i="3" s="1"/>
  <c r="ED176" i="3"/>
  <c r="EH175" i="3" a="1"/>
  <c r="EH175" i="3" s="1"/>
  <c r="EI175" i="3" s="1" a="1"/>
  <c r="EI175" i="3" s="1"/>
  <c r="EF176" i="3" a="1"/>
  <c r="EF176" i="3" s="1"/>
  <c r="EH170" i="3" a="1"/>
  <c r="EH170" i="3" s="1"/>
  <c r="EI170" i="3" s="1" a="1"/>
  <c r="EI170" i="3" s="1"/>
  <c r="ED164" i="3"/>
  <c r="EH163" i="3" a="1"/>
  <c r="EH163" i="3" s="1"/>
  <c r="EI163" i="3" s="1" a="1"/>
  <c r="EI163" i="3" s="1"/>
  <c r="DS173" i="3"/>
  <c r="DV173" i="3" a="1"/>
  <c r="DV173" i="3" s="1"/>
  <c r="DW173" i="3" s="1" a="1"/>
  <c r="DW173" i="3" s="1"/>
  <c r="DU166" i="3" a="1"/>
  <c r="DU166" i="3" s="1"/>
  <c r="DV166" i="3" a="1"/>
  <c r="DV166" i="3" s="1"/>
  <c r="DV185" i="3" a="1"/>
  <c r="DV185" i="3" s="1"/>
  <c r="DW185" i="3" s="1" a="1"/>
  <c r="DW185" i="3" s="1"/>
  <c r="DS185" i="3"/>
  <c r="EG152" i="3" a="1"/>
  <c r="EG152" i="3" s="1"/>
  <c r="EH152" i="3" s="1" a="1"/>
  <c r="EH152" i="3" s="1"/>
  <c r="EI152" i="3" s="1" a="1"/>
  <c r="EI152" i="3" s="1"/>
  <c r="ED152" i="3"/>
  <c r="EF158" i="3" a="1"/>
  <c r="EF158" i="3" s="1"/>
  <c r="EH158" i="3" s="1" a="1"/>
  <c r="EH158" i="3" s="1"/>
  <c r="EI158" i="3" s="1" a="1"/>
  <c r="EI158" i="3" s="1"/>
  <c r="ED158" i="3"/>
  <c r="DT179" i="3"/>
  <c r="DS179" i="3" s="1"/>
  <c r="DT186" i="3"/>
  <c r="DV186" i="3" s="1" a="1"/>
  <c r="DV186" i="3" s="1"/>
  <c r="EE177" i="3"/>
  <c r="ED177" i="3" s="1"/>
  <c r="EE171" i="3"/>
  <c r="EF171" i="3" s="1" a="1"/>
  <c r="EF171" i="3" s="1"/>
  <c r="EE184" i="3"/>
  <c r="EG184" i="3" s="1" a="1"/>
  <c r="EG184" i="3" s="1"/>
  <c r="EE165" i="3"/>
  <c r="EF165" i="3" s="1" a="1"/>
  <c r="EF165" i="3" s="1"/>
  <c r="EE159" i="3"/>
  <c r="ED159" i="3" s="1"/>
  <c r="EH183" i="3" a="1"/>
  <c r="EH183" i="3" s="1"/>
  <c r="EI183" i="3" s="1" a="1"/>
  <c r="EI183" i="3" s="1"/>
  <c r="EH176" i="3" a="1"/>
  <c r="EH176" i="3" s="1"/>
  <c r="EI176" i="3" s="1" a="1"/>
  <c r="EI176" i="3" s="1"/>
  <c r="FZ32" i="3"/>
  <c r="B36" i="11"/>
  <c r="BZ55" i="3" a="1"/>
  <c r="BZ55" i="3" s="1"/>
  <c r="D31" i="9" s="1"/>
  <c r="FY25" i="3"/>
  <c r="FZ25" i="3"/>
  <c r="EE166" i="3" a="1"/>
  <c r="EE172" i="3" a="1"/>
  <c r="EE185" i="3" a="1"/>
  <c r="DT180" i="3" a="1"/>
  <c r="EE178" i="3" a="1"/>
  <c r="DT187" i="3" a="1"/>
  <c r="DS186" i="3" l="1"/>
  <c r="DW178" i="3" a="1"/>
  <c r="DW178" i="3" s="1"/>
  <c r="ED171" i="3"/>
  <c r="ED184" i="3"/>
  <c r="EF177" i="3" a="1"/>
  <c r="EF177" i="3" s="1"/>
  <c r="DW166" i="3" a="1"/>
  <c r="DW166" i="3" s="1"/>
  <c r="DU186" i="3" a="1"/>
  <c r="DU186" i="3" s="1"/>
  <c r="DW186" i="3" s="1" a="1"/>
  <c r="DW186" i="3" s="1"/>
  <c r="DU179" i="3" a="1"/>
  <c r="DU179" i="3" s="1"/>
  <c r="DV179" i="3" a="1"/>
  <c r="DV179" i="3" s="1"/>
  <c r="EG177" i="3" a="1"/>
  <c r="EG177" i="3" s="1"/>
  <c r="EH177" i="3" s="1" a="1"/>
  <c r="EH177" i="3" s="1"/>
  <c r="EI177" i="3" s="1" a="1"/>
  <c r="EI177" i="3" s="1"/>
  <c r="EG171" i="3" a="1"/>
  <c r="EG171" i="3" s="1"/>
  <c r="EH171" i="3" s="1" a="1"/>
  <c r="EH171" i="3" s="1"/>
  <c r="EI171" i="3" s="1" a="1"/>
  <c r="EI171" i="3" s="1"/>
  <c r="EF159" i="3" a="1"/>
  <c r="EF159" i="3" s="1"/>
  <c r="EG159" i="3" a="1"/>
  <c r="EG159" i="3" s="1"/>
  <c r="ED165" i="3"/>
  <c r="EE178" i="3"/>
  <c r="ED178" i="3" s="1"/>
  <c r="DT187" i="3"/>
  <c r="DV187" i="3" s="1" a="1"/>
  <c r="DV187" i="3" s="1"/>
  <c r="DT180" i="3"/>
  <c r="DS180" i="3" s="1"/>
  <c r="EE185" i="3"/>
  <c r="EG185" i="3" s="1" a="1"/>
  <c r="EG185" i="3" s="1"/>
  <c r="EE172" i="3"/>
  <c r="EF172" i="3" s="1" a="1"/>
  <c r="EF172" i="3" s="1"/>
  <c r="EE166" i="3"/>
  <c r="ED166" i="3" s="1"/>
  <c r="EF184" i="3" a="1"/>
  <c r="EF184" i="3" s="1"/>
  <c r="EH184" i="3" s="1" a="1"/>
  <c r="EH184" i="3" s="1"/>
  <c r="EI184" i="3" s="1" a="1"/>
  <c r="EI184" i="3" s="1"/>
  <c r="EG165" i="3" a="1"/>
  <c r="EG165" i="3" s="1"/>
  <c r="EH165" i="3" s="1" a="1"/>
  <c r="EH165" i="3" s="1"/>
  <c r="EI165" i="3" s="1" a="1"/>
  <c r="EI165" i="3" s="1"/>
  <c r="EG178" i="3" a="1"/>
  <c r="EG178" i="3" s="1"/>
  <c r="DV180" i="3" a="1"/>
  <c r="DV180" i="3" s="1"/>
  <c r="DU180" i="3" a="1"/>
  <c r="DU180" i="3" s="1"/>
  <c r="DU187" i="3" a="1"/>
  <c r="DU187" i="3" s="1"/>
  <c r="DS187" i="3"/>
  <c r="C31" i="9"/>
  <c r="B37" i="11"/>
  <c r="EE179" i="3" a="1"/>
  <c r="EE173" i="3" a="1"/>
  <c r="EE186" i="3" a="1"/>
  <c r="EH159" i="3" l="1" a="1"/>
  <c r="EH159" i="3" s="1"/>
  <c r="EI159" i="3" s="1" a="1"/>
  <c r="EI159" i="3" s="1"/>
  <c r="EF185" i="3" a="1"/>
  <c r="EF185" i="3" s="1"/>
  <c r="EH185" i="3" a="1"/>
  <c r="EH185" i="3" s="1"/>
  <c r="EI185" i="3" s="1" a="1"/>
  <c r="EI185" i="3" s="1"/>
  <c r="ED185" i="3"/>
  <c r="EF178" i="3" a="1"/>
  <c r="EF178" i="3" s="1"/>
  <c r="EH178" i="3" s="1" a="1"/>
  <c r="EH178" i="3" s="1"/>
  <c r="EI178" i="3" s="1" a="1"/>
  <c r="EI178" i="3" s="1"/>
  <c r="DW179" i="3" a="1"/>
  <c r="DW179" i="3" s="1"/>
  <c r="EG172" i="3" a="1"/>
  <c r="EG172" i="3" s="1"/>
  <c r="EH172" i="3" s="1" a="1"/>
  <c r="EH172" i="3" s="1"/>
  <c r="EI172" i="3" s="1" a="1"/>
  <c r="EI172" i="3" s="1"/>
  <c r="ED172" i="3"/>
  <c r="EE173" i="3"/>
  <c r="EG173" i="3" s="1" a="1"/>
  <c r="EG173" i="3" s="1"/>
  <c r="EE179" i="3"/>
  <c r="EG179" i="3" s="1" a="1"/>
  <c r="EG179" i="3" s="1"/>
  <c r="EE186" i="3"/>
  <c r="ED186" i="3" s="1"/>
  <c r="EF166" i="3" a="1"/>
  <c r="EF166" i="3" s="1"/>
  <c r="EG166" i="3" a="1"/>
  <c r="EG166" i="3" s="1"/>
  <c r="EH166" i="3" s="1" a="1"/>
  <c r="EH166" i="3" s="1"/>
  <c r="EI166" i="3" s="1" a="1"/>
  <c r="EI166" i="3" s="1"/>
  <c r="DW187" i="3" a="1"/>
  <c r="DW187" i="3" s="1"/>
  <c r="DW180" i="3" a="1"/>
  <c r="DW180" i="3" s="1"/>
  <c r="EE180" i="3" a="1"/>
  <c r="EE187" i="3" a="1"/>
  <c r="EF173" i="3" l="1" a="1"/>
  <c r="EF173" i="3" s="1"/>
  <c r="ED173" i="3"/>
  <c r="ED179" i="3"/>
  <c r="EF186" i="3" a="1"/>
  <c r="EF186" i="3" s="1"/>
  <c r="EF179" i="3" a="1"/>
  <c r="EF179" i="3" s="1"/>
  <c r="EH179" i="3" s="1" a="1"/>
  <c r="EH179" i="3" s="1"/>
  <c r="EI179" i="3" s="1" a="1"/>
  <c r="EI179" i="3" s="1"/>
  <c r="EG186" i="3" a="1"/>
  <c r="EG186" i="3" s="1"/>
  <c r="EH186" i="3" s="1" a="1"/>
  <c r="EH186" i="3" s="1"/>
  <c r="EI186" i="3" s="1" a="1"/>
  <c r="EI186" i="3" s="1"/>
  <c r="EE180" i="3"/>
  <c r="EG180" i="3" s="1" a="1"/>
  <c r="EG180" i="3" s="1"/>
  <c r="EE187" i="3"/>
  <c r="EG187" i="3" s="1" a="1"/>
  <c r="EG187" i="3" s="1"/>
  <c r="EH173" i="3" a="1"/>
  <c r="EH173" i="3" s="1"/>
  <c r="EI173" i="3" s="1" a="1"/>
  <c r="EI173" i="3" s="1"/>
  <c r="ED180" i="3"/>
  <c r="EF180" i="3" a="1"/>
  <c r="EF180" i="3" s="1"/>
  <c r="EF187" i="3" l="1" a="1"/>
  <c r="EF187" i="3" s="1"/>
  <c r="ED187" i="3"/>
  <c r="EH180" i="3" a="1"/>
  <c r="EH180" i="3" s="1"/>
  <c r="EI180" i="3" s="1" a="1"/>
  <c r="EI180" i="3" s="1"/>
  <c r="EH187" i="3" a="1"/>
  <c r="EH187" i="3" s="1"/>
  <c r="EI187" i="3" s="1" a="1"/>
  <c r="EI18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Xavier Irazoqui</author>
    <author>Xavier Irazoqui Oyarzabal</author>
  </authors>
  <commentList>
    <comment ref="BZ4" authorId="0" shapeId="0" xr:uid="{9CBED6EF-077B-4D94-A8C8-0BD334A71595}">
      <text>
        <r>
          <rPr>
            <sz val="9"/>
            <color indexed="81"/>
            <rFont val="Tahoma"/>
            <family val="2"/>
          </rPr>
          <t>1. por defecto
2. usuario</t>
        </r>
      </text>
    </comment>
    <comment ref="BZ5" authorId="0" shapeId="0" xr:uid="{D22B2805-7689-48B7-B2EF-ADFD4832811E}">
      <text>
        <r>
          <rPr>
            <sz val="9"/>
            <color indexed="81"/>
            <rFont val="Tahoma"/>
            <family val="2"/>
          </rPr>
          <t>1. por defecto
2. usuario</t>
        </r>
      </text>
    </comment>
    <comment ref="BZ6" authorId="0" shapeId="0" xr:uid="{D62C4380-7EA1-4287-A1D9-3E2594277120}">
      <text>
        <r>
          <rPr>
            <sz val="9"/>
            <color indexed="81"/>
            <rFont val="Tahoma"/>
            <family val="2"/>
          </rPr>
          <t>1. por defecto
2. usuario</t>
        </r>
      </text>
    </comment>
    <comment ref="BZ7" authorId="0" shapeId="0" xr:uid="{CF8B05E1-82D8-4697-90A0-D6F6B2D90AE8}">
      <text>
        <r>
          <rPr>
            <sz val="9"/>
            <color indexed="81"/>
            <rFont val="Tahoma"/>
            <family val="2"/>
          </rPr>
          <t>1. por defecto
2. usuario</t>
        </r>
      </text>
    </comment>
    <comment ref="BZ8" authorId="1" shapeId="0" xr:uid="{BCDC8069-DC36-4BFD-925D-FC77DE1A1DE4}">
      <text>
        <r>
          <rPr>
            <b/>
            <sz val="9"/>
            <color indexed="81"/>
            <rFont val="Tahoma"/>
            <family val="2"/>
          </rPr>
          <t>1. Por zona térmica
2. Por estación meteorológica
3. Por comuna
4. por provincia</t>
        </r>
      </text>
    </comment>
    <comment ref="BZ9" authorId="1" shapeId="0" xr:uid="{6EAD976A-B6B0-46ED-A9AE-3976BCCE5F67}">
      <text>
        <r>
          <rPr>
            <b/>
            <sz val="9"/>
            <color indexed="81"/>
            <rFont val="Tahoma"/>
            <family val="2"/>
          </rPr>
          <t xml:space="preserve">1. zona térmica
2. estación meteorológica
3. por comuna
4. valor provincia
</t>
        </r>
      </text>
    </comment>
    <comment ref="BZ10" authorId="1" shapeId="0" xr:uid="{8ED5E652-20FA-4842-924E-4354D9171374}">
      <text>
        <r>
          <rPr>
            <b/>
            <sz val="9"/>
            <color indexed="81"/>
            <rFont val="Tahoma"/>
            <family val="2"/>
          </rPr>
          <t>1. NCh1973
2. valor fijo</t>
        </r>
      </text>
    </comment>
    <comment ref="BZ11" authorId="1" shapeId="0" xr:uid="{82D62F2B-71A5-45AF-8566-9116C7E1D3E6}">
      <text>
        <r>
          <rPr>
            <b/>
            <sz val="9"/>
            <color indexed="81"/>
            <rFont val="Tahoma"/>
            <family val="2"/>
          </rPr>
          <t>1. NCh1973
2. valor conocido de variación de humedad
3. valor fijo</t>
        </r>
      </text>
    </comment>
    <comment ref="BZ29" authorId="1" shapeId="0" xr:uid="{CB0BD667-4134-4A82-BE4F-FA9E68745AFD}">
      <text>
        <r>
          <rPr>
            <b/>
            <sz val="9"/>
            <color indexed="81"/>
            <rFont val="Tahoma"/>
            <family val="2"/>
          </rPr>
          <t>1. continental
2. marítimo</t>
        </r>
      </text>
    </comment>
    <comment ref="BZ30" authorId="1" shapeId="0" xr:uid="{3057A2B1-2194-4964-93C8-C8CF1955C724}">
      <text>
        <r>
          <rPr>
            <b/>
            <sz val="9"/>
            <color indexed="81"/>
            <rFont val="Tahoma"/>
            <family val="2"/>
          </rPr>
          <t>1. baja
2. alta</t>
        </r>
      </text>
    </comment>
    <comment ref="BZ31" authorId="1" shapeId="0" xr:uid="{5D561F3F-C52C-4D78-9836-A2F948F4909E}">
      <text>
        <r>
          <rPr>
            <b/>
            <sz val="9"/>
            <color indexed="81"/>
            <rFont val="Tahoma"/>
            <family val="2"/>
          </rPr>
          <t>1. edificaciones desocupadas
2. viviendas con ocupación normal y ventilación
3. edificaciones con ocupación desconocida
4. salas de deportes, cocinas
5. lavandería, piscina, etc.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<sst xmlns="http://schemas.openxmlformats.org/spreadsheetml/2006/main" count="7583" uniqueCount="1865">
  <si>
    <t>MATERIALES</t>
  </si>
  <si>
    <t>N</t>
  </si>
  <si>
    <t>Nombre largo</t>
  </si>
  <si>
    <t>Biblioteca</t>
  </si>
  <si>
    <t>Tipo de material</t>
  </si>
  <si>
    <t>Material</t>
  </si>
  <si>
    <t>Abreviatura</t>
  </si>
  <si>
    <t>Propiedad térmica</t>
  </si>
  <si>
    <t>Valor propiedad térmica</t>
  </si>
  <si>
    <t>Propiedad difusión de vapor</t>
  </si>
  <si>
    <t>Valor propiedad difusión de vapor</t>
  </si>
  <si>
    <t>Cámara de aire no ventilada</t>
  </si>
  <si>
    <t>R [m²K/W]</t>
  </si>
  <si>
    <t>Sd [m]</t>
  </si>
  <si>
    <t>Cámara de aire no ventilada multicapa</t>
  </si>
  <si>
    <t>Usuario</t>
  </si>
  <si>
    <t>DITEC</t>
  </si>
  <si>
    <t>EPS ρ = 15 kg/m³ - archipex</t>
  </si>
  <si>
    <t>Hormigón premezclado H20 (3L agua por saco) ρ = 2100 kg/m³</t>
  </si>
  <si>
    <t>Adhesivo EIFS</t>
  </si>
  <si>
    <t>Estuco EIFS</t>
  </si>
  <si>
    <t>Yeso Cartón ST ρ = 750 kg/m³</t>
  </si>
  <si>
    <t>Fibrocemento ρ = 1350 kg/m³</t>
  </si>
  <si>
    <t>Polietileno</t>
  </si>
  <si>
    <t>Yeso cartón RH ρ = 760 kg/m³</t>
  </si>
  <si>
    <t>En esta tabla puede incorporar materiales que no existan en la biblioteca de materiales por defecto y para los cuales dispone de los antecedentes que sustentan las propiedades higrotérmicas. Puede agregar más filas a la tabla si es necesario mediante el botón del lado derecho con el signo "+".</t>
  </si>
  <si>
    <t>Espesor nominal
[m]</t>
  </si>
  <si>
    <t>Origen del valor térmico</t>
  </si>
  <si>
    <t>Origen del valor de difusión de vapor</t>
  </si>
  <si>
    <t>λ [W/mK]</t>
  </si>
  <si>
    <t>μ []</t>
  </si>
  <si>
    <t>inf</t>
  </si>
  <si>
    <t>Biblioteca de materiales por defecto DITEC (ensayados en Chile)</t>
  </si>
  <si>
    <t>Observaciones</t>
  </si>
  <si>
    <t>Aislante</t>
  </si>
  <si>
    <t>Corcho aglomerado ρ = 105-125 kg/m³</t>
  </si>
  <si>
    <t>λ NCh853.2021</t>
  </si>
  <si>
    <t>Revestimiento</t>
  </si>
  <si>
    <t>Enchape cerámico</t>
  </si>
  <si>
    <t>Enchape de madera contrachapada con resina fenólica ρ = 595 kg/m³</t>
  </si>
  <si>
    <t>Enchape de madera contrachapada con resina ureica ρ = 635 kg/m³</t>
  </si>
  <si>
    <t>EPS ρ = 10 kg/m³ - archipex</t>
  </si>
  <si>
    <t>EPS ρ = 20 kg/m³ - archipex</t>
  </si>
  <si>
    <t>EPS ρ = 25 kg/m³ - archipex</t>
  </si>
  <si>
    <t>EPS ρ = 30 kg/m³ - archipex</t>
  </si>
  <si>
    <t>Espuma niveladora</t>
  </si>
  <si>
    <t>Estuco cemento (18% agua)</t>
  </si>
  <si>
    <t>Fibra de poliéster ρ = 8 kg/m³</t>
  </si>
  <si>
    <t>Fibrocemento ρ = 1250 kg/m³</t>
  </si>
  <si>
    <t>B. Humedad</t>
  </si>
  <si>
    <t>Fieltro M-1: 10-40</t>
  </si>
  <si>
    <t>Fieltro M-2: 15-40 (N°15)</t>
  </si>
  <si>
    <t>Fieltro M-3: 15 Libras</t>
  </si>
  <si>
    <t>Impermeabilizante</t>
  </si>
  <si>
    <t>Klober</t>
  </si>
  <si>
    <t>Ladrillo fiscal ρ = 1500 kg/m³</t>
  </si>
  <si>
    <t>Lana de oveja ρ = 12 kg/m³</t>
  </si>
  <si>
    <t>Lana de vidrio en colchoneta con papel a 1 cara ρ = 35 kg/m³</t>
  </si>
  <si>
    <t>Lana mineral en colchoneta ρ = 36 kg/m³</t>
  </si>
  <si>
    <t>Lana vidrio en rollo ρ = 12 kg/m³</t>
  </si>
  <si>
    <t>Mortero de pega albañilería (21,6% agua)</t>
  </si>
  <si>
    <t>Mortero de pega para pisos (5L agua por saco) ρ = 1800 kg/m³</t>
  </si>
  <si>
    <t>Papel decomural vinílico 240 g/m²</t>
  </si>
  <si>
    <t>Papel Kraft librería 110 g/m²</t>
  </si>
  <si>
    <t>Pintura barniz marino, 2 manos</t>
  </si>
  <si>
    <t>Pintura esmalte al agua (10 micras)</t>
  </si>
  <si>
    <t>Pintura esmalte al agua, 2 manos</t>
  </si>
  <si>
    <t>Pintura látex acrílico (10 micras)</t>
  </si>
  <si>
    <t>Pintura óleo brillante, 2 manos</t>
  </si>
  <si>
    <t>Pintura piscina, 2 manos</t>
  </si>
  <si>
    <t>Piso flotante, e = 6 mm</t>
  </si>
  <si>
    <t>Placa de fibra de madera MDF ρ = 620 kg/m³</t>
  </si>
  <si>
    <t>placa de fibrosilicato ρ = 910 kg/m³</t>
  </si>
  <si>
    <t>Placa de madera contrachapada ρ = 550 kg/m³</t>
  </si>
  <si>
    <t>B. Vapor</t>
  </si>
  <si>
    <t>Revestimiento exterior de fibrocemento tinglado</t>
  </si>
  <si>
    <t>Revoque fino de tierra (2½ arena gruesa, 1½ arena fina, 1 arcilla y agua)</t>
  </si>
  <si>
    <t>Revoque grueso de tierra (2½ arena gruesa, 1½ arena fina, 1 arcilla, ½ paja, 1 agua)</t>
  </si>
  <si>
    <t>Typro</t>
  </si>
  <si>
    <t>Tyvek homewrap</t>
  </si>
  <si>
    <t>Yeso cartón RF ρ = 840 kg/m³</t>
  </si>
  <si>
    <t>Tipo de elemento:</t>
  </si>
  <si>
    <t>Muro</t>
  </si>
  <si>
    <t>Descripción del elemento:</t>
  </si>
  <si>
    <t>Zona térmica B</t>
  </si>
  <si>
    <t>Chillán - Chillán Viejo</t>
  </si>
  <si>
    <t>Comuna:</t>
  </si>
  <si>
    <t>Calama</t>
  </si>
  <si>
    <t>Residencial</t>
  </si>
  <si>
    <t>Espacio de aire ventilado bajo cubierta:</t>
  </si>
  <si>
    <t>Techo de lámina o tejas con fieltro o placas o similar bajo las tejas</t>
  </si>
  <si>
    <t>Espesor capas</t>
  </si>
  <si>
    <t>Capas</t>
  </si>
  <si>
    <t>Sección A</t>
  </si>
  <si>
    <t>Total sec</t>
  </si>
  <si>
    <t>Espesor capas, d</t>
  </si>
  <si>
    <t>Nombre Sección:</t>
  </si>
  <si>
    <t>Estructura</t>
  </si>
  <si>
    <t xml:space="preserve"> [m]</t>
  </si>
  <si>
    <t>Fracción de área, f:</t>
  </si>
  <si>
    <t>[m²K/W]</t>
  </si>
  <si>
    <t>RT sección [m²K/W] =</t>
  </si>
  <si>
    <t>Método de acreditación</t>
  </si>
  <si>
    <t>Resultados</t>
  </si>
  <si>
    <t xml:space="preserve">Error máximo relativo, e = </t>
  </si>
  <si>
    <t>[%]</t>
  </si>
  <si>
    <t>Emplazamiento</t>
  </si>
  <si>
    <t>¿Cumple?</t>
  </si>
  <si>
    <t>Notas:</t>
  </si>
  <si>
    <t>A continuación se muestran los resultados obtenidos para el análisis de riesgo de condensación superficial e intersticial del elemento, de acuerdo con NCh1973.2014.</t>
  </si>
  <si>
    <t>Condensación superficial</t>
  </si>
  <si>
    <t>Sección</t>
  </si>
  <si>
    <t>Ene</t>
  </si>
  <si>
    <t>Feb</t>
  </si>
  <si>
    <t>Mar</t>
  </si>
  <si>
    <t>Abr</t>
  </si>
  <si>
    <t>May</t>
  </si>
  <si>
    <t>Jun</t>
  </si>
  <si>
    <t>Jul</t>
  </si>
  <si>
    <t>Ago</t>
  </si>
  <si>
    <t>Sept</t>
  </si>
  <si>
    <t>Oct</t>
  </si>
  <si>
    <t>Nov</t>
  </si>
  <si>
    <t>Dic</t>
  </si>
  <si>
    <t>Condensación intersticial</t>
  </si>
  <si>
    <t>A</t>
  </si>
  <si>
    <t>Julio</t>
  </si>
  <si>
    <t>CÁLCULOS ANEXOS</t>
  </si>
  <si>
    <t>Cálculo de fracción de área para tabiques de madera</t>
  </si>
  <si>
    <t>Valor de conductividad térmica de diseño</t>
  </si>
  <si>
    <t>Dimensiones del panel:</t>
  </si>
  <si>
    <t>#</t>
  </si>
  <si>
    <t>Contenido humedad</t>
  </si>
  <si>
    <r>
      <rPr>
        <sz val="11"/>
        <color theme="1"/>
        <rFont val="Aptos Narrow"/>
        <family val="2"/>
      </rPr>
      <t>λ</t>
    </r>
    <r>
      <rPr>
        <sz val="11"/>
        <color theme="1"/>
        <rFont val="Calibri"/>
        <family val="2"/>
      </rPr>
      <t xml:space="preserve"> medido</t>
    </r>
  </si>
  <si>
    <t>Ancho:</t>
  </si>
  <si>
    <t>m</t>
  </si>
  <si>
    <t>Alto:</t>
  </si>
  <si>
    <t>Característica</t>
  </si>
  <si>
    <t>Soleras</t>
  </si>
  <si>
    <t>Pies derechos</t>
  </si>
  <si>
    <t>Cadenetas</t>
  </si>
  <si>
    <t>Escuadría</t>
  </si>
  <si>
    <t>2x5</t>
  </si>
  <si>
    <t>2x4</t>
  </si>
  <si>
    <t>Tipo</t>
  </si>
  <si>
    <t>cepillado</t>
  </si>
  <si>
    <t>Ancho [mm]</t>
  </si>
  <si>
    <t>Profundidad [mm]</t>
  </si>
  <si>
    <t>Distanciamiento [mm]</t>
  </si>
  <si>
    <t>n/a</t>
  </si>
  <si>
    <t>Otros</t>
  </si>
  <si>
    <t>doble</t>
  </si>
  <si>
    <t>cabezal triple</t>
  </si>
  <si>
    <t>Cantidad</t>
  </si>
  <si>
    <t>Desviación estándar</t>
  </si>
  <si>
    <t>Área [m²]</t>
  </si>
  <si>
    <t>Fracción de área</t>
  </si>
  <si>
    <t>Alma</t>
  </si>
  <si>
    <t>Total</t>
  </si>
  <si>
    <t>Configuración condensación</t>
  </si>
  <si>
    <t>Configuración transmitancia</t>
  </si>
  <si>
    <t>Suelo</t>
  </si>
  <si>
    <t>Datos climáticos mensuales</t>
  </si>
  <si>
    <t>Cálculos anexos</t>
  </si>
  <si>
    <t>Configuración</t>
  </si>
  <si>
    <t>acredita por</t>
  </si>
  <si>
    <t>Secciones</t>
  </si>
  <si>
    <t>Selector temp exterior usuario</t>
  </si>
  <si>
    <t>Mes</t>
  </si>
  <si>
    <t>ϴe por defecto</t>
  </si>
  <si>
    <t>ϴe suelo</t>
  </si>
  <si>
    <t>ϴe usuario</t>
  </si>
  <si>
    <t>ϴe</t>
  </si>
  <si>
    <t>Psat(ϴe)</t>
  </si>
  <si>
    <t>ϕe por defecto</t>
  </si>
  <si>
    <t>ϕe usuario</t>
  </si>
  <si>
    <t>ϕe</t>
  </si>
  <si>
    <t>Pe</t>
  </si>
  <si>
    <t>ϴi por defecto</t>
  </si>
  <si>
    <t>ϴi usuario</t>
  </si>
  <si>
    <t>ϴi</t>
  </si>
  <si>
    <t>Psat(ϴi)</t>
  </si>
  <si>
    <t>n usuario</t>
  </si>
  <si>
    <t>G usuario</t>
  </si>
  <si>
    <r>
      <rPr>
        <sz val="11"/>
        <color theme="1"/>
        <rFont val="Aptos Narrow"/>
        <family val="2"/>
      </rPr>
      <t>Δ</t>
    </r>
    <r>
      <rPr>
        <sz val="11"/>
        <color theme="1"/>
        <rFont val="Calibri"/>
        <family val="2"/>
      </rPr>
      <t>p</t>
    </r>
  </si>
  <si>
    <t>Pi</t>
  </si>
  <si>
    <t>ϕi por defecto</t>
  </si>
  <si>
    <t>ϕi usuario</t>
  </si>
  <si>
    <t>ϕi</t>
  </si>
  <si>
    <t>Espacios no acondicionados</t>
  </si>
  <si>
    <t>Ru</t>
  </si>
  <si>
    <t>m²K/W</t>
  </si>
  <si>
    <t>tipo elemento</t>
  </si>
  <si>
    <t>Capa j</t>
  </si>
  <si>
    <t>d</t>
  </si>
  <si>
    <t>d'</t>
  </si>
  <si>
    <t>λeq capa</t>
  </si>
  <si>
    <t>RTcapa</t>
  </si>
  <si>
    <t>Sección m</t>
  </si>
  <si>
    <t>Sección letra</t>
  </si>
  <si>
    <t>Nombre sección</t>
  </si>
  <si>
    <t>Nombre compuesto</t>
  </si>
  <si>
    <t>f</t>
  </si>
  <si>
    <t>Rtsección</t>
  </si>
  <si>
    <t>U sección</t>
  </si>
  <si>
    <t>Rtseccion_sin_Ru</t>
  </si>
  <si>
    <t>fRsi sección</t>
  </si>
  <si>
    <t>R100 capa aislante</t>
  </si>
  <si>
    <t>f/Rtsección</t>
  </si>
  <si>
    <t>cumple cond superficial</t>
  </si>
  <si>
    <t>SdT</t>
  </si>
  <si>
    <t>humedad acumulada</t>
  </si>
  <si>
    <t>mes con máx condensación</t>
  </si>
  <si>
    <t>interfases con condensación</t>
  </si>
  <si>
    <t>Criterio condensación interst</t>
  </si>
  <si>
    <t>Selector HR exterior usuario</t>
  </si>
  <si>
    <t>Renovaciones de aire/hora</t>
  </si>
  <si>
    <t>n</t>
  </si>
  <si>
    <t>1/h</t>
  </si>
  <si>
    <t>dirección de flujo</t>
  </si>
  <si>
    <t>Selector temp interior usuario</t>
  </si>
  <si>
    <t>Volumen del espacio no acondicionado</t>
  </si>
  <si>
    <t>V</t>
  </si>
  <si>
    <r>
      <t>m</t>
    </r>
    <r>
      <rPr>
        <sz val="11"/>
        <color theme="1"/>
        <rFont val="Calibri"/>
        <family val="2"/>
      </rPr>
      <t>³</t>
    </r>
  </si>
  <si>
    <t>tipo de uso edificación</t>
  </si>
  <si>
    <t>Espacios de techo</t>
  </si>
  <si>
    <t>Selector HR interior usuario</t>
  </si>
  <si>
    <t>Superficie total que separa espacio no acondicionado del exterior</t>
  </si>
  <si>
    <t>Ai</t>
  </si>
  <si>
    <r>
      <t>m</t>
    </r>
    <r>
      <rPr>
        <sz val="11"/>
        <color theme="1"/>
        <rFont val="Calibri"/>
        <family val="2"/>
      </rPr>
      <t>²</t>
    </r>
  </si>
  <si>
    <t>tipo emplazamiento</t>
  </si>
  <si>
    <t>tipo techo</t>
  </si>
  <si>
    <t>Método temperatura exterior</t>
  </si>
  <si>
    <t>suma A*U de elementos que delimitan espacio del exterior</t>
  </si>
  <si>
    <t>suma A_e_k*U_e_k</t>
  </si>
  <si>
    <t>W/K</t>
  </si>
  <si>
    <t>Método humedad relativa exterior</t>
  </si>
  <si>
    <t>opción contacto con terreno</t>
  </si>
  <si>
    <t>Otros espacios</t>
  </si>
  <si>
    <t>Método temperatura interior</t>
  </si>
  <si>
    <t>Estructuras de madera</t>
  </si>
  <si>
    <t>contacto con terreno</t>
  </si>
  <si>
    <t>Método humedad relativa interior</t>
  </si>
  <si>
    <t>Ancho</t>
  </si>
  <si>
    <t>espacio no acondicionado</t>
  </si>
  <si>
    <t>ϕsicr</t>
  </si>
  <si>
    <t>Alto</t>
  </si>
  <si>
    <t>Resultados preliminares</t>
  </si>
  <si>
    <t>Mes inicial de análisis</t>
  </si>
  <si>
    <t>Resistencia superficial interior</t>
  </si>
  <si>
    <t>Rsi</t>
  </si>
  <si>
    <t>humedad inicial</t>
  </si>
  <si>
    <t>Diagonales</t>
  </si>
  <si>
    <t>Secciones y capas</t>
  </si>
  <si>
    <t>Resistencia superficial exterior</t>
  </si>
  <si>
    <t>Rse</t>
  </si>
  <si>
    <t>Capa</t>
  </si>
  <si>
    <t>llave</t>
  </si>
  <si>
    <t>Cámara aire no ventilada</t>
  </si>
  <si>
    <t>Cámara aire no ventilada multicapa</t>
  </si>
  <si>
    <t>índice prop térmica</t>
  </si>
  <si>
    <t>verif error 1</t>
  </si>
  <si>
    <t>λ</t>
  </si>
  <si>
    <t>λ*f</t>
  </si>
  <si>
    <t>R</t>
  </si>
  <si>
    <t>f/R</t>
  </si>
  <si>
    <t>R'n</t>
  </si>
  <si>
    <t>índice prop difusión</t>
  </si>
  <si>
    <t>μ</t>
  </si>
  <si>
    <t>Sd</t>
  </si>
  <si>
    <t>S'd</t>
  </si>
  <si>
    <t>verif error 2</t>
  </si>
  <si>
    <t>Límite inferior Resistencia térmica total</t>
  </si>
  <si>
    <t>RT''</t>
  </si>
  <si>
    <t>condiciones exteriores</t>
  </si>
  <si>
    <t>Límite superior Resistencia térmica total</t>
  </si>
  <si>
    <t>RT'</t>
  </si>
  <si>
    <t>Zona térmica</t>
  </si>
  <si>
    <t>Resistencia térmica total</t>
  </si>
  <si>
    <t>Rtot</t>
  </si>
  <si>
    <t>Profundidad</t>
  </si>
  <si>
    <t>relación entre límite superior e inferior</t>
  </si>
  <si>
    <t>RT''/RT'</t>
  </si>
  <si>
    <t>factor de resistencia superficial interior, límite inferior</t>
  </si>
  <si>
    <t>frsi''</t>
  </si>
  <si>
    <t>Psat(ϴ_si)</t>
  </si>
  <si>
    <t>ϴsi_mín</t>
  </si>
  <si>
    <t>fRsi_mín</t>
  </si>
  <si>
    <t>Rt_mín</t>
  </si>
  <si>
    <t>U_máx</t>
  </si>
  <si>
    <t>Condensa</t>
  </si>
  <si>
    <t>orden</t>
  </si>
  <si>
    <t>interfases con agua líquida</t>
  </si>
  <si>
    <t>agua acumulada</t>
  </si>
  <si>
    <t>llave capa</t>
  </si>
  <si>
    <t>Rn</t>
  </si>
  <si>
    <t>ϴn</t>
  </si>
  <si>
    <t>Psat</t>
  </si>
  <si>
    <t>Pn</t>
  </si>
  <si>
    <t>P límite cond</t>
  </si>
  <si>
    <t>llave tramo cond</t>
  </si>
  <si>
    <t>tramo cond</t>
  </si>
  <si>
    <t>capa lím inf cond</t>
  </si>
  <si>
    <t>capa lím sup cond</t>
  </si>
  <si>
    <t>pendiente tramo cond</t>
  </si>
  <si>
    <t>gc</t>
  </si>
  <si>
    <t>Ma_anterior cond</t>
  </si>
  <si>
    <t>Ma cond</t>
  </si>
  <si>
    <t>evapora</t>
  </si>
  <si>
    <t>P límite ev</t>
  </si>
  <si>
    <t>llave tramo ev</t>
  </si>
  <si>
    <t>tramo ev</t>
  </si>
  <si>
    <t>capa lím inf ev</t>
  </si>
  <si>
    <t>capa lím sup ev</t>
  </si>
  <si>
    <t>pendiente tramo ev</t>
  </si>
  <si>
    <t>gev</t>
  </si>
  <si>
    <t>Ma anterior ev</t>
  </si>
  <si>
    <t>Ma ev</t>
  </si>
  <si>
    <t>Ma</t>
  </si>
  <si>
    <t>agua líquida</t>
  </si>
  <si>
    <t>P límite gráf</t>
  </si>
  <si>
    <t>llave tramo gráf</t>
  </si>
  <si>
    <t>tramo gráf</t>
  </si>
  <si>
    <t>capa lím inf gráf</t>
  </si>
  <si>
    <t>capa lím sup gráf</t>
  </si>
  <si>
    <t>pendiente tramo gráf</t>
  </si>
  <si>
    <t>Pn gráf</t>
  </si>
  <si>
    <t>factor de resistencia superficial interior, límite superior</t>
  </si>
  <si>
    <t>frsi'</t>
  </si>
  <si>
    <t>cantidad</t>
  </si>
  <si>
    <t>factor de resistencia superficial interior, total</t>
  </si>
  <si>
    <t>frsi</t>
  </si>
  <si>
    <t>condiciones interiores NCh1973</t>
  </si>
  <si>
    <t>error máximo relativo</t>
  </si>
  <si>
    <t>e</t>
  </si>
  <si>
    <t>%</t>
  </si>
  <si>
    <t>Tipo de clima</t>
  </si>
  <si>
    <t>Área</t>
  </si>
  <si>
    <t>Nivel ocupación (clima continental)</t>
  </si>
  <si>
    <t>Gráfico condensación</t>
  </si>
  <si>
    <t>Resultado Transmitancia térmica</t>
  </si>
  <si>
    <t>Clase humedad (clima marítimo)</t>
  </si>
  <si>
    <t>Abreviación</t>
  </si>
  <si>
    <t>Interfaz</t>
  </si>
  <si>
    <t>Interfaz condensación</t>
  </si>
  <si>
    <t>Pn_gráf</t>
  </si>
  <si>
    <t>Límite superior Transmitancia térmica</t>
  </si>
  <si>
    <t>U''</t>
  </si>
  <si>
    <t>[W/m²K]</t>
  </si>
  <si>
    <t>m Δp</t>
  </si>
  <si>
    <t>Límite inferior Transmitancia térmica</t>
  </si>
  <si>
    <t>U'</t>
  </si>
  <si>
    <t>y1 Δp</t>
  </si>
  <si>
    <t>Transmitancia térmica total</t>
  </si>
  <si>
    <t>U</t>
  </si>
  <si>
    <t>y0 Δp</t>
  </si>
  <si>
    <t>Porcentaje de corrección</t>
  </si>
  <si>
    <t>ΔU/U</t>
  </si>
  <si>
    <t>Transmitancia térmica corregida</t>
  </si>
  <si>
    <t>Uc</t>
  </si>
  <si>
    <r>
      <t>m</t>
    </r>
    <r>
      <rPr>
        <sz val="11"/>
        <color theme="1"/>
        <rFont val="Aptos Narrow"/>
        <family val="2"/>
      </rPr>
      <t>³</t>
    </r>
  </si>
  <si>
    <t>Término de Corrección total</t>
  </si>
  <si>
    <t>ΔU</t>
  </si>
  <si>
    <t>Resultados Condensación Superficial</t>
  </si>
  <si>
    <t>Corrección para huecos</t>
  </si>
  <si>
    <t>ΔUg</t>
  </si>
  <si>
    <t>mes con mayor Rt_mín</t>
  </si>
  <si>
    <t>nivel corrección</t>
  </si>
  <si>
    <t>máx Rt_mín</t>
  </si>
  <si>
    <r>
      <t>[m</t>
    </r>
    <r>
      <rPr>
        <sz val="11"/>
        <color theme="1"/>
        <rFont val="Aptos Narrow"/>
        <family val="2"/>
      </rPr>
      <t>²</t>
    </r>
    <r>
      <rPr>
        <sz val="9.35"/>
        <color theme="1"/>
        <rFont val="Calibri"/>
        <family val="2"/>
      </rPr>
      <t>K/W</t>
    </r>
    <r>
      <rPr>
        <sz val="11"/>
        <color theme="1"/>
        <rFont val="Calibri"/>
        <family val="2"/>
        <scheme val="minor"/>
      </rPr>
      <t>]</t>
    </r>
  </si>
  <si>
    <t>Corrección para huecos preliminar</t>
  </si>
  <si>
    <t>ΔUg''</t>
  </si>
  <si>
    <t>Resistencia térmica de capa que contiene espacios de aire</t>
  </si>
  <si>
    <t>R1</t>
  </si>
  <si>
    <t>Resultados Condensación Intersticial</t>
  </si>
  <si>
    <t>Corrección para fijaciones mecánicas</t>
  </si>
  <si>
    <t>ΔUf</t>
  </si>
  <si>
    <t>desplegable fijaciones</t>
  </si>
  <si>
    <t>coeficiente según tipo de fijación</t>
  </si>
  <si>
    <t>α</t>
  </si>
  <si>
    <t>número de elementos de fijación por m²</t>
  </si>
  <si>
    <t>nf</t>
  </si>
  <si>
    <t>[1/m²]</t>
  </si>
  <si>
    <t>Conductividad térmica elementos fijación</t>
  </si>
  <si>
    <t>λf</t>
  </si>
  <si>
    <t>[W/mK]</t>
  </si>
  <si>
    <t>Área de sección transveral de un elemento de fijación</t>
  </si>
  <si>
    <t>Af</t>
  </si>
  <si>
    <t>[m²]</t>
  </si>
  <si>
    <t>espesor de capa aislante atravesada por fijaciones</t>
  </si>
  <si>
    <t>d0</t>
  </si>
  <si>
    <t>[m]</t>
  </si>
  <si>
    <t>longitud elemento de fijación que penetra capa aislante</t>
  </si>
  <si>
    <t>d1</t>
  </si>
  <si>
    <t>Resistencia térmica de capa aislante atravesada</t>
  </si>
  <si>
    <t>Corrección para techos invertidos</t>
  </si>
  <si>
    <t>ΔUr</t>
  </si>
  <si>
    <t>promedio precipitación</t>
  </si>
  <si>
    <t>p</t>
  </si>
  <si>
    <t>[mm/día]</t>
  </si>
  <si>
    <t>factor de drenaje y de pérdida de calor por flujo de agua</t>
  </si>
  <si>
    <t>fx</t>
  </si>
  <si>
    <t>[Wdía/m²Kmm]</t>
  </si>
  <si>
    <t>Resistencia térmica de la capa aislante sobre membrana impermeable</t>
  </si>
  <si>
    <t>VALORES DE TEMPERATURA EXTERIOR MEDIA - NCh 1079</t>
  </si>
  <si>
    <t>Resistencias superficiales</t>
  </si>
  <si>
    <t>Liviano</t>
  </si>
  <si>
    <t>Estación Meteorológica</t>
  </si>
  <si>
    <t>Enero</t>
  </si>
  <si>
    <t>Febrero</t>
  </si>
  <si>
    <t>Marzo</t>
  </si>
  <si>
    <t>Abril</t>
  </si>
  <si>
    <t>Mayo</t>
  </si>
  <si>
    <t>Junio</t>
  </si>
  <si>
    <t>Agosto</t>
  </si>
  <si>
    <t>Septiembre</t>
  </si>
  <si>
    <t>Octubre</t>
  </si>
  <si>
    <t>Noviembre</t>
  </si>
  <si>
    <t>Diciembre</t>
  </si>
  <si>
    <t>Media anual</t>
  </si>
  <si>
    <t>REGIÓN DE ARICA Y PARINACOTA:</t>
  </si>
  <si>
    <t>Provincia</t>
  </si>
  <si>
    <t>Ubicación</t>
  </si>
  <si>
    <t>Ascendente</t>
  </si>
  <si>
    <t>Horizontal</t>
  </si>
  <si>
    <t>Descendente</t>
  </si>
  <si>
    <t>Techo</t>
  </si>
  <si>
    <t>Pesado</t>
  </si>
  <si>
    <t>Salud</t>
  </si>
  <si>
    <t>Arica</t>
  </si>
  <si>
    <t>Provincia de Arica</t>
  </si>
  <si>
    <t>Interior</t>
  </si>
  <si>
    <t>Piso ventilado</t>
  </si>
  <si>
    <t>Educación</t>
  </si>
  <si>
    <t>Iquique</t>
  </si>
  <si>
    <t>Provincia de Parinacota</t>
  </si>
  <si>
    <t>Exterior</t>
  </si>
  <si>
    <t>Hoja de puerta opaca</t>
  </si>
  <si>
    <t>------------------------------------------------------------------------</t>
  </si>
  <si>
    <t>Provincia de Iquique</t>
  </si>
  <si>
    <t>Aislante térmico</t>
  </si>
  <si>
    <t>Antofagasta</t>
  </si>
  <si>
    <t>REGIÓN DE TARAPACÁ:</t>
  </si>
  <si>
    <t>Provincia de Tamarugal</t>
  </si>
  <si>
    <t>Resistencia térmica capa de aire no ventilada</t>
  </si>
  <si>
    <t>Rapa Nui - Isla de Pascua</t>
  </si>
  <si>
    <t>Provincia de Antofagasta</t>
  </si>
  <si>
    <t>espesor [mm]</t>
  </si>
  <si>
    <t>Copiapó</t>
  </si>
  <si>
    <t>Provincia del Loa</t>
  </si>
  <si>
    <t>Vallenar</t>
  </si>
  <si>
    <t>-------------------------------------------------------------------------</t>
  </si>
  <si>
    <t>Provincia de Tocopilla</t>
  </si>
  <si>
    <t>E. Estructural</t>
  </si>
  <si>
    <t>La Serena</t>
  </si>
  <si>
    <t>REGIÓN DE ANTOFAGASTA:</t>
  </si>
  <si>
    <t>Provincia de Chañaral</t>
  </si>
  <si>
    <t>Vicuña</t>
  </si>
  <si>
    <t>Provincia de Copiapó</t>
  </si>
  <si>
    <t>Ovalle</t>
  </si>
  <si>
    <t>Provincia de Huasco</t>
  </si>
  <si>
    <t>Sin fijaciones mecánicas</t>
  </si>
  <si>
    <t>San Felipe</t>
  </si>
  <si>
    <t>Provincia de Elqui</t>
  </si>
  <si>
    <t>Fijaciones penetran completamente capa de aislamiento</t>
  </si>
  <si>
    <t>Los Andes</t>
  </si>
  <si>
    <t>--------------------------------------------------------------------------</t>
  </si>
  <si>
    <t>Provincia de Choapa</t>
  </si>
  <si>
    <t>Fijaciones empotradas</t>
  </si>
  <si>
    <t>Viña del Mar</t>
  </si>
  <si>
    <t>REGIÓN DE ATACAMA:</t>
  </si>
  <si>
    <t>Provincia de Limarí</t>
  </si>
  <si>
    <t>Quintero</t>
  </si>
  <si>
    <t>Provincia de Isla de Pascua</t>
  </si>
  <si>
    <t>Valparaíso</t>
  </si>
  <si>
    <t>Provincia de Los Andes</t>
  </si>
  <si>
    <r>
      <t>R [m</t>
    </r>
    <r>
      <rPr>
        <sz val="11"/>
        <color theme="1"/>
        <rFont val="Calibri"/>
        <family val="2"/>
      </rPr>
      <t>²K/W</t>
    </r>
    <r>
      <rPr>
        <sz val="11"/>
        <color theme="1"/>
        <rFont val="Calibri"/>
        <family val="2"/>
        <scheme val="minor"/>
      </rPr>
      <t>]</t>
    </r>
  </si>
  <si>
    <t>Resistencia térmica</t>
  </si>
  <si>
    <t>Santiago - Pudahuel</t>
  </si>
  <si>
    <t>Provincia de Marga-Marga</t>
  </si>
  <si>
    <t>Conductividad térmica</t>
  </si>
  <si>
    <t>Santiago - Quinta Normal</t>
  </si>
  <si>
    <t>---------------------------------------------------------------------------</t>
  </si>
  <si>
    <t>Provincia de Petorca</t>
  </si>
  <si>
    <t>corrección para huecos</t>
  </si>
  <si>
    <t>Espesor de capa equivalente de aire</t>
  </si>
  <si>
    <t>Santiago - Los Cerrillos</t>
  </si>
  <si>
    <t>REGIÓN DE COQUIMBO:</t>
  </si>
  <si>
    <t>Provincia de Quillota</t>
  </si>
  <si>
    <t>id</t>
  </si>
  <si>
    <t>Nivel</t>
  </si>
  <si>
    <t>descripción</t>
  </si>
  <si>
    <t>corrección</t>
  </si>
  <si>
    <t>[]</t>
  </si>
  <si>
    <t>Factor de resistencia al paso de vapor de agua</t>
  </si>
  <si>
    <t>Isla Juan Fernández</t>
  </si>
  <si>
    <t>Provincia de San Antonio</t>
  </si>
  <si>
    <t>Nivel 0</t>
  </si>
  <si>
    <t>No hay espacios de aire dentro del aislamiento, o estos no tienen efecto significativo</t>
  </si>
  <si>
    <t>Wp</t>
  </si>
  <si>
    <t>Wp [kg/m²sPa]</t>
  </si>
  <si>
    <t>[kg/m²sPa]</t>
  </si>
  <si>
    <t>Permeancia al paso de vapor de agua</t>
  </si>
  <si>
    <t>mu=delta_0/(W*d)</t>
  </si>
  <si>
    <t>W=delta_p/d</t>
  </si>
  <si>
    <t>Rancagua - Graneros</t>
  </si>
  <si>
    <t>Provincia de San Felipe</t>
  </si>
  <si>
    <t>Nivel 1</t>
  </si>
  <si>
    <t>Hay espacios de aire que puentean del lado caliente al frío del aislante pero sin circulación de aire</t>
  </si>
  <si>
    <t>Zp</t>
  </si>
  <si>
    <t>Zp [m²sPa/kg]</t>
  </si>
  <si>
    <t>[m²sPa/kg]</t>
  </si>
  <si>
    <t>Resistencia al paso de vapor de agua</t>
  </si>
  <si>
    <t>mu=delta_0*Z/d</t>
  </si>
  <si>
    <t>Z=d/delta_p</t>
  </si>
  <si>
    <t>Sewell</t>
  </si>
  <si>
    <t>Provincia de Valparaíso</t>
  </si>
  <si>
    <t>Nivel 2</t>
  </si>
  <si>
    <t>Hay espacios de aire que puentean del lado caliente al frío del aislante con circulación de aire</t>
  </si>
  <si>
    <t>δp</t>
  </si>
  <si>
    <t>δp [kg/msPa]</t>
  </si>
  <si>
    <t>[kg/msPa]</t>
  </si>
  <si>
    <t>Permeabilidad al paso de vapor de agua</t>
  </si>
  <si>
    <t>mu=delta_0/delta_p</t>
  </si>
  <si>
    <t>Parrón</t>
  </si>
  <si>
    <t>----------------------------------------------------------------------------</t>
  </si>
  <si>
    <t>Provincia de Chacabuco</t>
  </si>
  <si>
    <t>Zp [MNs/g]</t>
  </si>
  <si>
    <t>[MNs/g]</t>
  </si>
  <si>
    <t>mu=delta_0*Z*factor/d</t>
  </si>
  <si>
    <t>Curicó</t>
  </si>
  <si>
    <t>REGIÓN DE VALPARAÍSO:</t>
  </si>
  <si>
    <t>Provincia de Cordillera</t>
  </si>
  <si>
    <t>δp [gm/MNs]</t>
  </si>
  <si>
    <t>[gm/MNs]</t>
  </si>
  <si>
    <t>mu=delta_0/(delta_p*factor)</t>
  </si>
  <si>
    <t>Talca</t>
  </si>
  <si>
    <t>Provincia de Maipo</t>
  </si>
  <si>
    <t>características del techo</t>
  </si>
  <si>
    <t>δp [g/mhmmHg]</t>
  </si>
  <si>
    <t>[g/mhmmHg]</t>
  </si>
  <si>
    <t>Chanco</t>
  </si>
  <si>
    <t>Provincia de Melipilla</t>
  </si>
  <si>
    <t>No aplica</t>
  </si>
  <si>
    <t>Linares</t>
  </si>
  <si>
    <t>Provincia de Santiago</t>
  </si>
  <si>
    <t>Techo de tejas sin fieltro, placas o similares</t>
  </si>
  <si>
    <t>Cauquenes</t>
  </si>
  <si>
    <t>Provincia de Talagante</t>
  </si>
  <si>
    <t>Cámara de aire levemente ventilada</t>
  </si>
  <si>
    <t>Chillán</t>
  </si>
  <si>
    <t>Provincia de Cachapoal</t>
  </si>
  <si>
    <t>Techo de lámina o tejas con fieltro o placas o similar bajo las tejas con revestimiento de aluminio bajo cubierta</t>
  </si>
  <si>
    <t>Cámara de aire ventilada</t>
  </si>
  <si>
    <t>Concepción</t>
  </si>
  <si>
    <t>Provincia de Colchagua</t>
  </si>
  <si>
    <t>Techo formado por placas y fieltro</t>
  </si>
  <si>
    <t>Temuco</t>
  </si>
  <si>
    <t>Provincia de Cardenal Caro</t>
  </si>
  <si>
    <t>Valdivia</t>
  </si>
  <si>
    <t>Provincia de Curicó</t>
  </si>
  <si>
    <t>Osorno</t>
  </si>
  <si>
    <t>-----------------------------------------------------------------------------</t>
  </si>
  <si>
    <t>Provincia de Talca</t>
  </si>
  <si>
    <t>zona</t>
  </si>
  <si>
    <t>Bibliotecas</t>
  </si>
  <si>
    <t>Puerto Montt</t>
  </si>
  <si>
    <t>REGIÓN METROPOLITANA :</t>
  </si>
  <si>
    <t>Provincia de Linares</t>
  </si>
  <si>
    <t>lista_mat_usuario</t>
  </si>
  <si>
    <t>MATERIALES_USUARIO</t>
  </si>
  <si>
    <t>Puerto Aysén</t>
  </si>
  <si>
    <t>Provincia de Cauquenes</t>
  </si>
  <si>
    <t>B</t>
  </si>
  <si>
    <t>lista_mat_DITEC</t>
  </si>
  <si>
    <t>MATERIALES_DITEC</t>
  </si>
  <si>
    <t>Coyhaique</t>
  </si>
  <si>
    <t>Provincia de Diguillín</t>
  </si>
  <si>
    <t>C</t>
  </si>
  <si>
    <t>Balmaceda</t>
  </si>
  <si>
    <t>Provincia de Itata</t>
  </si>
  <si>
    <t>D</t>
  </si>
  <si>
    <t>Chile Chico</t>
  </si>
  <si>
    <t>Provincia de Punilla</t>
  </si>
  <si>
    <t>E</t>
  </si>
  <si>
    <t>Cochrane</t>
  </si>
  <si>
    <t>F</t>
  </si>
  <si>
    <t>Punta Arenas</t>
  </si>
  <si>
    <t>G</t>
  </si>
  <si>
    <t>Isla Diego Ramírez</t>
  </si>
  <si>
    <t>------------------------------------------------------------------------------</t>
  </si>
  <si>
    <t>H</t>
  </si>
  <si>
    <t>C.M.A. Pdte E. Frei M.</t>
  </si>
  <si>
    <t>REGIÓN DEL LIBERTADOR GENERAL BERNARDO O´HIGGINS :</t>
  </si>
  <si>
    <t>I</t>
  </si>
  <si>
    <t>mes</t>
  </si>
  <si>
    <t>n mes</t>
  </si>
  <si>
    <t>días del mes</t>
  </si>
  <si>
    <t>Base Antártica A. Prat</t>
  </si>
  <si>
    <t>Base Antártica B. O'Higgins</t>
  </si>
  <si>
    <t>aserrado</t>
  </si>
  <si>
    <t>-------------------------------------------------------------------------------</t>
  </si>
  <si>
    <t>ancho</t>
  </si>
  <si>
    <t>profundidad</t>
  </si>
  <si>
    <t>VALORES DE HUMEDAD RELATIVA EXTERIOR MEDIA - NCh 1079</t>
  </si>
  <si>
    <t>REGIÓN DEL MAULE :</t>
  </si>
  <si>
    <t>2x2</t>
  </si>
  <si>
    <t>2x3</t>
  </si>
  <si>
    <t>media anual</t>
  </si>
  <si>
    <t>2x6</t>
  </si>
  <si>
    <t>--------------------------------------------------------------------------------</t>
  </si>
  <si>
    <t>2x7</t>
  </si>
  <si>
    <t>REGIÓN DE ÑUBLE :</t>
  </si>
  <si>
    <t>2x8</t>
  </si>
  <si>
    <t>2x9</t>
  </si>
  <si>
    <t>2x10</t>
  </si>
  <si>
    <t>---------------------------------------------------------------------------------</t>
  </si>
  <si>
    <t>simple</t>
  </si>
  <si>
    <t>REGIÓN DEL BIOBÍO :</t>
  </si>
  <si>
    <t>Provincia de Biobío</t>
  </si>
  <si>
    <t>triple</t>
  </si>
  <si>
    <t>Provincia de Concepción</t>
  </si>
  <si>
    <t>Provincia de Arauco</t>
  </si>
  <si>
    <t>U_e_k por defecto</t>
  </si>
  <si>
    <t>----------------------------------------------------------------------------------</t>
  </si>
  <si>
    <t>n por defecto</t>
  </si>
  <si>
    <t>REGIÓN DE LA ARAUCANÍA :</t>
  </si>
  <si>
    <t>Provincia de Malleco</t>
  </si>
  <si>
    <t>λ terreno</t>
  </si>
  <si>
    <t>W/mK</t>
  </si>
  <si>
    <t>Provincia de Cautín</t>
  </si>
  <si>
    <t>Métodos de temperatura exterior</t>
  </si>
  <si>
    <t>-----------------------------------------------------------------------------------</t>
  </si>
  <si>
    <t>Por zona térmica</t>
  </si>
  <si>
    <t>REGIÓN DE LOS RÍOS :</t>
  </si>
  <si>
    <t>NCh1079 - por estación meteorológica</t>
  </si>
  <si>
    <t>Provincia de Valdivia</t>
  </si>
  <si>
    <t>Valores Provincia</t>
  </si>
  <si>
    <t>Provincia del Ranco</t>
  </si>
  <si>
    <t>------------------------------------------------------------------------------------</t>
  </si>
  <si>
    <t>Métodos de humedad relativa exterior</t>
  </si>
  <si>
    <t>Humedad relativa suelo</t>
  </si>
  <si>
    <t>REGIÓN DE LOS LAGOS :</t>
  </si>
  <si>
    <t>Provincia de Osorno</t>
  </si>
  <si>
    <t>Provincia de Llanquihue</t>
  </si>
  <si>
    <t>Provincia de Chiloé</t>
  </si>
  <si>
    <t>Humedad relativa fija</t>
  </si>
  <si>
    <t>Provincia de Palena</t>
  </si>
  <si>
    <t>-------------------------------------------------------------------------------------</t>
  </si>
  <si>
    <t>1. El método no es válido para cuando la relación entre el límite superior e inferior excede 1,5 (error relativo máximo &gt; 20%).</t>
  </si>
  <si>
    <t>REGIÓN DE AYSÉN DEL GENERAL CARLOS IBAÑEZ DEL CAMPO :</t>
  </si>
  <si>
    <t>Métodos de temperatura interior</t>
  </si>
  <si>
    <t>2. Correcciones según Anexo F se consideran sólo si equivalen al menos al 3% del valor de U.</t>
  </si>
  <si>
    <t>Provincia de Coyhaique</t>
  </si>
  <si>
    <t>NCh1973 valores por defecto</t>
  </si>
  <si>
    <t>3. Cumplir la exigencia de Transmitancia Térmica no exime a la solución constructiva de cumplir otros requerimientos como por ejemplo los relacionados con condensación.</t>
  </si>
  <si>
    <t>Provincia de Aysén</t>
  </si>
  <si>
    <t>Temperatura interior fija</t>
  </si>
  <si>
    <t>°C</t>
  </si>
  <si>
    <t>Provincia de General Carrera</t>
  </si>
  <si>
    <t>Provincia de Capitán Prat</t>
  </si>
  <si>
    <t>--------------------------------------------------------------------------------------</t>
  </si>
  <si>
    <t>Métodos de humedad relativa interior</t>
  </si>
  <si>
    <t>REGIÓN DE MAGALLANES Y DE LA ANTÁRTICA CHILENA :</t>
  </si>
  <si>
    <t>NCh1973 valores por defecto según tipo de clima</t>
  </si>
  <si>
    <t>Provincia de Última Esperanza</t>
  </si>
  <si>
    <t>NCh1973 valores conocidos de variación de humedad interior</t>
  </si>
  <si>
    <t>Provincia de Magallanes</t>
  </si>
  <si>
    <t>Provincia de Tierra del Fuego</t>
  </si>
  <si>
    <t>Provincia de la Antártica Chilena</t>
  </si>
  <si>
    <t>tipos de clima</t>
  </si>
  <si>
    <t>Clima continental</t>
  </si>
  <si>
    <t>Clima marítimo</t>
  </si>
  <si>
    <t>Rv</t>
  </si>
  <si>
    <t>Rsi mobiliario</t>
  </si>
  <si>
    <r>
      <t>[m</t>
    </r>
    <r>
      <rPr>
        <sz val="11"/>
        <color theme="1"/>
        <rFont val="Aptos Narrow"/>
        <family val="2"/>
      </rPr>
      <t>²</t>
    </r>
    <r>
      <rPr>
        <sz val="11"/>
        <color theme="1"/>
        <rFont val="Calibri"/>
        <family val="2"/>
        <scheme val="minor"/>
      </rPr>
      <t>K/W]</t>
    </r>
  </si>
  <si>
    <t>Estación meteorológica</t>
  </si>
  <si>
    <t>acumulación máxima de agua condensada</t>
  </si>
  <si>
    <t>[kg/m²]</t>
  </si>
  <si>
    <t>Zona térmica A</t>
  </si>
  <si>
    <t>Nivel de ocupación (clima continental)</t>
  </si>
  <si>
    <t>Normal</t>
  </si>
  <si>
    <t>Zona térmica C</t>
  </si>
  <si>
    <t>Alta</t>
  </si>
  <si>
    <t>Condiciones zona térmica comuna</t>
  </si>
  <si>
    <t>Zona térmica D</t>
  </si>
  <si>
    <t>Zona térmica E</t>
  </si>
  <si>
    <t>Clase de humedad (clima marítimo)</t>
  </si>
  <si>
    <t>Columna1</t>
  </si>
  <si>
    <r>
      <rPr>
        <sz val="11"/>
        <color theme="1"/>
        <rFont val="Aptos Narrow"/>
        <family val="2"/>
      </rPr>
      <t>m Δ</t>
    </r>
    <r>
      <rPr>
        <sz val="11"/>
        <color theme="1"/>
        <rFont val="Calibri"/>
        <family val="2"/>
      </rPr>
      <t>v</t>
    </r>
  </si>
  <si>
    <r>
      <rPr>
        <sz val="11"/>
        <color theme="1"/>
        <rFont val="Aptos Narrow"/>
        <family val="2"/>
      </rPr>
      <t>y1 Δ</t>
    </r>
    <r>
      <rPr>
        <sz val="11"/>
        <color theme="1"/>
        <rFont val="Calibri"/>
        <family val="2"/>
      </rPr>
      <t>v</t>
    </r>
  </si>
  <si>
    <r>
      <rPr>
        <sz val="11"/>
        <color theme="1"/>
        <rFont val="Aptos Narrow"/>
        <family val="2"/>
      </rPr>
      <t>y0 Δ</t>
    </r>
    <r>
      <rPr>
        <sz val="11"/>
        <color theme="1"/>
        <rFont val="Calibri"/>
        <family val="2"/>
      </rPr>
      <t>v</t>
    </r>
  </si>
  <si>
    <t>Altitud &lt; 1.100 m.s.n.m.</t>
  </si>
  <si>
    <t>Zona térmica F</t>
  </si>
  <si>
    <t>Edificaciones desocupadas, almacenamiento de productos secos</t>
  </si>
  <si>
    <r>
      <t xml:space="preserve">1.100 m.s.n.m. </t>
    </r>
    <r>
      <rPr>
        <sz val="11"/>
        <color theme="1"/>
        <rFont val="Calibri"/>
        <family val="2"/>
      </rPr>
      <t xml:space="preserve">≤ </t>
    </r>
    <r>
      <rPr>
        <sz val="11"/>
        <color theme="1"/>
        <rFont val="Calibri"/>
        <family val="2"/>
        <scheme val="minor"/>
      </rPr>
      <t>Altitud &lt; 3.000 m.s.n.m.</t>
    </r>
  </si>
  <si>
    <t>Zona térmica G</t>
  </si>
  <si>
    <t>Oficinas, viviendas con ocupación normal y ventilación</t>
  </si>
  <si>
    <r>
      <t xml:space="preserve">Altitud </t>
    </r>
    <r>
      <rPr>
        <sz val="11"/>
        <color theme="1"/>
        <rFont val="Aptos Narrow"/>
        <family val="2"/>
      </rPr>
      <t>≥</t>
    </r>
    <r>
      <rPr>
        <sz val="11"/>
        <color theme="1"/>
        <rFont val="Calibri"/>
        <family val="2"/>
        <scheme val="minor"/>
      </rPr>
      <t xml:space="preserve"> 3.000 m.s.n.m.</t>
    </r>
  </si>
  <si>
    <t>Zona térmica H</t>
  </si>
  <si>
    <t>Edificaciones con ocupación desconocida</t>
  </si>
  <si>
    <t>Altitud &lt; 1.000 m.s.n.m.</t>
  </si>
  <si>
    <t>Zona térmica I</t>
  </si>
  <si>
    <t>Salas de deportes, cocinas, comedores</t>
  </si>
  <si>
    <r>
      <t xml:space="preserve">Altitud </t>
    </r>
    <r>
      <rPr>
        <sz val="11"/>
        <color theme="1"/>
        <rFont val="Aptos Narrow"/>
        <family val="2"/>
      </rPr>
      <t>≥</t>
    </r>
    <r>
      <rPr>
        <sz val="11"/>
        <color theme="1"/>
        <rFont val="Calibri"/>
        <family val="2"/>
        <scheme val="minor"/>
      </rPr>
      <t xml:space="preserve"> 1.000 m.s.n.m.</t>
    </r>
  </si>
  <si>
    <t>Edificaciones especiales, por ejemplo, lavandería, cervecería, piscina</t>
  </si>
  <si>
    <t>Altitud &lt; 2.000 m.s.n.m.</t>
  </si>
  <si>
    <t>Macrozona B, C, D</t>
  </si>
  <si>
    <r>
      <t xml:space="preserve">Altitud </t>
    </r>
    <r>
      <rPr>
        <sz val="11"/>
        <color theme="1"/>
        <rFont val="Aptos Narrow"/>
        <family val="2"/>
      </rPr>
      <t>≥</t>
    </r>
    <r>
      <rPr>
        <sz val="11"/>
        <color theme="1"/>
        <rFont val="Calibri"/>
        <family val="2"/>
        <scheme val="minor"/>
      </rPr>
      <t xml:space="preserve"> 2.000 m.s.n.m.</t>
    </r>
  </si>
  <si>
    <t>Macrozona B, C, D, E</t>
  </si>
  <si>
    <t>Altitud &lt; 3.000 m.s.n.m.</t>
  </si>
  <si>
    <t>Macrozona F, G</t>
  </si>
  <si>
    <r>
      <rPr>
        <sz val="11"/>
        <color theme="1"/>
        <rFont val="Aptos Narrow"/>
        <family val="2"/>
      </rPr>
      <t>δ</t>
    </r>
    <r>
      <rPr>
        <sz val="11"/>
        <color theme="1"/>
        <rFont val="Calibri"/>
        <family val="2"/>
      </rPr>
      <t>0</t>
    </r>
  </si>
  <si>
    <t>kg/(msPa)</t>
  </si>
  <si>
    <r>
      <t xml:space="preserve">Longitud </t>
    </r>
    <r>
      <rPr>
        <sz val="11"/>
        <color theme="1"/>
        <rFont val="Aptos Narrow"/>
        <family val="2"/>
      </rPr>
      <t>≥</t>
    </r>
    <r>
      <rPr>
        <sz val="11"/>
        <color theme="1"/>
        <rFont val="Calibri"/>
        <family val="2"/>
      </rPr>
      <t xml:space="preserve"> 70°</t>
    </r>
  </si>
  <si>
    <t>Macrozona H, I</t>
  </si>
  <si>
    <r>
      <t>Longitud &lt;</t>
    </r>
    <r>
      <rPr>
        <sz val="11"/>
        <color theme="1"/>
        <rFont val="Calibri"/>
        <family val="2"/>
      </rPr>
      <t xml:space="preserve"> 70°</t>
    </r>
    <r>
      <rPr>
        <sz val="11"/>
        <color theme="1"/>
        <rFont val="Calibri"/>
        <family val="2"/>
        <scheme val="minor"/>
      </rPr>
      <t xml:space="preserve"> y Altitud &lt; 3.000 m.s.n.m.</t>
    </r>
  </si>
  <si>
    <r>
      <t xml:space="preserve">Longitud </t>
    </r>
    <r>
      <rPr>
        <sz val="11"/>
        <color theme="1"/>
        <rFont val="Aptos Narrow"/>
        <family val="2"/>
      </rPr>
      <t>&gt;</t>
    </r>
    <r>
      <rPr>
        <sz val="11"/>
        <color theme="1"/>
        <rFont val="Calibri"/>
        <family val="2"/>
      </rPr>
      <t xml:space="preserve"> 70°44'</t>
    </r>
  </si>
  <si>
    <r>
      <t xml:space="preserve">Longitud </t>
    </r>
    <r>
      <rPr>
        <sz val="11"/>
        <color theme="1"/>
        <rFont val="Calibri"/>
        <family val="2"/>
      </rPr>
      <t>≤ 70°44'</t>
    </r>
    <r>
      <rPr>
        <sz val="11"/>
        <color theme="1"/>
        <rFont val="Calibri"/>
        <family val="2"/>
        <scheme val="minor"/>
      </rPr>
      <t xml:space="preserve"> y Altitud &lt; 3.000 m.s.n.m.</t>
    </r>
  </si>
  <si>
    <r>
      <t>Longitud &gt;</t>
    </r>
    <r>
      <rPr>
        <sz val="11"/>
        <color theme="1"/>
        <rFont val="Calibri"/>
        <family val="2"/>
      </rPr>
      <t xml:space="preserve"> 71°</t>
    </r>
  </si>
  <si>
    <r>
      <t xml:space="preserve">Longitud </t>
    </r>
    <r>
      <rPr>
        <sz val="11"/>
        <color theme="1"/>
        <rFont val="Calibri"/>
        <family val="2"/>
      </rPr>
      <t>≤ 71°</t>
    </r>
  </si>
  <si>
    <r>
      <t xml:space="preserve">Longitud </t>
    </r>
    <r>
      <rPr>
        <sz val="11"/>
        <color theme="1"/>
        <rFont val="Aptos Narrow"/>
        <family val="2"/>
      </rPr>
      <t>&gt;</t>
    </r>
    <r>
      <rPr>
        <sz val="11"/>
        <color theme="1"/>
        <rFont val="Calibri"/>
        <family val="2"/>
      </rPr>
      <t xml:space="preserve"> 71°</t>
    </r>
    <r>
      <rPr>
        <sz val="11"/>
        <color theme="1"/>
        <rFont val="Calibri"/>
        <family val="2"/>
        <scheme val="minor"/>
      </rPr>
      <t>15'</t>
    </r>
  </si>
  <si>
    <r>
      <t xml:space="preserve">Longitud </t>
    </r>
    <r>
      <rPr>
        <sz val="11"/>
        <color theme="1"/>
        <rFont val="Calibri"/>
        <family val="2"/>
      </rPr>
      <t>≤ 71°</t>
    </r>
    <r>
      <rPr>
        <sz val="11"/>
        <color theme="1"/>
        <rFont val="Calibri"/>
        <family val="2"/>
        <scheme val="minor"/>
      </rPr>
      <t>15'</t>
    </r>
  </si>
  <si>
    <r>
      <t xml:space="preserve">Longitud </t>
    </r>
    <r>
      <rPr>
        <sz val="11"/>
        <color theme="1"/>
        <rFont val="Aptos Narrow"/>
        <family val="2"/>
      </rPr>
      <t>&gt;</t>
    </r>
    <r>
      <rPr>
        <sz val="11"/>
        <color theme="1"/>
        <rFont val="Calibri"/>
        <family val="2"/>
      </rPr>
      <t xml:space="preserve"> 73°</t>
    </r>
    <r>
      <rPr>
        <sz val="11"/>
        <color theme="1"/>
        <rFont val="Calibri"/>
        <family val="2"/>
        <scheme val="minor"/>
      </rPr>
      <t>15'</t>
    </r>
  </si>
  <si>
    <r>
      <t xml:space="preserve">Longitud </t>
    </r>
    <r>
      <rPr>
        <sz val="11"/>
        <color theme="1"/>
        <rFont val="Calibri"/>
        <family val="2"/>
      </rPr>
      <t>≤ 73°</t>
    </r>
    <r>
      <rPr>
        <sz val="11"/>
        <color theme="1"/>
        <rFont val="Calibri"/>
        <family val="2"/>
        <scheme val="minor"/>
      </rPr>
      <t>15'</t>
    </r>
  </si>
  <si>
    <t># Región</t>
  </si>
  <si>
    <t>Región</t>
  </si>
  <si>
    <t>Comuna</t>
  </si>
  <si>
    <t>Longitud</t>
  </si>
  <si>
    <t>Latitud</t>
  </si>
  <si>
    <t>Arica y de Parinacota</t>
  </si>
  <si>
    <t>Algarrobo</t>
  </si>
  <si>
    <t>Camarones</t>
  </si>
  <si>
    <t>Alhué</t>
  </si>
  <si>
    <t>-Provincia de Arica:</t>
  </si>
  <si>
    <t>U Muro</t>
  </si>
  <si>
    <t>U Techo</t>
  </si>
  <si>
    <t>U Piso ventilado</t>
  </si>
  <si>
    <t>R100 Muro</t>
  </si>
  <si>
    <t>R100 Techo</t>
  </si>
  <si>
    <t>R100 Piso ventilado</t>
  </si>
  <si>
    <t>Parinacota</t>
  </si>
  <si>
    <t>General Lagos</t>
  </si>
  <si>
    <t>Alto Biobío</t>
  </si>
  <si>
    <t>Putre</t>
  </si>
  <si>
    <t>Alto del Carmen</t>
  </si>
  <si>
    <t>Tarapacá</t>
  </si>
  <si>
    <t>Alto Hospicio</t>
  </si>
  <si>
    <t>-Provincia de Parinacota:</t>
  </si>
  <si>
    <t>Ancud</t>
  </si>
  <si>
    <t>Tamarugal</t>
  </si>
  <si>
    <t>Camiña</t>
  </si>
  <si>
    <t>Andacollo</t>
  </si>
  <si>
    <t>Colchane</t>
  </si>
  <si>
    <t>Angol</t>
  </si>
  <si>
    <t>-------------------</t>
  </si>
  <si>
    <t>Huara</t>
  </si>
  <si>
    <t>Antártica</t>
  </si>
  <si>
    <t>Pica</t>
  </si>
  <si>
    <t>-Provincia de Iquique:</t>
  </si>
  <si>
    <t>Pozo Almonte</t>
  </si>
  <si>
    <t>Antuco</t>
  </si>
  <si>
    <t>Arauco</t>
  </si>
  <si>
    <t>Mejillones</t>
  </si>
  <si>
    <t>-Provincia de Tamarugal:</t>
  </si>
  <si>
    <t>Sierra Gorda</t>
  </si>
  <si>
    <t>Aysén</t>
  </si>
  <si>
    <t>Taltal</t>
  </si>
  <si>
    <t>Buin</t>
  </si>
  <si>
    <t>El Loa</t>
  </si>
  <si>
    <t>Bulnes</t>
  </si>
  <si>
    <t>Ollagüe</t>
  </si>
  <si>
    <t>Cabildo</t>
  </si>
  <si>
    <t>San Pedro de Atacama</t>
  </si>
  <si>
    <t>Cabo de Hornos</t>
  </si>
  <si>
    <t>PDA</t>
  </si>
  <si>
    <t>Tocopilla</t>
  </si>
  <si>
    <t>María Elena</t>
  </si>
  <si>
    <t>Cabrero</t>
  </si>
  <si>
    <t>--------------------</t>
  </si>
  <si>
    <t>Talca - Maule</t>
  </si>
  <si>
    <t>Valle central Provincia de Curicó</t>
  </si>
  <si>
    <t>Atacama</t>
  </si>
  <si>
    <t>Chañaral</t>
  </si>
  <si>
    <t>Calbuco</t>
  </si>
  <si>
    <t>-Provincia de Antofagasta:</t>
  </si>
  <si>
    <t>Valle central Región de O'Higgins</t>
  </si>
  <si>
    <t>Diego de Almagro</t>
  </si>
  <si>
    <t>Caldera</t>
  </si>
  <si>
    <t>Concepción Metropolitano</t>
  </si>
  <si>
    <t>Calera</t>
  </si>
  <si>
    <t>Temuco - Padre Las Casas</t>
  </si>
  <si>
    <t>Calera de Tango</t>
  </si>
  <si>
    <t>Tierra Amarilla</t>
  </si>
  <si>
    <t>Calle Larga</t>
  </si>
  <si>
    <t>Los Ángeles</t>
  </si>
  <si>
    <t>Huasco</t>
  </si>
  <si>
    <t>-Provincia del Loa:</t>
  </si>
  <si>
    <t>Freirina</t>
  </si>
  <si>
    <t>Canela</t>
  </si>
  <si>
    <t>Cañete</t>
  </si>
  <si>
    <t>Coquimbo</t>
  </si>
  <si>
    <t>Choapa</t>
  </si>
  <si>
    <t>Carahue</t>
  </si>
  <si>
    <t>-Provincia de Tocopilla:</t>
  </si>
  <si>
    <t>Illapel</t>
  </si>
  <si>
    <t>Cartagena</t>
  </si>
  <si>
    <t>Los Vilos</t>
  </si>
  <si>
    <t>Casablanca</t>
  </si>
  <si>
    <t>Salamanca</t>
  </si>
  <si>
    <t>Castro</t>
  </si>
  <si>
    <t>---------------------</t>
  </si>
  <si>
    <t>Elqui</t>
  </si>
  <si>
    <t>Catemu</t>
  </si>
  <si>
    <t>-Provincia de Chañaral:</t>
  </si>
  <si>
    <t>La Higuera</t>
  </si>
  <si>
    <t>Cerrillos</t>
  </si>
  <si>
    <t>Cerro Navia</t>
  </si>
  <si>
    <t>Paiguano</t>
  </si>
  <si>
    <t>Chaitén</t>
  </si>
  <si>
    <t>-Provincia de Copiapó:</t>
  </si>
  <si>
    <t>Limarí</t>
  </si>
  <si>
    <t>Combarbalá</t>
  </si>
  <si>
    <t>Monte Patria</t>
  </si>
  <si>
    <t>Chépica</t>
  </si>
  <si>
    <t>Chiguayante</t>
  </si>
  <si>
    <t>-Provincia de Huasco:</t>
  </si>
  <si>
    <t>Punitaqui</t>
  </si>
  <si>
    <t>Río Hurtado</t>
  </si>
  <si>
    <t>Isla de Pascua</t>
  </si>
  <si>
    <t>Isla de Pascua</t>
  </si>
  <si>
    <t>Chillán Viejo</t>
  </si>
  <si>
    <t>Chimbarongo</t>
  </si>
  <si>
    <t>Cholchol</t>
  </si>
  <si>
    <t>----------------------</t>
  </si>
  <si>
    <t>Rinconada</t>
  </si>
  <si>
    <t>Chonchi</t>
  </si>
  <si>
    <t>San Esteban</t>
  </si>
  <si>
    <t>Cisnes</t>
  </si>
  <si>
    <t>-Provincia de Choapa:</t>
  </si>
  <si>
    <t>Marga Marga</t>
  </si>
  <si>
    <t>Limache</t>
  </si>
  <si>
    <t>Cobquecura</t>
  </si>
  <si>
    <t>Olmué</t>
  </si>
  <si>
    <t>Cochamó</t>
  </si>
  <si>
    <t>Quilpué</t>
  </si>
  <si>
    <t>Villa Alemana</t>
  </si>
  <si>
    <t>Codegua</t>
  </si>
  <si>
    <t>Petorca</t>
  </si>
  <si>
    <t>Coelemu</t>
  </si>
  <si>
    <t>-Provincia de Elqui:</t>
  </si>
  <si>
    <t>La Ligua</t>
  </si>
  <si>
    <t>Coihueco</t>
  </si>
  <si>
    <t>Papudo</t>
  </si>
  <si>
    <t>Coinco</t>
  </si>
  <si>
    <t>Colbún</t>
  </si>
  <si>
    <t>Zapallar</t>
  </si>
  <si>
    <t>Quillota</t>
  </si>
  <si>
    <t>Colina</t>
  </si>
  <si>
    <t>Hijuelas</t>
  </si>
  <si>
    <t>Collipulli</t>
  </si>
  <si>
    <t>La Cruz</t>
  </si>
  <si>
    <t>Coltauco</t>
  </si>
  <si>
    <t>-Provincia de Limarí:</t>
  </si>
  <si>
    <t>Nogales</t>
  </si>
  <si>
    <t>San Antonio</t>
  </si>
  <si>
    <t>Conchalí</t>
  </si>
  <si>
    <t>Concón</t>
  </si>
  <si>
    <t>El Quisco</t>
  </si>
  <si>
    <t>Constitución</t>
  </si>
  <si>
    <t>El Tabo</t>
  </si>
  <si>
    <t>Contulmo</t>
  </si>
  <si>
    <t>-----------------------</t>
  </si>
  <si>
    <t>Santo Domingo</t>
  </si>
  <si>
    <t>-Provincia de Isla de Pascua:</t>
  </si>
  <si>
    <t>San Felipe de Aconcagua</t>
  </si>
  <si>
    <t>Coronel</t>
  </si>
  <si>
    <t>Llaillay</t>
  </si>
  <si>
    <t>Corral</t>
  </si>
  <si>
    <t>-Provincia de Los Andes:</t>
  </si>
  <si>
    <t>Panquehue</t>
  </si>
  <si>
    <t>Putaendo</t>
  </si>
  <si>
    <t>Cunco</t>
  </si>
  <si>
    <t>Curacautín</t>
  </si>
  <si>
    <t>Santa María</t>
  </si>
  <si>
    <t>Curacaví</t>
  </si>
  <si>
    <t>Curaco de Vélez</t>
  </si>
  <si>
    <t>-Provincia de Marga Marga:</t>
  </si>
  <si>
    <t>Curanilahue</t>
  </si>
  <si>
    <t>Juan Fernández</t>
  </si>
  <si>
    <t>Curarrehue</t>
  </si>
  <si>
    <t>Puchuncaví</t>
  </si>
  <si>
    <t>Curepto</t>
  </si>
  <si>
    <t>Dalcahue</t>
  </si>
  <si>
    <t>-Provincia de Petorca:</t>
  </si>
  <si>
    <t>Metropolitana de Santiago</t>
  </si>
  <si>
    <t>Chacabuco</t>
  </si>
  <si>
    <t>Doñihue</t>
  </si>
  <si>
    <t>Lampa</t>
  </si>
  <si>
    <t>El Bosque</t>
  </si>
  <si>
    <t>Tiltil</t>
  </si>
  <si>
    <t>El Carmen</t>
  </si>
  <si>
    <t>Cordillera</t>
  </si>
  <si>
    <t>Pirque</t>
  </si>
  <si>
    <t>El Monte</t>
  </si>
  <si>
    <t>Puente Alto</t>
  </si>
  <si>
    <t>-Provincia de Quillota:</t>
  </si>
  <si>
    <t>San José de Maipo</t>
  </si>
  <si>
    <t>Maipo</t>
  </si>
  <si>
    <t>Empedrado</t>
  </si>
  <si>
    <t>Ercilla</t>
  </si>
  <si>
    <t>Paine</t>
  </si>
  <si>
    <t>Estación Central</t>
  </si>
  <si>
    <t>San Bernardo</t>
  </si>
  <si>
    <t>Florida</t>
  </si>
  <si>
    <t>Melipilla</t>
  </si>
  <si>
    <t>Freire</t>
  </si>
  <si>
    <t>-Provincia de San Antonio:</t>
  </si>
  <si>
    <t>María Pinto</t>
  </si>
  <si>
    <t>Fresia</t>
  </si>
  <si>
    <t>Frutillar</t>
  </si>
  <si>
    <t>San Pedro</t>
  </si>
  <si>
    <t>Futaleufú</t>
  </si>
  <si>
    <t>Santiago</t>
  </si>
  <si>
    <t>Futrono</t>
  </si>
  <si>
    <t>Galvarino</t>
  </si>
  <si>
    <t>-Provincia de San Felipe:</t>
  </si>
  <si>
    <t>Gorbea</t>
  </si>
  <si>
    <t>Graneros</t>
  </si>
  <si>
    <t>Huechuraba</t>
  </si>
  <si>
    <t>Guaitecas</t>
  </si>
  <si>
    <t>Independencia</t>
  </si>
  <si>
    <t>La Cisterna</t>
  </si>
  <si>
    <t>Hualaihué</t>
  </si>
  <si>
    <t>La Florida</t>
  </si>
  <si>
    <t>Hualañé</t>
  </si>
  <si>
    <t>La Granja</t>
  </si>
  <si>
    <t>Hualpén</t>
  </si>
  <si>
    <t>-Provincia de Valparaíso:</t>
  </si>
  <si>
    <t>La Pintana</t>
  </si>
  <si>
    <t>Hualqui</t>
  </si>
  <si>
    <t>La Reina</t>
  </si>
  <si>
    <t>Las Condes</t>
  </si>
  <si>
    <t>Lo Barnechea</t>
  </si>
  <si>
    <t>Lo Espejo</t>
  </si>
  <si>
    <t>Lo Prado</t>
  </si>
  <si>
    <t>Macul</t>
  </si>
  <si>
    <t>Maipú</t>
  </si>
  <si>
    <t>Isla de Maipo</t>
  </si>
  <si>
    <t>------------------------</t>
  </si>
  <si>
    <t>Ñuñoa</t>
  </si>
  <si>
    <t>REGIÓN METROPOLITANA DE SANTIAGO:</t>
  </si>
  <si>
    <t>Pedro Aguirre Cerda</t>
  </si>
  <si>
    <t>-Provincia de Chacabuco:</t>
  </si>
  <si>
    <t>Peñalolén</t>
  </si>
  <si>
    <t>Providencia</t>
  </si>
  <si>
    <t>Pudahuel</t>
  </si>
  <si>
    <t>La Estrella</t>
  </si>
  <si>
    <t>Quilicura</t>
  </si>
  <si>
    <t>-Provincia de Cordillera:</t>
  </si>
  <si>
    <t>Quinta Normal</t>
  </si>
  <si>
    <t>Recoleta</t>
  </si>
  <si>
    <t>Renca</t>
  </si>
  <si>
    <t>San Joaquín</t>
  </si>
  <si>
    <t>-Provincia de Maipo:</t>
  </si>
  <si>
    <t>San Miguel</t>
  </si>
  <si>
    <t>San Ramón</t>
  </si>
  <si>
    <t>La Unión</t>
  </si>
  <si>
    <t>Vitacura</t>
  </si>
  <si>
    <t>Lago Ranco</t>
  </si>
  <si>
    <t>Talagante</t>
  </si>
  <si>
    <t>Lago Verde</t>
  </si>
  <si>
    <t>-Provincia de Melipilla:</t>
  </si>
  <si>
    <t>Laguna Blanca</t>
  </si>
  <si>
    <t>Padre Hurtado</t>
  </si>
  <si>
    <t>Laja</t>
  </si>
  <si>
    <t>Peñaflor</t>
  </si>
  <si>
    <t>Lanco</t>
  </si>
  <si>
    <t>OHiggins</t>
  </si>
  <si>
    <t>Cachapoal</t>
  </si>
  <si>
    <t>Las Cabras</t>
  </si>
  <si>
    <t>-Provincia de Santiago:</t>
  </si>
  <si>
    <t>Lautaro</t>
  </si>
  <si>
    <t>Lebu</t>
  </si>
  <si>
    <t>Licantén</t>
  </si>
  <si>
    <t>Machalí</t>
  </si>
  <si>
    <t>Malloa</t>
  </si>
  <si>
    <t>Litueche</t>
  </si>
  <si>
    <t>Mostazal</t>
  </si>
  <si>
    <t>Olivar</t>
  </si>
  <si>
    <t>Llanquihue</t>
  </si>
  <si>
    <t>Peumo</t>
  </si>
  <si>
    <t>Pichidegua</t>
  </si>
  <si>
    <t>Quinta de Tilcoco</t>
  </si>
  <si>
    <t>Rancagua</t>
  </si>
  <si>
    <t>Lolol</t>
  </si>
  <si>
    <t>Rengo</t>
  </si>
  <si>
    <t>Loncoche</t>
  </si>
  <si>
    <t>Requínoa</t>
  </si>
  <si>
    <t>Longaví</t>
  </si>
  <si>
    <t>San Vicente</t>
  </si>
  <si>
    <t>Lonquimay</t>
  </si>
  <si>
    <t>Cardenal Caro</t>
  </si>
  <si>
    <t>Los Álamos</t>
  </si>
  <si>
    <t>Marchihue</t>
  </si>
  <si>
    <t>Navidad</t>
  </si>
  <si>
    <t>Los Lagos</t>
  </si>
  <si>
    <t>Paredones</t>
  </si>
  <si>
    <t>Los Muermos</t>
  </si>
  <si>
    <t>Pichilemu</t>
  </si>
  <si>
    <t>Los Sauces</t>
  </si>
  <si>
    <t>Colchagua</t>
  </si>
  <si>
    <t>Lota</t>
  </si>
  <si>
    <t>Lumaco</t>
  </si>
  <si>
    <t>Nancagua</t>
  </si>
  <si>
    <t>Palmilla</t>
  </si>
  <si>
    <t>Peralillo</t>
  </si>
  <si>
    <t>Máfil</t>
  </si>
  <si>
    <t>Placilla</t>
  </si>
  <si>
    <t>Pumanque</t>
  </si>
  <si>
    <t>San Fernando</t>
  </si>
  <si>
    <t>Santa Cruz</t>
  </si>
  <si>
    <t>Maule</t>
  </si>
  <si>
    <t>Mariquina</t>
  </si>
  <si>
    <t>-Provincia de Talagante:</t>
  </si>
  <si>
    <t>Pelluhue</t>
  </si>
  <si>
    <t>Maullín</t>
  </si>
  <si>
    <t>Melipeuco</t>
  </si>
  <si>
    <t>Molina</t>
  </si>
  <si>
    <t>Rauco</t>
  </si>
  <si>
    <t>-------------------------</t>
  </si>
  <si>
    <t>Romeral</t>
  </si>
  <si>
    <t>REGIÓN DE O'HIGGINS:</t>
  </si>
  <si>
    <t>Sagrada Familia</t>
  </si>
  <si>
    <t>-Provincia de Cachapoal:</t>
  </si>
  <si>
    <t>Teno</t>
  </si>
  <si>
    <t>Mulchén</t>
  </si>
  <si>
    <t>Vichuquén</t>
  </si>
  <si>
    <t>Nacimiento</t>
  </si>
  <si>
    <t>Natales</t>
  </si>
  <si>
    <t>Parral</t>
  </si>
  <si>
    <t>Negrete</t>
  </si>
  <si>
    <t>Retiro</t>
  </si>
  <si>
    <t>Ninhue</t>
  </si>
  <si>
    <t>San Javier</t>
  </si>
  <si>
    <t>Villa Alegre</t>
  </si>
  <si>
    <t>Nueva Imperial</t>
  </si>
  <si>
    <t>Yerbas Buenas</t>
  </si>
  <si>
    <t>Ñiquén</t>
  </si>
  <si>
    <t>O'Higgins</t>
  </si>
  <si>
    <t>Pelarco</t>
  </si>
  <si>
    <t>Pencahue</t>
  </si>
  <si>
    <t>Río Claro</t>
  </si>
  <si>
    <t>San Clemente</t>
  </si>
  <si>
    <t>-Provincia de Cardenal Caro:</t>
  </si>
  <si>
    <t>San Rafael</t>
  </si>
  <si>
    <t>Padre Las Casas</t>
  </si>
  <si>
    <t>Ñuble</t>
  </si>
  <si>
    <t>Diguillín</t>
  </si>
  <si>
    <t>Paillaco</t>
  </si>
  <si>
    <t>Palena</t>
  </si>
  <si>
    <t>Pemuco</t>
  </si>
  <si>
    <t>Panguipulli</t>
  </si>
  <si>
    <t>-Provincia de Colchagua:</t>
  </si>
  <si>
    <t>Pinto</t>
  </si>
  <si>
    <t>Quillón</t>
  </si>
  <si>
    <t>San Ignacio</t>
  </si>
  <si>
    <t>Yungay</t>
  </si>
  <si>
    <t>Itata</t>
  </si>
  <si>
    <t>Portezuelo</t>
  </si>
  <si>
    <t>Quirihue</t>
  </si>
  <si>
    <t>Ránquil</t>
  </si>
  <si>
    <t>Penco</t>
  </si>
  <si>
    <t>Treguaco</t>
  </si>
  <si>
    <t>--------------------------</t>
  </si>
  <si>
    <t>Punilla</t>
  </si>
  <si>
    <t>REGIÓN DEL MAULE:</t>
  </si>
  <si>
    <t>-Provincia de Cauquenes:</t>
  </si>
  <si>
    <t>San Carlos</t>
  </si>
  <si>
    <t>Perquenco</t>
  </si>
  <si>
    <t>San Fabián</t>
  </si>
  <si>
    <t>San Nicolás</t>
  </si>
  <si>
    <t>Biobío</t>
  </si>
  <si>
    <t>-Provincia de Curicó:</t>
  </si>
  <si>
    <t>Pitrufquén</t>
  </si>
  <si>
    <t>Tirúa</t>
  </si>
  <si>
    <t>Porvenir</t>
  </si>
  <si>
    <t>Primavera</t>
  </si>
  <si>
    <t>-Provincia de Linares:</t>
  </si>
  <si>
    <t>Pucón</t>
  </si>
  <si>
    <t>Quilaco</t>
  </si>
  <si>
    <t>Quilleco</t>
  </si>
  <si>
    <t>San Rosendo</t>
  </si>
  <si>
    <t>Puerto Octay</t>
  </si>
  <si>
    <t>Santa Bárbara</t>
  </si>
  <si>
    <t>Puerto Varas</t>
  </si>
  <si>
    <t>Tucapel</t>
  </si>
  <si>
    <t>-Provincia de Talca:</t>
  </si>
  <si>
    <t>Yumbel</t>
  </si>
  <si>
    <t>Puqueldón</t>
  </si>
  <si>
    <t>Purén</t>
  </si>
  <si>
    <t>Purranque</t>
  </si>
  <si>
    <t>Puyehue</t>
  </si>
  <si>
    <t>Queilén</t>
  </si>
  <si>
    <t>San Pedro de la Paz</t>
  </si>
  <si>
    <t>Quellón</t>
  </si>
  <si>
    <t>Santa Juana</t>
  </si>
  <si>
    <t>Quemchi</t>
  </si>
  <si>
    <t>---------------------------</t>
  </si>
  <si>
    <t>Talcahuano</t>
  </si>
  <si>
    <t>REGIÓN DE ÑUBLE:</t>
  </si>
  <si>
    <t>Tomé</t>
  </si>
  <si>
    <t>-Provincia de Diguillín:</t>
  </si>
  <si>
    <t>Araucanía</t>
  </si>
  <si>
    <t>Cautín</t>
  </si>
  <si>
    <t>Quinchao</t>
  </si>
  <si>
    <t>-Provincia de Itata:</t>
  </si>
  <si>
    <t>Renaico</t>
  </si>
  <si>
    <t>Saavedra</t>
  </si>
  <si>
    <t>Teodoro Schmidt</t>
  </si>
  <si>
    <t>-Provincia de Punilla:</t>
  </si>
  <si>
    <t>Toltén</t>
  </si>
  <si>
    <t>Vilcún</t>
  </si>
  <si>
    <t>Río Bueno</t>
  </si>
  <si>
    <t>Villarrica</t>
  </si>
  <si>
    <t>Malleco</t>
  </si>
  <si>
    <t>Río Ibáñez</t>
  </si>
  <si>
    <t>Río Negro</t>
  </si>
  <si>
    <t>----------------------------</t>
  </si>
  <si>
    <t>Río Verde</t>
  </si>
  <si>
    <t>REGIÓN DEL BIOBÍO:</t>
  </si>
  <si>
    <t>-Provincia de Arauco:</t>
  </si>
  <si>
    <t>Traiguén</t>
  </si>
  <si>
    <t>Victoria</t>
  </si>
  <si>
    <t>Los Ríos</t>
  </si>
  <si>
    <t>Ranco</t>
  </si>
  <si>
    <t>-Provincia de Biobío:</t>
  </si>
  <si>
    <t>San Gregorio</t>
  </si>
  <si>
    <t>San Juan de la Costa</t>
  </si>
  <si>
    <t>Chiloé</t>
  </si>
  <si>
    <t>San Pablo</t>
  </si>
  <si>
    <t>-Provincia de Concepción:</t>
  </si>
  <si>
    <t>-----------------------------</t>
  </si>
  <si>
    <t>REGIÓN DE LA ARAUCANÍA:</t>
  </si>
  <si>
    <t>-Provincia de Cautín</t>
  </si>
  <si>
    <t>Timaukel</t>
  </si>
  <si>
    <t>Aisén</t>
  </si>
  <si>
    <t>Torres del Paine</t>
  </si>
  <si>
    <t>Tortel</t>
  </si>
  <si>
    <t>Capitán Prat</t>
  </si>
  <si>
    <t>General Carrera</t>
  </si>
  <si>
    <t>Magallanes y Antártica Chilena</t>
  </si>
  <si>
    <t>Antártica Chilena</t>
  </si>
  <si>
    <t>-Provincia de Malleco":</t>
  </si>
  <si>
    <t>Magallanes</t>
  </si>
  <si>
    <t>Tierra del Fuego</t>
  </si>
  <si>
    <t>Última Esperanza</t>
  </si>
  <si>
    <t>------------------------------</t>
  </si>
  <si>
    <t>REGIÓN DE LOS RÍOS:</t>
  </si>
  <si>
    <t>-Provincia del Ranco:</t>
  </si>
  <si>
    <t>-Provincia de Valdivia:</t>
  </si>
  <si>
    <t>REGIÓN DE LOS LAGOS:</t>
  </si>
  <si>
    <t>-Provincia de Chiloé:</t>
  </si>
  <si>
    <t>-Provincia de Llanquihue:</t>
  </si>
  <si>
    <t>-Provincia de Osorno:</t>
  </si>
  <si>
    <t>-Provincia de Palena:</t>
  </si>
  <si>
    <t>REGIÓN DE AYSÉN:</t>
  </si>
  <si>
    <t>-Provincia de Aysén:</t>
  </si>
  <si>
    <t>-Provincia de Capitán Prat:</t>
  </si>
  <si>
    <t>-Provincia de Coyhaique:</t>
  </si>
  <si>
    <t>-Provincia de General Carrera:</t>
  </si>
  <si>
    <t>REGIÓN DE MAGALLANES Y LA ANTÁRTICA CHILENA:</t>
  </si>
  <si>
    <t>-Provincia de Magallanes:</t>
  </si>
  <si>
    <t>-Provincia de Tierra del Fuego:</t>
  </si>
  <si>
    <t>-Provincia de Última Esperanza:</t>
  </si>
  <si>
    <t>-Provincia de la Antártica Chilena:</t>
  </si>
  <si>
    <t>cumple cond intersticial</t>
  </si>
  <si>
    <t>slider</t>
  </si>
  <si>
    <t>Mes de análisis para gráficos:</t>
  </si>
  <si>
    <t>Sección de análisis para gráficos:</t>
  </si>
  <si>
    <t>Dato provincial</t>
  </si>
  <si>
    <t>Gráficos</t>
  </si>
  <si>
    <t>DESCRIPCIÓN</t>
  </si>
  <si>
    <t>Método de acreditación:</t>
  </si>
  <si>
    <t>meses cond intersticial</t>
  </si>
  <si>
    <t>Toda la comuna</t>
  </si>
  <si>
    <r>
      <t>kg/m</t>
    </r>
    <r>
      <rPr>
        <sz val="11"/>
        <color theme="1"/>
        <rFont val="Aptos Narrow"/>
        <family val="2"/>
      </rPr>
      <t>²</t>
    </r>
  </si>
  <si>
    <t>Espesor &lt; 3 mm</t>
  </si>
  <si>
    <t>Media aritmética</t>
  </si>
  <si>
    <t>λ a utilizar</t>
  </si>
  <si>
    <t>Condición</t>
  </si>
  <si>
    <t>Zona</t>
  </si>
  <si>
    <t>unidad</t>
  </si>
  <si>
    <t>Resistencia al vapor de agua, Zp</t>
  </si>
  <si>
    <t>conversión</t>
  </si>
  <si>
    <t>convierte a</t>
  </si>
  <si>
    <t>[gm/MNs] --&gt;</t>
  </si>
  <si>
    <t>[g/mhmmHg] --&gt;</t>
  </si>
  <si>
    <t>[MNs/g] --&gt;</t>
  </si>
  <si>
    <r>
      <t xml:space="preserve">Permeabilidad al vapor de agua, </t>
    </r>
    <r>
      <rPr>
        <b/>
        <sz val="11"/>
        <color theme="1"/>
        <rFont val="Aptos Narrow"/>
        <family val="2"/>
      </rPr>
      <t>δ</t>
    </r>
    <r>
      <rPr>
        <b/>
        <sz val="11"/>
        <color theme="1"/>
        <rFont val="Calibri"/>
        <family val="2"/>
        <scheme val="minor"/>
      </rPr>
      <t>p</t>
    </r>
  </si>
  <si>
    <t>Biblioteca de materiales ISO 10456. Tabla 3 - Valores térmicos de diseño para materiales en aplicaciones generales de la edificación</t>
  </si>
  <si>
    <t>Materiales o aplicación</t>
  </si>
  <si>
    <r>
      <t>Densidad
ρ
kg/m</t>
    </r>
    <r>
      <rPr>
        <b/>
        <vertAlign val="superscript"/>
        <sz val="11"/>
        <color theme="1"/>
        <rFont val="Calibri"/>
        <family val="2"/>
      </rPr>
      <t>³</t>
    </r>
  </si>
  <si>
    <t>Conductividad térmica de diseño
λ
W/(m∙K)</t>
  </si>
  <si>
    <r>
      <t>Capacidad calorífica específica
C</t>
    </r>
    <r>
      <rPr>
        <b/>
        <vertAlign val="subscript"/>
        <sz val="11"/>
        <color theme="1"/>
        <rFont val="Calibri"/>
        <family val="2"/>
        <scheme val="minor"/>
      </rPr>
      <t>P</t>
    </r>
    <r>
      <rPr>
        <b/>
        <sz val="11"/>
        <color theme="1"/>
        <rFont val="Calibri"/>
        <family val="2"/>
        <scheme val="minor"/>
      </rPr>
      <t xml:space="preserve">
J/(kg∙K)</t>
    </r>
  </si>
  <si>
    <t>factor de resistencia al vapor de agua
μ
seco</t>
  </si>
  <si>
    <t>factor de resistencia al vapor de agua
μ
húmedo</t>
  </si>
  <si>
    <t>Grupo</t>
  </si>
  <si>
    <t>Asfalto</t>
  </si>
  <si>
    <t>---Bitumen---</t>
  </si>
  <si>
    <t>Bitumen</t>
  </si>
  <si>
    <t>Puro</t>
  </si>
  <si>
    <t>Fieltro/lámina</t>
  </si>
  <si>
    <t>---Hormigón---</t>
  </si>
  <si>
    <t>Hormigón</t>
  </si>
  <si>
    <t>Densidad media</t>
  </si>
  <si>
    <t>Densidad alta</t>
  </si>
  <si>
    <t>Armado (1% de acero)</t>
  </si>
  <si>
    <t>Armado (2% de acero)</t>
  </si>
  <si>
    <t>---Recubrimientos de piso---</t>
  </si>
  <si>
    <t>Recubrimientos de piso</t>
  </si>
  <si>
    <t>Caucho</t>
  </si>
  <si>
    <t>Plástico</t>
  </si>
  <si>
    <t>caucho celular o plástico sobre radier</t>
  </si>
  <si>
    <t>fieltro sobre radier</t>
  </si>
  <si>
    <t>lana sobre radier</t>
  </si>
  <si>
    <t>corcho sobre radier</t>
  </si>
  <si>
    <t>&lt; 200</t>
  </si>
  <si>
    <t>corcho, palmetas</t>
  </si>
  <si>
    <t>&gt; 400</t>
  </si>
  <si>
    <t>alfombra / recubrimiento textil</t>
  </si>
  <si>
    <t>linóleo</t>
  </si>
  <si>
    <t>---Gases---</t>
  </si>
  <si>
    <t>Gases</t>
  </si>
  <si>
    <t>aire</t>
  </si>
  <si>
    <t>dióxido de carbono</t>
  </si>
  <si>
    <t>argón</t>
  </si>
  <si>
    <t>Hexafloruro de azufre</t>
  </si>
  <si>
    <t>kriptón</t>
  </si>
  <si>
    <t>xenón</t>
  </si>
  <si>
    <t>---Vidrio---</t>
  </si>
  <si>
    <t>Vidrio</t>
  </si>
  <si>
    <t>de cal sodada (incluyendo vidrio flotado)</t>
  </si>
  <si>
    <t>de cuarzo</t>
  </si>
  <si>
    <t>mosaico</t>
  </si>
  <si>
    <t>---Agua---</t>
  </si>
  <si>
    <t>agua</t>
  </si>
  <si>
    <t>hielo a -10 °C</t>
  </si>
  <si>
    <t>-</t>
  </si>
  <si>
    <t>hielo a 0 °C</t>
  </si>
  <si>
    <t>nieve, recién caida (&lt; 30 mm)</t>
  </si>
  <si>
    <t>nieve, suave (30 a 70 mm)</t>
  </si>
  <si>
    <t>nieve, levemente compactada (70 a 100 mm)</t>
  </si>
  <si>
    <t>nieve, compactada (&lt; 200 mm)</t>
  </si>
  <si>
    <t>agua a 10 °C</t>
  </si>
  <si>
    <t>agua a 40 °C</t>
  </si>
  <si>
    <t>agua a 80 °C</t>
  </si>
  <si>
    <t>---Metales---</t>
  </si>
  <si>
    <t>metales</t>
  </si>
  <si>
    <t>Aleaciones de aluminio</t>
  </si>
  <si>
    <t>Bronce</t>
  </si>
  <si>
    <t>Latón</t>
  </si>
  <si>
    <t>Cobre</t>
  </si>
  <si>
    <t>Hierro, hierro fundido</t>
  </si>
  <si>
    <t>Plomo</t>
  </si>
  <si>
    <t>Acero</t>
  </si>
  <si>
    <t>Acero inoxidable</t>
  </si>
  <si>
    <t>Zinc</t>
  </si>
  <si>
    <t>---Plásticos---</t>
  </si>
  <si>
    <t>Plásticos</t>
  </si>
  <si>
    <t>Acrílico</t>
  </si>
  <si>
    <t>Policarbonato</t>
  </si>
  <si>
    <t>Politetrafluoretileno (PTFE)</t>
  </si>
  <si>
    <t>Policloruro de vinilo (PVC)</t>
  </si>
  <si>
    <t>Polimetilmetacrilato (PMMA)</t>
  </si>
  <si>
    <t>Poliacetato</t>
  </si>
  <si>
    <t>Poliamida (nylon)</t>
  </si>
  <si>
    <t>Poliamida 6,6 con 25% fibra de vidrio</t>
  </si>
  <si>
    <t>Polietileno/polietano, alta densidad</t>
  </si>
  <si>
    <t>Polietileno/polietano, baja densidad</t>
  </si>
  <si>
    <t>Poliestireno</t>
  </si>
  <si>
    <t>Polipropileno</t>
  </si>
  <si>
    <t>Polipropileno con 25% fibra de vidrio</t>
  </si>
  <si>
    <t>Poliuretano (PU)</t>
  </si>
  <si>
    <t>Resina epóxica</t>
  </si>
  <si>
    <t>Resina fenólica</t>
  </si>
  <si>
    <t>Resina poliéster</t>
  </si>
  <si>
    <t>---Caucho---</t>
  </si>
  <si>
    <t>Natural</t>
  </si>
  <si>
    <t>Neopreno (policloropreno)</t>
  </si>
  <si>
    <t>Butilo, (isobutano), sólido/caliente derretido</t>
  </si>
  <si>
    <t>Espuma de caucho</t>
  </si>
  <si>
    <t>60-80</t>
  </si>
  <si>
    <t>Caucho duro (ebonita), sólido</t>
  </si>
  <si>
    <t>EPDM</t>
  </si>
  <si>
    <t>Poliisobutileno</t>
  </si>
  <si>
    <t>Polisulfuro</t>
  </si>
  <si>
    <t>Butadieno</t>
  </si>
  <si>
    <t>---Materiales sellantes, impermeabilizantes y otros---</t>
  </si>
  <si>
    <t>Sellantes y otros</t>
  </si>
  <si>
    <t>Gel de sílice (desecante)</t>
  </si>
  <si>
    <t>Silicona, pura</t>
  </si>
  <si>
    <t>Silicona, rellena</t>
  </si>
  <si>
    <t>Espuma de silicona</t>
  </si>
  <si>
    <t>uretano/poliuretano (quiebre térmico)</t>
  </si>
  <si>
    <t>PVC, flexible, con 40% de suavisante</t>
  </si>
  <si>
    <t>espuma elastomérica, flexible</t>
  </si>
  <si>
    <t>espuma de poliuretano (PU)</t>
  </si>
  <si>
    <t>Espuma de polietileno</t>
  </si>
  <si>
    <t>---Yeso---</t>
  </si>
  <si>
    <t>Yeso</t>
  </si>
  <si>
    <t>Yeso cartón</t>
  </si>
  <si>
    <t>---Enlucidos---</t>
  </si>
  <si>
    <t>Enlucidos</t>
  </si>
  <si>
    <t>Enlucido de yeso aislante</t>
  </si>
  <si>
    <t>Enlucido de yeso</t>
  </si>
  <si>
    <t>Yeso, arena</t>
  </si>
  <si>
    <t>Cal, arena</t>
  </si>
  <si>
    <t>Cemento, arena</t>
  </si>
  <si>
    <t>---Suelos---</t>
  </si>
  <si>
    <t>suelos</t>
  </si>
  <si>
    <t>Arcilla o sedimentos</t>
  </si>
  <si>
    <t>1200-1800</t>
  </si>
  <si>
    <t>1670-2500</t>
  </si>
  <si>
    <t>Arena y grava</t>
  </si>
  <si>
    <t>1700-2200</t>
  </si>
  <si>
    <t>910-1180</t>
  </si>
  <si>
    <t>---Rocas---</t>
  </si>
  <si>
    <t>rocas</t>
  </si>
  <si>
    <t>Natural, roca cristalina</t>
  </si>
  <si>
    <t>Natural, roca sedimentaria</t>
  </si>
  <si>
    <t>Natural, roca sedimentaria, liviana</t>
  </si>
  <si>
    <t>Natural, porosa, por ej. lava</t>
  </si>
  <si>
    <t>Basalto</t>
  </si>
  <si>
    <t>2700-3000</t>
  </si>
  <si>
    <t>Gneis</t>
  </si>
  <si>
    <t>2400-2700</t>
  </si>
  <si>
    <t>Granito</t>
  </si>
  <si>
    <t>2500-2700</t>
  </si>
  <si>
    <t>Mármol</t>
  </si>
  <si>
    <t>Pizarra</t>
  </si>
  <si>
    <t>2000-2800</t>
  </si>
  <si>
    <t>Piedra caliza, extra suave</t>
  </si>
  <si>
    <t>Piedra caliza, suave</t>
  </si>
  <si>
    <t>Piedra caliza, semi dura</t>
  </si>
  <si>
    <t>Piedra caliza, dura</t>
  </si>
  <si>
    <t>Piedra caliza, extra dura</t>
  </si>
  <si>
    <t>Roca arenosa (sílice)</t>
  </si>
  <si>
    <t>Piedra pómez natural</t>
  </si>
  <si>
    <t>Piedra artificial</t>
  </si>
  <si>
    <t>---Tejas---</t>
  </si>
  <si>
    <t>Tejas</t>
  </si>
  <si>
    <t>Arcilla</t>
  </si>
  <si>
    <t>concreto</t>
  </si>
  <si>
    <t>---Baldosas---</t>
  </si>
  <si>
    <t>Baldosas</t>
  </si>
  <si>
    <t>cerámica/porcelana</t>
  </si>
  <si>
    <t>Plástica</t>
  </si>
  <si>
    <t>---Madera---</t>
  </si>
  <si>
    <t>madera</t>
  </si>
  <si>
    <t>Pino</t>
  </si>
  <si>
    <t>---Tableros de madera---</t>
  </si>
  <si>
    <t>Tableros de madera</t>
  </si>
  <si>
    <t>Contrachapada</t>
  </si>
  <si>
    <t>partículas aglomeradas con cemento</t>
  </si>
  <si>
    <t>aglomerada</t>
  </si>
  <si>
    <t>OSB</t>
  </si>
  <si>
    <t>fibras, incluyendo MDF</t>
  </si>
  <si>
    <t>---Asfalto---</t>
  </si>
  <si>
    <t>ISO 10456 - Tabla 3</t>
  </si>
  <si>
    <t>ISO 10456 - Tabla 5</t>
  </si>
  <si>
    <t>lista_mat_ISO_tabla3</t>
  </si>
  <si>
    <t>lista_mat_ISO_tabla5</t>
  </si>
  <si>
    <t>MATERIALES_ISO_TABLA3</t>
  </si>
  <si>
    <t>MATERIALES_ISO_TABLA5</t>
  </si>
  <si>
    <t>Tablas</t>
  </si>
  <si>
    <t>Listas</t>
  </si>
  <si>
    <t>Producto/material</t>
  </si>
  <si>
    <r>
      <t>Espesor de aire equivalente
S</t>
    </r>
    <r>
      <rPr>
        <b/>
        <vertAlign val="subscript"/>
        <sz val="11"/>
        <color theme="1"/>
        <rFont val="Calibri"/>
        <family val="2"/>
        <scheme val="minor"/>
      </rPr>
      <t>d</t>
    </r>
    <r>
      <rPr>
        <b/>
        <sz val="11"/>
        <color theme="1"/>
        <rFont val="Calibri"/>
        <family val="2"/>
        <scheme val="minor"/>
      </rPr>
      <t xml:space="preserve">
m</t>
    </r>
  </si>
  <si>
    <t>Polietileno 0,15 mm</t>
  </si>
  <si>
    <t>Polietileno 0,25 mm</t>
  </si>
  <si>
    <t>Lámina de poliester 0,2 mm</t>
  </si>
  <si>
    <t>Lámina de PVC</t>
  </si>
  <si>
    <t>Lámina de aluminio 0,05 mm</t>
  </si>
  <si>
    <t>Lámina de PE 0,15 mm</t>
  </si>
  <si>
    <t>Papel bituminoso 0,1 mm</t>
  </si>
  <si>
    <t>Papel de aluminio 0,4 mm</t>
  </si>
  <si>
    <t>membrana respirable</t>
  </si>
  <si>
    <t>Pintura - emulsión</t>
  </si>
  <si>
    <t>Pintura - gloss</t>
  </si>
  <si>
    <t>Papel mural vinílico</t>
  </si>
  <si>
    <t>Biblioteca de materiales ISO 10456. Tabla 5 - Difusión de vapor de agua - espesor de aire equivalente</t>
  </si>
  <si>
    <t>Conversión de unidades a Sistema Internacional</t>
  </si>
  <si>
    <t>humedad acumulada a final de 12 meses</t>
  </si>
  <si>
    <t>condensación en mes de inicio</t>
  </si>
  <si>
    <t>verificador error cálculo</t>
  </si>
  <si>
    <t>R cámara aire multicapa</t>
  </si>
  <si>
    <t>λeq CANV multicapa</t>
  </si>
  <si>
    <t>ajuste Sd CANV multicapa</t>
  </si>
  <si>
    <t>d total CANV multicapa</t>
  </si>
  <si>
    <t>Rt sección</t>
  </si>
  <si>
    <t>Cumple sistema</t>
  </si>
  <si>
    <t>verif intersticial</t>
  </si>
  <si>
    <t>Todas las secciones analizadas tienen una resistencia térmica total mayor o igual al mínimo requerido.</t>
  </si>
  <si>
    <t xml:space="preserve">La condición más estricta para el emplazamiento ocurre en el mes de </t>
  </si>
  <si>
    <t>Una o más secciones no cumplen con la resistencia térmica total mínima requerida.</t>
  </si>
  <si>
    <t>Hay condensación en una o más interfases que no logra evaporarse dentro de un ciclo anual.</t>
  </si>
  <si>
    <t>Rt mín requerido por sección =</t>
  </si>
  <si>
    <t>A continuación se muestran los resultados detallados obtenidos para el análisis de riesgo de condensación superficial e intersticial del elemento, de acuerdo con NCh1973.2014.</t>
  </si>
  <si>
    <r>
      <rPr>
        <b/>
        <sz val="11"/>
        <color theme="1"/>
        <rFont val="Calibri"/>
        <family val="2"/>
        <scheme val="minor"/>
      </rPr>
      <t>Nota</t>
    </r>
    <r>
      <rPr>
        <sz val="11"/>
        <color theme="1"/>
        <rFont val="Calibri"/>
        <family val="2"/>
        <scheme val="minor"/>
      </rPr>
      <t>: Cumplir la exigencia de Condensación Intersticial no exime a la solución constructiva de cumplir otros requerimientos como la Transmitancia Térmica o Condensación Superficial.</t>
    </r>
  </si>
  <si>
    <r>
      <rPr>
        <b/>
        <sz val="11"/>
        <color theme="1"/>
        <rFont val="Calibri"/>
        <family val="2"/>
        <scheme val="minor"/>
      </rPr>
      <t>Nota</t>
    </r>
    <r>
      <rPr>
        <sz val="11"/>
        <color theme="1"/>
        <rFont val="Calibri"/>
        <family val="2"/>
        <scheme val="minor"/>
      </rPr>
      <t>: Cumplir la exigencia de Condensación Superficial no exime a la solución constructiva de cumplir otros requerimientos como la Transmitancia Térmica o Condensación Intersticial.</t>
    </r>
  </si>
  <si>
    <t>Máxima cantidad de agua acumulada [kg/m²]</t>
  </si>
  <si>
    <t>CONDENSACIÓN SEGÚN NCH1973.OF2014</t>
  </si>
  <si>
    <r>
      <t xml:space="preserve">Nota: </t>
    </r>
    <r>
      <rPr>
        <sz val="11"/>
        <color theme="1"/>
        <rFont val="Calibri"/>
        <family val="2"/>
        <scheme val="minor"/>
      </rPr>
      <t>El método no es válido para cuando la relación entre el límite superior e inferior excede 1,5 (error relativo máximo &gt; 20%).</t>
    </r>
  </si>
  <si>
    <r>
      <t>Resistencia Térmica Total, R</t>
    </r>
    <r>
      <rPr>
        <b/>
        <vertAlign val="subscript"/>
        <sz val="11"/>
        <color rgb="FF000000"/>
        <rFont val="Calibri"/>
        <family val="2"/>
        <scheme val="minor"/>
      </rPr>
      <t>T</t>
    </r>
    <r>
      <rPr>
        <b/>
        <sz val="11"/>
        <color rgb="FF000000"/>
        <rFont val="Calibri"/>
        <family val="2"/>
        <scheme val="minor"/>
      </rPr>
      <t xml:space="preserve"> = </t>
    </r>
  </si>
  <si>
    <r>
      <t>Límite superior Resistencia Térmica Total, R</t>
    </r>
    <r>
      <rPr>
        <b/>
        <vertAlign val="subscript"/>
        <sz val="11"/>
        <color rgb="FF000000"/>
        <rFont val="Calibri"/>
        <family val="2"/>
        <scheme val="minor"/>
      </rPr>
      <t>T</t>
    </r>
    <r>
      <rPr>
        <b/>
        <sz val="11"/>
        <color rgb="FF000000"/>
        <rFont val="Calibri"/>
        <family val="2"/>
        <scheme val="minor"/>
      </rPr>
      <t xml:space="preserve">' = </t>
    </r>
  </si>
  <si>
    <r>
      <t>Límite inferior Resistencia Térmica Total, R</t>
    </r>
    <r>
      <rPr>
        <b/>
        <vertAlign val="subscript"/>
        <sz val="11"/>
        <color rgb="FF000000"/>
        <rFont val="Calibri"/>
        <family val="2"/>
        <scheme val="minor"/>
      </rPr>
      <t>T</t>
    </r>
    <r>
      <rPr>
        <b/>
        <sz val="11"/>
        <color rgb="FF000000"/>
        <rFont val="Calibri"/>
        <family val="2"/>
        <scheme val="minor"/>
      </rPr>
      <t xml:space="preserve">'' = </t>
    </r>
  </si>
  <si>
    <t>RT sección</t>
  </si>
  <si>
    <t>f/RT sección</t>
  </si>
  <si>
    <t xml:space="preserve">Se prevé condensación en </t>
  </si>
  <si>
    <t>mes de inicio de condensación</t>
  </si>
  <si>
    <t>meses con condensación</t>
  </si>
  <si>
    <t xml:space="preserve"> y durante </t>
  </si>
  <si>
    <t xml:space="preserve"> interfases desde </t>
  </si>
  <si>
    <t xml:space="preserve"> mes(es) que se logra evaporar dentro de un año. Esto no evita el riesgo de escurrimiento de agua o el deterioro de los materiales de construcción. El mes de mayor acumulación de agua es </t>
  </si>
  <si>
    <t>mes con máxima acumluación</t>
  </si>
  <si>
    <t xml:space="preserve"> con </t>
  </si>
  <si>
    <t xml:space="preserve"> [kg/m²].</t>
  </si>
  <si>
    <t xml:space="preserve"> mes(es) que se logra evaporar dentro de un año. El mes de mayor acumulación de agua es </t>
  </si>
  <si>
    <t xml:space="preserve"> [kg/m²].  El riesgo de escurrimiento de agua o el deterioro de los materiales de construcción se considera muy alto.</t>
  </si>
  <si>
    <t>sección</t>
  </si>
  <si>
    <t>capa</t>
  </si>
  <si>
    <t>Cálculo de fracción de área para albañilería</t>
  </si>
  <si>
    <t>mm</t>
  </si>
  <si>
    <t>Llaga:</t>
  </si>
  <si>
    <t>Tendel:</t>
  </si>
  <si>
    <t>Aparejo:</t>
  </si>
  <si>
    <t>Cadena y pilares</t>
  </si>
  <si>
    <t>Mortero</t>
  </si>
  <si>
    <t>Ladrillo</t>
  </si>
  <si>
    <t>Dimensiones de los ladrillos:</t>
  </si>
  <si>
    <t>Caracterísiticas de hilada:</t>
  </si>
  <si>
    <t>A:</t>
  </si>
  <si>
    <t>B:</t>
  </si>
  <si>
    <t>C:</t>
  </si>
  <si>
    <t>Distancia entre ejes:</t>
  </si>
  <si>
    <t>Mortero de pega</t>
  </si>
  <si>
    <t>Ladrillos</t>
  </si>
  <si>
    <r>
      <t>Nota</t>
    </r>
    <r>
      <rPr>
        <sz val="11"/>
        <color theme="1"/>
        <rFont val="Calibri"/>
        <family val="2"/>
        <scheme val="minor"/>
      </rPr>
      <t>: Para estructuras más complejas pueden existir más secciones.</t>
    </r>
  </si>
  <si>
    <t>Cadena superior (si corresponde):</t>
  </si>
  <si>
    <t>Pilares (si corresponde):</t>
  </si>
  <si>
    <t>Albañilería</t>
  </si>
  <si>
    <t>Soga</t>
  </si>
  <si>
    <t>Cadenas y pilares</t>
  </si>
  <si>
    <t>Superficie 1 ladrillo</t>
  </si>
  <si>
    <t>Cantidad de ladrillos en el alto</t>
  </si>
  <si>
    <t>Cantidad de ladrillos en el ancho</t>
  </si>
  <si>
    <t>Cantidad de pilares en el ancho</t>
  </si>
  <si>
    <t>superficie pilares</t>
  </si>
  <si>
    <t>superficie cadena</t>
  </si>
  <si>
    <t>cantidad total de ladrillos</t>
  </si>
  <si>
    <t>Contiene elementos factor infinito</t>
  </si>
  <si>
    <t>Sección seleccionada</t>
  </si>
  <si>
    <t>Material nombre largo</t>
  </si>
  <si>
    <t>Material nombre corto</t>
  </si>
  <si>
    <t>Sección:</t>
  </si>
  <si>
    <r>
      <t>Cálculo de la Resistencia Térmica Total, R</t>
    </r>
    <r>
      <rPr>
        <b/>
        <vertAlign val="subscript"/>
        <sz val="11"/>
        <color rgb="FF000000"/>
        <rFont val="Calibri"/>
        <family val="2"/>
        <scheme val="minor"/>
      </rPr>
      <t>T</t>
    </r>
    <r>
      <rPr>
        <b/>
        <sz val="11"/>
        <color rgb="FF000000"/>
        <rFont val="Calibri"/>
        <family val="2"/>
        <scheme val="minor"/>
      </rPr>
      <t xml:space="preserve"> para la sección:</t>
    </r>
  </si>
  <si>
    <t>meses de condensación</t>
  </si>
  <si>
    <t>Nº máximo de interfases de condensación por sección:</t>
  </si>
  <si>
    <t>Delta T</t>
  </si>
  <si>
    <t>delta HR</t>
  </si>
  <si>
    <r>
      <rPr>
        <b/>
        <sz val="11"/>
        <color theme="1"/>
        <rFont val="Calibri"/>
        <family val="2"/>
        <scheme val="minor"/>
      </rPr>
      <t>Nota</t>
    </r>
    <r>
      <rPr>
        <sz val="11"/>
        <color theme="1"/>
        <rFont val="Calibri"/>
        <family val="2"/>
        <scheme val="minor"/>
      </rPr>
      <t>: los ladrillos perforados o huecos tienen secciones a su vez las que deberán calcularse caso a caso.</t>
    </r>
  </si>
  <si>
    <t>RESUMEN DE RESULTADOS</t>
  </si>
  <si>
    <t>d_w,b</t>
  </si>
  <si>
    <t>U_wg,b</t>
  </si>
  <si>
    <t>Transmitancia térmica de muros enterrados en sótano calefaccionado</t>
  </si>
  <si>
    <t>z</t>
  </si>
  <si>
    <t>d_w,e</t>
  </si>
  <si>
    <t>R_f,b</t>
  </si>
  <si>
    <t>Resistencia térmica de las losas de piso incluyendo aislante</t>
  </si>
  <si>
    <t>Espesor de los muros de la edificación sobre NTN</t>
  </si>
  <si>
    <t>espesor equivalente para muros bajo NTN en "sótano calefaccionado"</t>
  </si>
  <si>
    <t>Profundidad del piso bajo NTN</t>
  </si>
  <si>
    <t>d_f</t>
  </si>
  <si>
    <t>espesor equivalente del piso bajo NTN en "sótano calefaccionado"</t>
  </si>
  <si>
    <t>Rtsección_condensación</t>
  </si>
  <si>
    <t>Resistencia térmica 2m tierra</t>
  </si>
  <si>
    <t>Transmitancia térmica de muros enterrados NCh3117 en "sótano calefaccionado"</t>
  </si>
  <si>
    <t>cuadro1</t>
  </si>
  <si>
    <t>cuadro2</t>
  </si>
  <si>
    <t>RT</t>
  </si>
  <si>
    <t>Resumen</t>
  </si>
  <si>
    <t>Tipo de elemento</t>
  </si>
  <si>
    <t>Descripción</t>
  </si>
  <si>
    <t>Caso propuesto</t>
  </si>
  <si>
    <t>Caso base</t>
  </si>
  <si>
    <t>Caso en análisis</t>
  </si>
  <si>
    <t>Indicador térmico</t>
  </si>
  <si>
    <t>exigencia térmica</t>
  </si>
  <si>
    <t>EXIGENCIA TÉRMICA</t>
  </si>
  <si>
    <t>ANÁLISIS DE CONDENSACIÓN</t>
  </si>
  <si>
    <t>análisis de condensación</t>
  </si>
  <si>
    <t>Resistencia mínima a cumplir</t>
  </si>
  <si>
    <t>mínima resistencia del sistema</t>
  </si>
  <si>
    <t>Nº interfases condensación</t>
  </si>
  <si>
    <t>mes de mayor acumulación</t>
  </si>
  <si>
    <t>Mes de mayor acumulación de agua:</t>
  </si>
  <si>
    <t>Cantidad máxima de meses con condensación por sección:</t>
  </si>
  <si>
    <t>Mes donde inicia condensación:</t>
  </si>
  <si>
    <t>meses inicio condensación</t>
  </si>
  <si>
    <t>Buffer</t>
  </si>
  <si>
    <t>Indicador térmico:</t>
  </si>
  <si>
    <t>Valor exigido</t>
  </si>
  <si>
    <t>valor</t>
  </si>
  <si>
    <t>Valor obtenido:</t>
  </si>
  <si>
    <t>error</t>
  </si>
  <si>
    <t>Intersticial - Caso propuesto mejora caso base?</t>
  </si>
  <si>
    <t>superficial - Caso propuesto mejora caso base?</t>
  </si>
  <si>
    <t>descripción auto</t>
  </si>
  <si>
    <t>descripción auto acum</t>
  </si>
  <si>
    <t>Descripción del elemento (opcional):</t>
  </si>
  <si>
    <t>verif error relativo máximo</t>
  </si>
  <si>
    <t>verif error sección térmico</t>
  </si>
  <si>
    <t>verif error sección condensación</t>
  </si>
  <si>
    <t>Secciones/capas:</t>
  </si>
  <si>
    <t>Secciones/capas</t>
  </si>
  <si>
    <t>Biblioteca de capas de aire según se define en NCh 853 y NCh1973</t>
  </si>
  <si>
    <t>Variable según espesor</t>
  </si>
  <si>
    <t>Cámaras de aire</t>
  </si>
  <si>
    <t>lista_mat_Cámaras_aire</t>
  </si>
  <si>
    <t>MATERIALES_CAMARAS</t>
  </si>
  <si>
    <t xml:space="preserve">[m²K/W] </t>
  </si>
  <si>
    <t>RT eq</t>
  </si>
  <si>
    <t>lista_zonas_macrozonas</t>
  </si>
  <si>
    <t>Zona térmica B - Calama</t>
  </si>
  <si>
    <t>Zona térmica A - Isla de Pascua</t>
  </si>
  <si>
    <t>Zona térmica C - Isla Juan Fernández</t>
  </si>
  <si>
    <t>Zona Antártica</t>
  </si>
  <si>
    <t>PDA Talca - Maule</t>
  </si>
  <si>
    <t>PDA Valle central Provincia de Curicó</t>
  </si>
  <si>
    <t>PDA Valle central Región de O'Higgins</t>
  </si>
  <si>
    <t>PDA Concepción Metropolitano</t>
  </si>
  <si>
    <t>PDA Temuco - Padre Las Casas</t>
  </si>
  <si>
    <t>PDA Chillán - Chillán Viejo</t>
  </si>
  <si>
    <t>PDA Los Ángeles</t>
  </si>
  <si>
    <t>PDA Osorno</t>
  </si>
  <si>
    <t>PDA Valdivia</t>
  </si>
  <si>
    <t>PDA Coyhaique</t>
  </si>
  <si>
    <t>Barahona</t>
  </si>
  <si>
    <t>Coya</t>
  </si>
  <si>
    <t>Queltehue - central</t>
  </si>
  <si>
    <t>Longovilo - Hacienda</t>
  </si>
  <si>
    <t>Graneros - Sendos</t>
  </si>
  <si>
    <t>Rengo - Sendos</t>
  </si>
  <si>
    <t>Viña Vieja - fundo</t>
  </si>
  <si>
    <t>Pumanque - Hacienda</t>
  </si>
  <si>
    <t>Santa Isabel de querelema</t>
  </si>
  <si>
    <t>Lolol - Hacienda</t>
  </si>
  <si>
    <t>Lihuelmo - Fundo</t>
  </si>
  <si>
    <t>Curicó - General Freire</t>
  </si>
  <si>
    <t>Los Queñes - Retén</t>
  </si>
  <si>
    <t xml:space="preserve">Curepto - Sendos </t>
  </si>
  <si>
    <t>San Javier - Particular</t>
  </si>
  <si>
    <t xml:space="preserve">Linares - Sendos </t>
  </si>
  <si>
    <t xml:space="preserve">Parral - Sendos </t>
  </si>
  <si>
    <t>San Carlos - Sendos</t>
  </si>
  <si>
    <t>Chillán - General B.</t>
  </si>
  <si>
    <t>San Ignacio de Palomares</t>
  </si>
  <si>
    <t xml:space="preserve">Bulnes - Sendos </t>
  </si>
  <si>
    <t>Concepción - Carriel Sur</t>
  </si>
  <si>
    <t>Punta Hualpén - Faro</t>
  </si>
  <si>
    <t>Cerro Caracol - Filtros</t>
  </si>
  <si>
    <t xml:space="preserve">Nonguen - Sendos </t>
  </si>
  <si>
    <t xml:space="preserve">Hualqui - Sendos </t>
  </si>
  <si>
    <t>San Cristóbal - Fundo</t>
  </si>
  <si>
    <t xml:space="preserve">El Tambillo  </t>
  </si>
  <si>
    <t>Santa Bárbara - Sendos</t>
  </si>
  <si>
    <t>Angol - Los Estanques</t>
  </si>
  <si>
    <t>Los Sauces - Sendos</t>
  </si>
  <si>
    <t>Anual</t>
  </si>
  <si>
    <t>Máx 24h</t>
  </si>
  <si>
    <t>Promedio diario temporada fría</t>
  </si>
  <si>
    <t>aplica</t>
  </si>
  <si>
    <t>NORMALES PRECIPITACIÓN MENSUAL - NCH1079</t>
  </si>
  <si>
    <t>Vista Hermosa - Granja El Aromo</t>
  </si>
  <si>
    <t>Carahue - Sendos</t>
  </si>
  <si>
    <t>Temuco - Maquehue</t>
  </si>
  <si>
    <t>Curaco en Balsa</t>
  </si>
  <si>
    <t>Flor del Lago</t>
  </si>
  <si>
    <t>Purulon - Escuela Agrícola</t>
  </si>
  <si>
    <t>San José de la Mariquina</t>
  </si>
  <si>
    <t>Valdivia - Pichoy</t>
  </si>
  <si>
    <t>Osorno - Cañal Bajo</t>
  </si>
  <si>
    <t>La Ensenada</t>
  </si>
  <si>
    <t>Puerto Montt - El Tepual</t>
  </si>
  <si>
    <t>Castro - Aeródromo</t>
  </si>
  <si>
    <t>Quellón - Aeródromo</t>
  </si>
  <si>
    <t>Futaleufú - Aeródromo</t>
  </si>
  <si>
    <t>Alto Palena - Aeródromo</t>
  </si>
  <si>
    <t>Puerto Puyuhuapi</t>
  </si>
  <si>
    <t>Puerto Aysén - Aeródromo</t>
  </si>
  <si>
    <t>Coyhaique - Tte. Vidal</t>
  </si>
  <si>
    <t>Balmaceda - Aeropuerto</t>
  </si>
  <si>
    <t>Chile Chico - Aeródromo</t>
  </si>
  <si>
    <t>Punta Dungenes - Faro</t>
  </si>
  <si>
    <t>Punta Arenas - Carlos Ibáñez</t>
  </si>
  <si>
    <t>C.M.A. Pdte. E. Frei M.</t>
  </si>
  <si>
    <t>Base Antártica B.O’Higgins</t>
  </si>
  <si>
    <t>desplegable</t>
  </si>
  <si>
    <t>Selector mes usuario</t>
  </si>
  <si>
    <t>Estación meteorológica NCh1079</t>
  </si>
  <si>
    <t>Caso Proyectado</t>
  </si>
  <si>
    <t>Temp. media ensayo</t>
  </si>
  <si>
    <t>Zona térmica según Comuna</t>
  </si>
  <si>
    <t>espesor [m]</t>
  </si>
  <si>
    <r>
      <t>[Pam</t>
    </r>
    <r>
      <rPr>
        <sz val="11"/>
        <color theme="1"/>
        <rFont val="Aptos Narrow"/>
        <family val="2"/>
      </rPr>
      <t>³</t>
    </r>
    <r>
      <rPr>
        <sz val="11"/>
        <color theme="1"/>
        <rFont val="Calibri"/>
        <family val="2"/>
      </rPr>
      <t>/KgK]</t>
    </r>
  </si>
  <si>
    <t>GDC 1</t>
  </si>
  <si>
    <t>GDC 2</t>
  </si>
  <si>
    <t>GDC 3</t>
  </si>
  <si>
    <t>GDC 4</t>
  </si>
  <si>
    <t>GDC 5</t>
  </si>
  <si>
    <t>GDC 6</t>
  </si>
  <si>
    <t>GDC 7</t>
  </si>
  <si>
    <t>GDC 8</t>
  </si>
  <si>
    <t>GDC 9</t>
  </si>
  <si>
    <t>GDC 10</t>
  </si>
  <si>
    <t>GDC 11</t>
  </si>
  <si>
    <t>GDC 12</t>
  </si>
  <si>
    <t>GDC total</t>
  </si>
  <si>
    <t>Δϴ</t>
  </si>
  <si>
    <t>Δϕ</t>
  </si>
  <si>
    <t>¿Cumple exigencia térmica?</t>
  </si>
  <si>
    <t>¿Cumple condensación superficial?</t>
  </si>
  <si>
    <t>¿Cumple condensación intersticial?</t>
  </si>
  <si>
    <t>Exigencia térmica</t>
  </si>
  <si>
    <t>cumple sistema</t>
  </si>
  <si>
    <t>Importante: Los cambios realizados en esta hoja afectan a los resultados de las hojas "Configuración", "Transmitancia" y "Condensación".</t>
  </si>
  <si>
    <t>Biblioteca de materiales del complejo constructivo</t>
  </si>
  <si>
    <t>A continuación debe seleccionar todos los materiales que serán parte del elemento constructivo a describir en la hoja "Configuración". Para ello debe seleccionar primero la biblioteca donde figura el material, ya sea la Biblioteca de Usuario o las Bibliotecas de Materiales por Defecto. El espesor de los materiales se modifica en la hoja "Configuración". Puede agregar más filas a la tabla si es necesario mediante el botón del lado derecho con el signo "+".</t>
  </si>
  <si>
    <t>Biblioteca de materiales de usuario</t>
  </si>
  <si>
    <t>Importante: Los cambios realizados en esta hoja afectan a los resultados de las hojas "Transmitancia" y "Condensación".</t>
  </si>
  <si>
    <t>¿Cumple cond. superficial?</t>
  </si>
  <si>
    <t>¿Cumple cond. intersticial?</t>
  </si>
  <si>
    <t>Resistencia térmica mínima requerida para emplazamiento:</t>
  </si>
  <si>
    <t>Mínima resistencia térmica ofrecida por sistema:</t>
  </si>
  <si>
    <t>Máx. cantidad de agua acumulada por capa y sección en un mes:</t>
  </si>
  <si>
    <t>y</t>
  </si>
  <si>
    <t>x</t>
  </si>
  <si>
    <t>corrección fijaciones</t>
  </si>
  <si>
    <t>Comuna / Localidad</t>
  </si>
  <si>
    <t>lista_comunas_región</t>
  </si>
  <si>
    <t>10.11.4</t>
  </si>
  <si>
    <t>12.13</t>
  </si>
  <si>
    <t>15.14</t>
  </si>
  <si>
    <t>16.17</t>
  </si>
  <si>
    <t>19.18</t>
  </si>
  <si>
    <t>2.3.4</t>
  </si>
  <si>
    <t>5.6</t>
  </si>
  <si>
    <t>7.8</t>
  </si>
  <si>
    <t>9.4</t>
  </si>
  <si>
    <t>Altitud ≥ 3.000 m.s.n.m.</t>
  </si>
  <si>
    <t>Zona Térmica</t>
  </si>
  <si>
    <t>Comuna / localidad</t>
  </si>
  <si>
    <t>Meridiano</t>
  </si>
  <si>
    <t>Altitud [msnm]</t>
  </si>
  <si>
    <t>T°</t>
  </si>
  <si>
    <t>HR</t>
  </si>
  <si>
    <t>≥ 70°</t>
  </si>
  <si>
    <t>&lt; 1.100</t>
  </si>
  <si>
    <t>&gt; 70° 44'</t>
  </si>
  <si>
    <t>Todas las comunas excepto Isla de Pascua</t>
  </si>
  <si>
    <t>&lt; 3.000</t>
  </si>
  <si>
    <t>&lt; 70°</t>
  </si>
  <si>
    <t>1.100 ≤ altitud &lt; 3.000</t>
  </si>
  <si>
    <t>&lt; 2.000</t>
  </si>
  <si>
    <t>≤ 70° 44'</t>
  </si>
  <si>
    <t>≤ 71°</t>
  </si>
  <si>
    <t>≤ 71° 15'</t>
  </si>
  <si>
    <t>Calama, María Elena, San Pedro de Atacama y Sierra Gorda</t>
  </si>
  <si>
    <t>Todas las comunas excepto Calama, María Elena, San Pedro de Atacama y Sierra Gorda</t>
  </si>
  <si>
    <t>&gt; 71°</t>
  </si>
  <si>
    <t>&gt; 71° 15'</t>
  </si>
  <si>
    <t>Todas las comunas excepto "Las Islas"</t>
  </si>
  <si>
    <t>&lt; 1.000</t>
  </si>
  <si>
    <t>Todas las comunas excepto San José de Maipo</t>
  </si>
  <si>
    <t>Todas las comunas</t>
  </si>
  <si>
    <t>≤ 73° 15'</t>
  </si>
  <si>
    <t>&gt; 73° 15'</t>
  </si>
  <si>
    <t>≥ 1.000</t>
  </si>
  <si>
    <t>≥ 3.000</t>
  </si>
  <si>
    <t>&gt; 1.000</t>
  </si>
  <si>
    <t>≥ 2.000</t>
  </si>
  <si>
    <t>Calama y San Pedro de Atacama</t>
  </si>
  <si>
    <t>Todas las comunas excepto Calama y San Pedro de Atacama</t>
  </si>
  <si>
    <t>Antártica chilena</t>
  </si>
  <si>
    <t>Coihaique</t>
  </si>
  <si>
    <t>Futaleufú y Palena</t>
  </si>
  <si>
    <t>Excepciones</t>
  </si>
  <si>
    <t>hay excepciones</t>
  </si>
  <si>
    <t>POLAR</t>
  </si>
  <si>
    <t>Todas las comunas excepto Futaleufú y Palena</t>
  </si>
  <si>
    <t>lista_Zona_Térmica_A</t>
  </si>
  <si>
    <t>lista_Zona_Térmica_B</t>
  </si>
  <si>
    <t>lista_Zona_Térmica_C</t>
  </si>
  <si>
    <t>lista_Zona_Térmica_D</t>
  </si>
  <si>
    <t>lista_Zona_Térmica_E</t>
  </si>
  <si>
    <t>lista_Zona_Térmica_F</t>
  </si>
  <si>
    <t>lista_Zona_Térmica_G</t>
  </si>
  <si>
    <t>lista_Zona_Térmica_H</t>
  </si>
  <si>
    <t>lista_Zona_Térmica_I</t>
  </si>
  <si>
    <t>lista_Zona_Térmica_POLAR</t>
  </si>
  <si>
    <t>Param 1</t>
  </si>
  <si>
    <t>Param 2</t>
  </si>
  <si>
    <t>Zona Térmica:</t>
  </si>
  <si>
    <t>Alcance:</t>
  </si>
  <si>
    <t>Las islas: Archip. Juan Fernández, Salas y Gómez, Islas Desventuradas</t>
  </si>
  <si>
    <t>Toda la zona</t>
  </si>
  <si>
    <t>Toda la zona con excepción de Isla de Pascua</t>
  </si>
  <si>
    <t>Toda la zona con excepción de Calama, María Elena, San Pedro de Atacama y Sierra Gorda</t>
  </si>
  <si>
    <t>Toda la zona con excepción de las Islas</t>
  </si>
  <si>
    <t>Toda la zona con excepción de San José de Maipo</t>
  </si>
  <si>
    <t>Toda la zona con excepción de Calama y San Pedro de Atacama</t>
  </si>
  <si>
    <t>Toda la zona con excepción de Futaleufú y Palena</t>
  </si>
  <si>
    <t>A1</t>
  </si>
  <si>
    <t>A2</t>
  </si>
  <si>
    <t>B1</t>
  </si>
  <si>
    <t>B2</t>
  </si>
  <si>
    <t>C1</t>
  </si>
  <si>
    <t>C2</t>
  </si>
  <si>
    <t>D1</t>
  </si>
  <si>
    <t>D2</t>
  </si>
  <si>
    <t>H1</t>
  </si>
  <si>
    <t>H2</t>
  </si>
  <si>
    <t>I1</t>
  </si>
  <si>
    <t>I2</t>
  </si>
  <si>
    <t>Dato</t>
  </si>
  <si>
    <t>islas</t>
  </si>
  <si>
    <t>antártica</t>
  </si>
  <si>
    <t>Zona A</t>
  </si>
  <si>
    <t>Zona B</t>
  </si>
  <si>
    <t>Zona C</t>
  </si>
  <si>
    <t>Zona D</t>
  </si>
  <si>
    <t>Zona E</t>
  </si>
  <si>
    <t>Zona F</t>
  </si>
  <si>
    <t>Zona G</t>
  </si>
  <si>
    <t>Zona H</t>
  </si>
  <si>
    <t>Zona I</t>
  </si>
  <si>
    <t>Zona POLAR</t>
  </si>
  <si>
    <t>Zona A - Isla de Pascua</t>
  </si>
  <si>
    <t>Zona B - Calama</t>
  </si>
  <si>
    <t>Zona C - Isla Juan Fernández</t>
  </si>
  <si>
    <t>tipo clima NCh1973</t>
  </si>
  <si>
    <t>Alcance</t>
  </si>
  <si>
    <t>indice</t>
  </si>
  <si>
    <t>Por comuna</t>
  </si>
  <si>
    <t>por comuna</t>
  </si>
  <si>
    <t>-2° para techumbre</t>
  </si>
  <si>
    <t>La condición analizada es la del mes de Julio</t>
  </si>
  <si>
    <t>Cantidad de interfases con condensación</t>
  </si>
  <si>
    <t>Zona térmica:</t>
  </si>
  <si>
    <t>Acreditación</t>
  </si>
  <si>
    <t>Método de acreditación térmico:</t>
  </si>
  <si>
    <t>Cálculo por método simplificado</t>
  </si>
  <si>
    <t>Corrección para interrupción en el aislante</t>
  </si>
  <si>
    <t>CONFIGURACIÓN DEL ELEMENTO Y DETALLES DE ACREDITACIÓN</t>
  </si>
  <si>
    <t>TRANSMITANCIA TÉRMICA SEGÚN NCH 853.OF2021</t>
  </si>
  <si>
    <t>Correcciones a la transmitancia térmica - Anexo F</t>
  </si>
  <si>
    <t>Descripción general del elemento constructivo</t>
  </si>
  <si>
    <t>Cond. superficial</t>
  </si>
  <si>
    <t>Error relativo máximo:</t>
  </si>
  <si>
    <t>Cond. intersticial</t>
  </si>
  <si>
    <t>Elevación</t>
  </si>
  <si>
    <t>Quillagua</t>
  </si>
  <si>
    <t>Potrerillos</t>
  </si>
  <si>
    <t>Isla de pascua</t>
  </si>
  <si>
    <t>El Teniente</t>
  </si>
  <si>
    <t>Antártica Base Frei</t>
  </si>
  <si>
    <t>oscilación térmica</t>
  </si>
  <si>
    <t>Pino insigne ρ = 410 kg/m³</t>
  </si>
  <si>
    <t>Celulosa proyectada ρ = 75 kg/m³</t>
  </si>
  <si>
    <t>Lana de vidrio ρ = 11 kg/m³</t>
  </si>
  <si>
    <t>Terciado ranurado ρ = 570 kg/m³</t>
  </si>
  <si>
    <t>Rsi condensación</t>
  </si>
  <si>
    <t>ϕsicr usuario</t>
  </si>
  <si>
    <t>ϕsicr defecto</t>
  </si>
  <si>
    <t>cámara ventilada</t>
  </si>
  <si>
    <t>RTeq [m²K/W]</t>
  </si>
  <si>
    <r>
      <t>Cálculo del límite inferior de la Resistencia Térmica Total, R</t>
    </r>
    <r>
      <rPr>
        <b/>
        <vertAlign val="subscript"/>
        <sz val="11"/>
        <color rgb="FF000000"/>
        <rFont val="Calibri"/>
        <family val="2"/>
        <scheme val="minor"/>
      </rPr>
      <t>T</t>
    </r>
    <r>
      <rPr>
        <b/>
        <sz val="11"/>
        <color rgb="FF000000"/>
        <rFont val="Calibri"/>
        <family val="2"/>
        <scheme val="minor"/>
      </rPr>
      <t>'':</t>
    </r>
  </si>
  <si>
    <r>
      <t>Cálculo del límite superior de la Resistencia Térmica Total, R</t>
    </r>
    <r>
      <rPr>
        <b/>
        <vertAlign val="subscript"/>
        <sz val="11"/>
        <color rgb="FF000000"/>
        <rFont val="Calibri"/>
        <family val="2"/>
        <scheme val="minor"/>
      </rPr>
      <t>T</t>
    </r>
    <r>
      <rPr>
        <b/>
        <sz val="11"/>
        <color rgb="FF000000"/>
        <rFont val="Calibri"/>
        <family val="2"/>
        <scheme val="minor"/>
      </rPr>
      <t>':</t>
    </r>
  </si>
  <si>
    <t>Materiales</t>
  </si>
  <si>
    <t>desc capa equivalente acum</t>
  </si>
  <si>
    <t>S'd porcentual</t>
  </si>
  <si>
    <t>d' porcentual</t>
  </si>
  <si>
    <t>R100 del material aislante térmico</t>
  </si>
  <si>
    <t>lista_Macrozona_Térmica_BCD</t>
  </si>
  <si>
    <t>lista_Macrozona_Térmica_BCDE</t>
  </si>
  <si>
    <t>lista_Macrozona_Térmica_FG</t>
  </si>
  <si>
    <t>lista_Macrozona_Térmica_HI</t>
  </si>
  <si>
    <t>Resistencia térmica total de la sección, [m²K/W]:</t>
  </si>
  <si>
    <t>Lím superior de la Resistencia Térmica, [m²K/W]:</t>
  </si>
  <si>
    <t>Lím inferior de la Resistencia Térmica, [m²K/W]:</t>
  </si>
  <si>
    <r>
      <rPr>
        <b/>
        <sz val="11"/>
        <color theme="1"/>
        <rFont val="Calibri"/>
        <family val="2"/>
        <scheme val="minor"/>
      </rPr>
      <t>Nota</t>
    </r>
    <r>
      <rPr>
        <sz val="11"/>
        <color theme="1"/>
        <rFont val="Calibri"/>
        <family val="2"/>
        <scheme val="minor"/>
      </rPr>
      <t>: Cumplir la exigencia de Transmitancia Térmica no exime a la solución constructiva de cumplir con el análisis de condensación u otros requerimientos.</t>
    </r>
  </si>
  <si>
    <t>ocultar detalles</t>
  </si>
  <si>
    <t>μ inf</t>
  </si>
  <si>
    <t>capa interior μ inf</t>
  </si>
  <si>
    <t>Detalles de cálculo</t>
  </si>
  <si>
    <t>ϴn rocío</t>
  </si>
  <si>
    <t>No se predice condensación en ninguna interfaz.</t>
  </si>
  <si>
    <t>Macrozona B/C/D</t>
  </si>
  <si>
    <t>Macrozona B/C/D/E</t>
  </si>
  <si>
    <t>Macrozona F/G</t>
  </si>
  <si>
    <t>Macrozona H/I</t>
  </si>
  <si>
    <t>Todas las comunas excepto Calama, San Pedro de Atacama, Antártica chilena, Futaleufú y Palena</t>
  </si>
  <si>
    <t>Todas las comunas excepto la Antártica chilena</t>
  </si>
  <si>
    <t>Todas las comunas excepto Calama, María Elena, San Pedro de Atacama y Sierra Gorda y Las islas: Archip. Juan Fernández, Salas y Gómez, Islas Desventuradas</t>
  </si>
  <si>
    <t>Todas las comunas excepto Las islas: Archip. Juan Fernández, Salas y Gómez, Islas Desventuradas</t>
  </si>
  <si>
    <t>Lista actualizada a noviembre 2025</t>
  </si>
  <si>
    <t>BH</t>
  </si>
  <si>
    <t>ABH</t>
  </si>
  <si>
    <t>AB</t>
  </si>
  <si>
    <t>BC</t>
  </si>
  <si>
    <t>DH</t>
  </si>
  <si>
    <t>CD</t>
  </si>
  <si>
    <t>FH</t>
  </si>
  <si>
    <t>FG</t>
  </si>
  <si>
    <t>k1</t>
  </si>
  <si>
    <t>k2</t>
  </si>
  <si>
    <t>p=50%</t>
  </si>
  <si>
    <t>p=90%</t>
  </si>
  <si>
    <t>Valor sin redondear</t>
  </si>
  <si>
    <t xml:space="preserve"> </t>
  </si>
  <si>
    <t>Condiciones de análisis</t>
  </si>
  <si>
    <t>Mobiliario</t>
  </si>
  <si>
    <t>HR crítica, ϕ_sicr</t>
  </si>
  <si>
    <t>HR exterior, ϕ_e</t>
  </si>
  <si>
    <t>Temp. interior, ϴ_i</t>
  </si>
  <si>
    <t>Temp. exterior, ϴ_e</t>
  </si>
  <si>
    <t>HR interior, ϕ_i</t>
  </si>
  <si>
    <t>ϕ_sicr por defecto</t>
  </si>
  <si>
    <t>No</t>
  </si>
  <si>
    <t>Lana de vidrio Aislanglass ® ρ = 14 kg/m³</t>
  </si>
  <si>
    <t>Lana de vidrio Aislanglass ® ρ = 32 kg/m³</t>
  </si>
  <si>
    <t>Volcanwrap Typar 125 m²</t>
  </si>
  <si>
    <t>Superfieltro Volcán muro 40 m²</t>
  </si>
  <si>
    <t>Fibrocemento Volcanboard</t>
  </si>
  <si>
    <t>OSB PaintPanel Louisiana Pacific ρ = 685,4 kg/m³</t>
  </si>
  <si>
    <t>Factor de resistencia al vapor de agua, μ</t>
  </si>
  <si>
    <t>δp [kg/msPa] --&gt;</t>
  </si>
  <si>
    <t>OSB SmartPanel Louisiana Pacific ρ = 648 kg/m³</t>
  </si>
  <si>
    <t>Fibrocemento Simplísima - Cedral ETEX</t>
  </si>
  <si>
    <t>Cáscara de ladrillo hecho a máquina Princesa</t>
  </si>
  <si>
    <t>Adobe de celulosa, 72% celulosa, 14% viruta y 14% arcilla ρ = 584 kg/m³</t>
  </si>
  <si>
    <t>Papel mural 200 g/m²</t>
  </si>
  <si>
    <t>Volcán Wrap barrera de vapor</t>
  </si>
  <si>
    <t>OSB ρ = 650 kg/m³</t>
  </si>
  <si>
    <t>Valor U:</t>
  </si>
  <si>
    <t>A continuación se muestra el resultado obtenido para la acreditación de los requerimientos térmicos del elemento, dependiendo de si se realizó un cálculo por el método simplificado, mediante el valor R100 del material aislante térmico presente en la solución o ensayo de transmitancia en laboratorio.</t>
  </si>
  <si>
    <t>Ensayo según NCh851</t>
  </si>
  <si>
    <t>Solución del listado térmico</t>
  </si>
  <si>
    <t>Transmitancia térmica usuario</t>
  </si>
  <si>
    <t>XPS Cerámica Stgo Aislagreen 50mm</t>
  </si>
  <si>
    <t>Error máximo relativo, e =</t>
  </si>
  <si>
    <t>Porcentaje de corrección =</t>
  </si>
  <si>
    <t>error máximo relativo admisible</t>
  </si>
  <si>
    <t>Sección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</si>
</sst>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00"/>
    <numFmt numFmtId="167" formatCode="0.0000"/>
    <numFmt numFmtId="168" formatCode="0.E+00"/>
    <numFmt numFmtId="169" formatCode="0.00.E+00"/>
  </numFmts>
  <fonts count="39" x14ac:knownFonts="1">
    <font>
      <sz val="11"/>
      <color theme="1"/>
      <name val="Calibri"/>
      <family val="2"/>
      <scheme val="minor"/>
    </font>
    <font>
      <b/>
      <sz val="11"/>
      <color theme="1"/>
      <name val="Calibri"/>
      <family val="2"/>
      <scheme val="minor"/>
    </font>
    <font>
      <sz val="11"/>
      <color theme="1"/>
      <name val="Calibri"/>
      <family val="2"/>
    </font>
    <font>
      <sz val="11"/>
      <color theme="0"/>
      <name val="Calibri"/>
      <family val="2"/>
      <scheme val="minor"/>
    </font>
    <font>
      <b/>
      <sz val="11"/>
      <color theme="1"/>
      <name val="Calibri"/>
      <family val="2"/>
    </font>
    <font>
      <sz val="8"/>
      <name val="Calibri"/>
      <family val="2"/>
      <scheme val="minor"/>
    </font>
    <font>
      <sz val="11"/>
      <color theme="1"/>
      <name val="Calibri"/>
      <family val="2"/>
      <scheme val="minor"/>
    </font>
    <font>
      <b/>
      <sz val="11"/>
      <color theme="0"/>
      <name val="Calibri"/>
      <family val="2"/>
      <scheme val="minor"/>
    </font>
    <font>
      <sz val="11"/>
      <color theme="4" tint="-0.249977111117893"/>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3F3F76"/>
      <name val="Calibri"/>
      <family val="2"/>
      <scheme val="minor"/>
    </font>
    <font>
      <b/>
      <sz val="11"/>
      <color rgb="FF3F3F3F"/>
      <name val="Calibri"/>
      <family val="2"/>
      <scheme val="minor"/>
    </font>
    <font>
      <b/>
      <sz val="18"/>
      <color theme="3"/>
      <name val="Calibri Light"/>
      <family val="2"/>
      <scheme val="major"/>
    </font>
    <font>
      <sz val="11"/>
      <color rgb="FF000000"/>
      <name val="Calibri"/>
      <family val="2"/>
      <scheme val="minor"/>
    </font>
    <font>
      <sz val="11"/>
      <color theme="1"/>
      <name val="Aptos Narrow"/>
      <family val="2"/>
    </font>
    <font>
      <sz val="11"/>
      <name val="Calibri"/>
      <family val="2"/>
      <scheme val="minor"/>
    </font>
    <font>
      <b/>
      <i/>
      <sz val="11"/>
      <color theme="1"/>
      <name val="Calibri"/>
      <family val="2"/>
      <scheme val="minor"/>
    </font>
    <font>
      <b/>
      <sz val="11"/>
      <color rgb="FF000000"/>
      <name val="Calibri"/>
      <family val="2"/>
      <scheme val="minor"/>
    </font>
    <font>
      <b/>
      <sz val="9"/>
      <color indexed="81"/>
      <name val="Tahoma"/>
      <family val="2"/>
    </font>
    <font>
      <sz val="10"/>
      <name val="Arial"/>
      <family val="2"/>
    </font>
    <font>
      <b/>
      <sz val="11"/>
      <name val="Calibri"/>
      <family val="2"/>
      <scheme val="minor"/>
    </font>
    <font>
      <b/>
      <sz val="18"/>
      <name val="Calibri Light"/>
      <family val="2"/>
      <scheme val="major"/>
    </font>
    <font>
      <b/>
      <sz val="18"/>
      <color theme="0"/>
      <name val="Calibri Light"/>
      <family val="2"/>
      <scheme val="major"/>
    </font>
    <font>
      <sz val="11"/>
      <color rgb="FFFF0000"/>
      <name val="Calibri"/>
      <family val="2"/>
      <scheme val="minor"/>
    </font>
    <font>
      <sz val="9.35"/>
      <color theme="1"/>
      <name val="Calibri"/>
      <family val="2"/>
    </font>
    <font>
      <b/>
      <sz val="11"/>
      <color theme="1"/>
      <name val="Aptos Narrow"/>
      <family val="2"/>
    </font>
    <font>
      <b/>
      <vertAlign val="superscript"/>
      <sz val="11"/>
      <color theme="1"/>
      <name val="Calibri"/>
      <family val="2"/>
    </font>
    <font>
      <b/>
      <vertAlign val="subscript"/>
      <sz val="11"/>
      <color theme="1"/>
      <name val="Calibri"/>
      <family val="2"/>
      <scheme val="minor"/>
    </font>
    <font>
      <sz val="9"/>
      <color indexed="81"/>
      <name val="Tahoma"/>
      <family val="2"/>
    </font>
    <font>
      <b/>
      <vertAlign val="subscript"/>
      <sz val="11"/>
      <color rgb="FF000000"/>
      <name val="Calibri"/>
      <family val="2"/>
      <scheme val="minor"/>
    </font>
    <font>
      <b/>
      <sz val="10.5"/>
      <color theme="1"/>
      <name val="Calibri"/>
      <family val="2"/>
      <scheme val="minor"/>
    </font>
    <font>
      <sz val="10"/>
      <color theme="1"/>
      <name val="Calibri"/>
      <family val="2"/>
      <scheme val="minor"/>
    </font>
    <font>
      <b/>
      <sz val="10.5"/>
      <color rgb="FF000000"/>
      <name val="Calibri"/>
      <family val="2"/>
      <scheme val="minor"/>
    </font>
    <font>
      <sz val="18"/>
      <color theme="0"/>
      <name val="Calibri"/>
      <family val="2"/>
      <scheme val="minor"/>
    </font>
    <font>
      <b/>
      <sz val="11"/>
      <color rgb="FF000000"/>
      <name val="Calibri"/>
      <family val="2"/>
    </font>
    <font>
      <b/>
      <sz val="11"/>
      <color rgb="FFFF0000"/>
      <name val="Calibri"/>
      <family val="2"/>
    </font>
    <font>
      <b/>
      <sz val="12"/>
      <color rgb="FF000000"/>
      <name val="Calibri"/>
      <family val="2"/>
    </font>
  </fonts>
  <fills count="34">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theme="0"/>
        <bgColor indexed="64"/>
      </patternFill>
    </fill>
    <fill>
      <patternFill patternType="solid">
        <fgColor rgb="FF92D050"/>
        <bgColor indexed="64"/>
      </patternFill>
    </fill>
    <fill>
      <patternFill patternType="solid">
        <fgColor theme="4" tint="-0.249977111117893"/>
        <bgColor indexed="64"/>
      </patternFill>
    </fill>
    <fill>
      <patternFill patternType="solid">
        <fgColor rgb="FFFFCC99"/>
      </patternFill>
    </fill>
    <fill>
      <patternFill patternType="solid">
        <fgColor rgb="FFF2F2F2"/>
      </patternFill>
    </fill>
    <fill>
      <patternFill patternType="solid">
        <fgColor rgb="FFFFFFCC"/>
      </patternFill>
    </fill>
    <fill>
      <patternFill patternType="solid">
        <fgColor theme="0" tint="-0.14999847407452621"/>
        <bgColor theme="0" tint="-0.14999847407452621"/>
      </patternFill>
    </fill>
    <fill>
      <patternFill patternType="solid">
        <fgColor theme="7"/>
        <bgColor indexed="64"/>
      </patternFill>
    </fill>
    <fill>
      <patternFill patternType="solid">
        <fgColor theme="5"/>
        <bgColor indexed="64"/>
      </patternFill>
    </fill>
    <fill>
      <patternFill patternType="solid">
        <fgColor rgb="FFFFFF00"/>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0070C0"/>
        <bgColor indexed="64"/>
      </patternFill>
    </fill>
    <fill>
      <patternFill patternType="solid">
        <fgColor rgb="FF00B050"/>
        <bgColor indexed="64"/>
      </patternFill>
    </fill>
    <fill>
      <patternFill patternType="solid">
        <fgColor rgb="FF00B0F0"/>
        <bgColor indexed="64"/>
      </patternFill>
    </fill>
    <fill>
      <patternFill patternType="solid">
        <fgColor theme="1"/>
        <bgColor indexed="64"/>
      </patternFill>
    </fill>
    <fill>
      <patternFill patternType="solid">
        <fgColor rgb="FFCC3300"/>
        <bgColor indexed="64"/>
      </patternFill>
    </fill>
    <fill>
      <patternFill patternType="solid">
        <fgColor rgb="FFFF6600"/>
        <bgColor indexed="64"/>
      </patternFill>
    </fill>
    <fill>
      <patternFill patternType="solid">
        <fgColor rgb="FF66CCFF"/>
        <bgColor indexed="64"/>
      </patternFill>
    </fill>
    <fill>
      <patternFill patternType="solid">
        <fgColor rgb="FF00CC99"/>
        <bgColor indexed="64"/>
      </patternFill>
    </fill>
    <fill>
      <patternFill patternType="solid">
        <fgColor rgb="FF538DD5"/>
        <bgColor indexed="64"/>
      </patternFill>
    </fill>
    <fill>
      <patternFill patternType="solid">
        <fgColor rgb="FF366092"/>
        <bgColor indexed="64"/>
      </patternFill>
    </fill>
    <fill>
      <patternFill patternType="solid">
        <fgColor theme="4" tint="0.59999389629810485"/>
        <bgColor indexed="65"/>
      </patternFill>
    </fill>
    <fill>
      <patternFill patternType="solid">
        <fgColor theme="4" tint="0.59999389629810485"/>
        <bgColor indexed="64"/>
      </patternFill>
    </fill>
    <fill>
      <patternFill patternType="solid">
        <fgColor theme="0" tint="-0.14999847407452621"/>
        <bgColor indexed="64"/>
      </patternFill>
    </fill>
    <fill>
      <patternFill patternType="solid">
        <fgColor rgb="FFF2F2F2"/>
        <bgColor indexed="64"/>
      </patternFill>
    </fill>
    <fill>
      <patternFill patternType="solid">
        <fgColor theme="0" tint="-4.9989318521683403E-2"/>
        <bgColor indexed="64"/>
      </patternFill>
    </fill>
  </fills>
  <borders count="75">
    <border>
      <left/>
      <right/>
      <top/>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bottom/>
      <diagonal/>
    </border>
    <border>
      <left/>
      <right/>
      <top/>
      <bottom style="thin">
        <color theme="1"/>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auto="1"/>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thin">
        <color auto="1"/>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style="thin">
        <color theme="1"/>
      </top>
      <bottom style="thin">
        <color theme="1"/>
      </bottom>
      <diagonal/>
    </border>
    <border>
      <left/>
      <right style="thin">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3F3F3F"/>
      </left>
      <right/>
      <top style="thin">
        <color rgb="FF3F3F3F"/>
      </top>
      <bottom style="thin">
        <color rgb="FF3F3F3F"/>
      </bottom>
      <diagonal/>
    </border>
    <border>
      <left/>
      <right style="thin">
        <color rgb="FF7F7F7F"/>
      </right>
      <top/>
      <bottom/>
      <diagonal/>
    </border>
    <border>
      <left/>
      <right/>
      <top style="thin">
        <color theme="1"/>
      </top>
      <bottom style="medium">
        <color indexed="64"/>
      </bottom>
      <diagonal/>
    </border>
    <border>
      <left/>
      <right style="medium">
        <color indexed="64"/>
      </right>
      <top style="thin">
        <color theme="1"/>
      </top>
      <bottom style="medium">
        <color indexed="64"/>
      </bottom>
      <diagonal/>
    </border>
    <border>
      <left style="thin">
        <color rgb="FF3F3F3F"/>
      </left>
      <right style="thin">
        <color rgb="FF3F3F3F"/>
      </right>
      <top/>
      <bottom style="thin">
        <color rgb="FF3F3F3F"/>
      </bottom>
      <diagonal/>
    </border>
    <border>
      <left/>
      <right style="thin">
        <color rgb="FF3F3F3F"/>
      </right>
      <top style="thin">
        <color indexed="64"/>
      </top>
      <bottom/>
      <diagonal/>
    </border>
    <border>
      <left style="thin">
        <color rgb="FF3F3F3F"/>
      </left>
      <right style="thin">
        <color rgb="FF3F3F3F"/>
      </right>
      <top style="thin">
        <color theme="1"/>
      </top>
      <bottom style="thin">
        <color rgb="FF3F3F3F"/>
      </bottom>
      <diagonal/>
    </border>
    <border>
      <left/>
      <right/>
      <top style="thin">
        <color theme="1"/>
      </top>
      <bottom/>
      <diagonal/>
    </border>
    <border>
      <left style="thin">
        <color rgb="FF3F3F3F"/>
      </left>
      <right/>
      <top style="thin">
        <color theme="1"/>
      </top>
      <bottom style="thin">
        <color rgb="FF3F3F3F"/>
      </bottom>
      <diagonal/>
    </border>
    <border>
      <left/>
      <right style="thin">
        <color rgb="FF3F3F3F"/>
      </right>
      <top/>
      <bottom/>
      <diagonal/>
    </border>
    <border>
      <left/>
      <right/>
      <top style="thick">
        <color theme="4"/>
      </top>
      <bottom/>
      <diagonal/>
    </border>
    <border>
      <left style="thin">
        <color rgb="FF3F3F3F"/>
      </left>
      <right/>
      <top style="thin">
        <color rgb="FF3F3F3F"/>
      </top>
      <bottom/>
      <diagonal/>
    </border>
    <border>
      <left/>
      <right/>
      <top style="thin">
        <color rgb="FF3F3F3F"/>
      </top>
      <bottom/>
      <diagonal/>
    </border>
    <border>
      <left/>
      <right style="thin">
        <color rgb="FF3F3F3F"/>
      </right>
      <top style="thin">
        <color rgb="FF3F3F3F"/>
      </top>
      <bottom/>
      <diagonal/>
    </border>
    <border>
      <left style="thin">
        <color rgb="FF3F3F3F"/>
      </left>
      <right/>
      <top/>
      <bottom style="thin">
        <color rgb="FF3F3F3F"/>
      </bottom>
      <diagonal/>
    </border>
    <border>
      <left/>
      <right/>
      <top/>
      <bottom style="thin">
        <color rgb="FF3F3F3F"/>
      </bottom>
      <diagonal/>
    </border>
    <border>
      <left/>
      <right style="thin">
        <color rgb="FF3F3F3F"/>
      </right>
      <top/>
      <bottom style="thin">
        <color rgb="FF3F3F3F"/>
      </bottom>
      <diagonal/>
    </border>
    <border>
      <left style="thin">
        <color auto="1"/>
      </left>
      <right style="thin">
        <color auto="1"/>
      </right>
      <top style="thin">
        <color indexed="64"/>
      </top>
      <bottom style="thin">
        <color theme="1"/>
      </bottom>
      <diagonal/>
    </border>
    <border>
      <left/>
      <right style="thin">
        <color indexed="64"/>
      </right>
      <top style="thin">
        <color indexed="64"/>
      </top>
      <bottom style="thin">
        <color theme="1"/>
      </bottom>
      <diagonal/>
    </border>
    <border>
      <left/>
      <right/>
      <top style="thin">
        <color indexed="64"/>
      </top>
      <bottom style="thin">
        <color theme="1"/>
      </bottom>
      <diagonal/>
    </border>
    <border>
      <left style="thin">
        <color rgb="FF3F3F3F"/>
      </left>
      <right style="thin">
        <color indexed="64"/>
      </right>
      <top style="thin">
        <color rgb="FF3F3F3F"/>
      </top>
      <bottom style="thin">
        <color rgb="FF3F3F3F"/>
      </bottom>
      <diagonal/>
    </border>
    <border>
      <left style="thin">
        <color rgb="FF7F7F7F"/>
      </left>
      <right style="thin">
        <color rgb="FF7F7F7F"/>
      </right>
      <top style="thin">
        <color rgb="FF7F7F7F"/>
      </top>
      <bottom/>
      <diagonal/>
    </border>
    <border>
      <left style="thin">
        <color rgb="FFB2B2B2"/>
      </left>
      <right style="thin">
        <color rgb="FFB2B2B2"/>
      </right>
      <top style="thin">
        <color rgb="FFB2B2B2"/>
      </top>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auto="1"/>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rgb="FF3F3F3F"/>
      </left>
      <right/>
      <top/>
      <bottom/>
      <diagonal/>
    </border>
    <border>
      <left style="thin">
        <color rgb="FF3F3F3F"/>
      </left>
      <right/>
      <top style="thick">
        <color theme="4" tint="0.499984740745262"/>
      </top>
      <bottom style="thin">
        <color rgb="FF3F3F3F"/>
      </bottom>
      <diagonal/>
    </border>
    <border>
      <left/>
      <right/>
      <top style="thick">
        <color theme="4" tint="0.499984740745262"/>
      </top>
      <bottom style="thin">
        <color rgb="FF3F3F3F"/>
      </bottom>
      <diagonal/>
    </border>
    <border>
      <left/>
      <right style="thin">
        <color rgb="FF3F3F3F"/>
      </right>
      <top style="thick">
        <color theme="4" tint="0.499984740745262"/>
      </top>
      <bottom style="thin">
        <color rgb="FF3F3F3F"/>
      </bottom>
      <diagonal/>
    </border>
    <border>
      <left/>
      <right style="thin">
        <color rgb="FF3F3F3F"/>
      </right>
      <top style="thin">
        <color rgb="FF3F3F3F"/>
      </top>
      <bottom style="thin">
        <color rgb="FF3F3F3F"/>
      </bottom>
      <diagonal/>
    </border>
    <border>
      <left style="thin">
        <color rgb="FF3F3F3F"/>
      </left>
      <right style="thin">
        <color rgb="FF3F3F3F"/>
      </right>
      <top style="thin">
        <color rgb="FF3F3F3F"/>
      </top>
      <bottom/>
      <diagonal/>
    </border>
    <border>
      <left style="thin">
        <color rgb="FF7F7F7F"/>
      </left>
      <right/>
      <top/>
      <bottom/>
      <diagonal/>
    </border>
    <border>
      <left style="thin">
        <color rgb="FF7F7F7F"/>
      </left>
      <right style="thin">
        <color rgb="FF7F7F7F"/>
      </right>
      <top/>
      <bottom style="thin">
        <color rgb="FF7F7F7F"/>
      </bottom>
      <diagonal/>
    </border>
  </borders>
  <cellStyleXfs count="10">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10" fillId="0" borderId="28" applyNumberFormat="0" applyFill="0" applyAlignment="0" applyProtection="0"/>
    <xf numFmtId="0" fontId="11" fillId="0" borderId="29" applyNumberFormat="0" applyFill="0" applyAlignment="0" applyProtection="0"/>
    <xf numFmtId="0" fontId="12" fillId="7" borderId="30" applyNumberFormat="0" applyAlignment="0">
      <protection locked="0"/>
    </xf>
    <xf numFmtId="0" fontId="13" fillId="8" borderId="31" applyNumberFormat="0" applyAlignment="0"/>
    <xf numFmtId="0" fontId="6" fillId="9" borderId="32" applyNumberFormat="0" applyFont="0" applyAlignment="0" applyProtection="0"/>
    <xf numFmtId="0" fontId="21" fillId="0" borderId="0">
      <alignment vertical="center"/>
    </xf>
    <xf numFmtId="0" fontId="6" fillId="29" borderId="0" applyNumberFormat="0" applyBorder="0" applyAlignment="0" applyProtection="0"/>
  </cellStyleXfs>
  <cellXfs count="487">
    <xf numFmtId="0" fontId="0" fillId="0" borderId="0" xfId="0"/>
    <xf numFmtId="0" fontId="1" fillId="0" borderId="0" xfId="0" applyFont="1"/>
    <xf numFmtId="0" fontId="0" fillId="0" borderId="0" xfId="0" applyAlignment="1">
      <alignment horizontal="right"/>
    </xf>
    <xf numFmtId="0" fontId="2" fillId="0" borderId="0" xfId="0" applyFont="1"/>
    <xf numFmtId="0" fontId="1" fillId="2" borderId="8" xfId="0" applyFont="1" applyFill="1" applyBorder="1"/>
    <xf numFmtId="0" fontId="0" fillId="0" borderId="10" xfId="0" applyBorder="1"/>
    <xf numFmtId="2" fontId="0" fillId="0" borderId="0" xfId="0" applyNumberFormat="1"/>
    <xf numFmtId="0" fontId="0" fillId="0" borderId="0" xfId="0" applyAlignment="1">
      <alignment horizontal="left" vertical="center"/>
    </xf>
    <xf numFmtId="0" fontId="0" fillId="0" borderId="5" xfId="0" applyBorder="1"/>
    <xf numFmtId="0" fontId="0" fillId="2" borderId="8" xfId="0" applyFill="1" applyBorder="1"/>
    <xf numFmtId="0" fontId="1" fillId="2" borderId="16" xfId="0" applyFont="1" applyFill="1" applyBorder="1"/>
    <xf numFmtId="0" fontId="0" fillId="0" borderId="17" xfId="0" applyBorder="1"/>
    <xf numFmtId="0" fontId="0" fillId="0" borderId="18" xfId="0" applyBorder="1"/>
    <xf numFmtId="0" fontId="0" fillId="0" borderId="19" xfId="0" applyBorder="1"/>
    <xf numFmtId="0" fontId="0" fillId="0" borderId="20" xfId="0" applyBorder="1"/>
    <xf numFmtId="0" fontId="4" fillId="2" borderId="15" xfId="0" applyFont="1" applyFill="1" applyBorder="1" applyAlignment="1">
      <alignment horizontal="left"/>
    </xf>
    <xf numFmtId="0" fontId="2" fillId="0" borderId="17" xfId="0" applyFont="1" applyBorder="1" applyAlignment="1">
      <alignment horizontal="left"/>
    </xf>
    <xf numFmtId="0" fontId="1" fillId="0" borderId="18" xfId="0" applyFont="1" applyBorder="1"/>
    <xf numFmtId="0" fontId="0" fillId="0" borderId="17" xfId="0" applyBorder="1" applyAlignment="1">
      <alignment horizontal="left" vertical="center"/>
    </xf>
    <xf numFmtId="0" fontId="0" fillId="0" borderId="21" xfId="0" applyBorder="1"/>
    <xf numFmtId="0" fontId="0" fillId="0" borderId="22" xfId="0" applyBorder="1"/>
    <xf numFmtId="0" fontId="0" fillId="0" borderId="23" xfId="0" applyBorder="1"/>
    <xf numFmtId="0" fontId="1" fillId="2" borderId="17" xfId="0" applyFont="1" applyFill="1" applyBorder="1"/>
    <xf numFmtId="0" fontId="1" fillId="2" borderId="0" xfId="0" applyFont="1" applyFill="1"/>
    <xf numFmtId="0" fontId="1" fillId="2" borderId="18" xfId="0" applyFont="1" applyFill="1" applyBorder="1"/>
    <xf numFmtId="0" fontId="0" fillId="3" borderId="22" xfId="0" applyFill="1" applyBorder="1"/>
    <xf numFmtId="0" fontId="1" fillId="5" borderId="24" xfId="0" applyFont="1" applyFill="1" applyBorder="1"/>
    <xf numFmtId="0" fontId="1" fillId="5" borderId="25" xfId="0" applyFont="1" applyFill="1" applyBorder="1"/>
    <xf numFmtId="0" fontId="1" fillId="5" borderId="26" xfId="0" applyFont="1" applyFill="1" applyBorder="1"/>
    <xf numFmtId="0" fontId="4" fillId="5" borderId="12" xfId="0" applyFont="1" applyFill="1" applyBorder="1" applyAlignment="1">
      <alignment horizontal="left"/>
    </xf>
    <xf numFmtId="0" fontId="1" fillId="5" borderId="13" xfId="0" applyFont="1" applyFill="1" applyBorder="1"/>
    <xf numFmtId="0" fontId="0" fillId="5" borderId="13" xfId="0" applyFill="1" applyBorder="1"/>
    <xf numFmtId="0" fontId="0" fillId="5" borderId="14" xfId="0" applyFill="1" applyBorder="1"/>
    <xf numFmtId="0" fontId="0" fillId="5" borderId="25" xfId="0" applyFill="1" applyBorder="1"/>
    <xf numFmtId="0" fontId="0" fillId="5" borderId="26" xfId="0" applyFill="1" applyBorder="1"/>
    <xf numFmtId="164" fontId="0" fillId="0" borderId="0" xfId="1" applyNumberFormat="1" applyFont="1" applyBorder="1"/>
    <xf numFmtId="165" fontId="0" fillId="0" borderId="0" xfId="0" applyNumberFormat="1"/>
    <xf numFmtId="0" fontId="3" fillId="6" borderId="4" xfId="0" applyFont="1" applyFill="1" applyBorder="1" applyAlignment="1" applyProtection="1">
      <alignment horizontal="center"/>
      <protection hidden="1"/>
    </xf>
    <xf numFmtId="0" fontId="3" fillId="6" borderId="8" xfId="0" applyFont="1" applyFill="1" applyBorder="1" applyProtection="1">
      <protection hidden="1"/>
    </xf>
    <xf numFmtId="2" fontId="3" fillId="6" borderId="27" xfId="0" applyNumberFormat="1" applyFont="1" applyFill="1" applyBorder="1" applyAlignment="1" applyProtection="1">
      <alignment horizontal="left"/>
      <protection hidden="1"/>
    </xf>
    <xf numFmtId="0" fontId="0" fillId="4" borderId="0" xfId="0" applyFill="1"/>
    <xf numFmtId="0" fontId="1" fillId="4" borderId="0" xfId="0" applyFont="1" applyFill="1"/>
    <xf numFmtId="0" fontId="0" fillId="4" borderId="0" xfId="0" applyFill="1" applyAlignment="1">
      <alignment horizontal="left"/>
    </xf>
    <xf numFmtId="0" fontId="1" fillId="4" borderId="0" xfId="0" applyFont="1" applyFill="1" applyAlignment="1">
      <alignment vertical="center"/>
    </xf>
    <xf numFmtId="0" fontId="7" fillId="6" borderId="0" xfId="0" applyFont="1" applyFill="1" applyAlignment="1" applyProtection="1">
      <alignment horizontal="center" vertical="center"/>
      <protection hidden="1"/>
    </xf>
    <xf numFmtId="0" fontId="7" fillId="4" borderId="0" xfId="0" applyFont="1" applyFill="1" applyAlignment="1">
      <alignment horizontal="center"/>
    </xf>
    <xf numFmtId="0" fontId="1" fillId="0" borderId="33" xfId="0" applyFont="1" applyBorder="1"/>
    <xf numFmtId="0" fontId="0" fillId="0" borderId="0" xfId="0" applyAlignment="1">
      <alignment horizontal="center"/>
    </xf>
    <xf numFmtId="2" fontId="0" fillId="0" borderId="0" xfId="0" applyNumberFormat="1" applyAlignment="1">
      <alignment horizontal="center"/>
    </xf>
    <xf numFmtId="0" fontId="0" fillId="0" borderId="0" xfId="0" applyAlignment="1">
      <alignment horizontal="left"/>
    </xf>
    <xf numFmtId="0" fontId="0" fillId="0" borderId="13" xfId="0" applyBorder="1"/>
    <xf numFmtId="0" fontId="0" fillId="0" borderId="18" xfId="0" applyBorder="1" applyAlignment="1">
      <alignment horizontal="center"/>
    </xf>
    <xf numFmtId="9" fontId="0" fillId="0" borderId="0" xfId="1" applyFont="1" applyBorder="1"/>
    <xf numFmtId="9" fontId="0" fillId="0" borderId="22" xfId="0" applyNumberFormat="1" applyBorder="1"/>
    <xf numFmtId="0" fontId="1" fillId="11" borderId="12" xfId="0" applyFont="1" applyFill="1" applyBorder="1"/>
    <xf numFmtId="0" fontId="0" fillId="11" borderId="13" xfId="0" applyFill="1" applyBorder="1"/>
    <xf numFmtId="0" fontId="0" fillId="11" borderId="14" xfId="0" applyFill="1" applyBorder="1"/>
    <xf numFmtId="0" fontId="1" fillId="5" borderId="12" xfId="0" applyFont="1" applyFill="1" applyBorder="1"/>
    <xf numFmtId="0" fontId="1" fillId="5" borderId="14" xfId="0" applyFont="1" applyFill="1" applyBorder="1"/>
    <xf numFmtId="0" fontId="0" fillId="0" borderId="34" xfId="0" applyBorder="1"/>
    <xf numFmtId="0" fontId="1" fillId="2" borderId="12" xfId="0" applyFont="1" applyFill="1" applyBorder="1"/>
    <xf numFmtId="0" fontId="1" fillId="2" borderId="13" xfId="0" applyFont="1" applyFill="1" applyBorder="1"/>
    <xf numFmtId="0" fontId="1" fillId="2" borderId="35" xfId="0" applyFont="1" applyFill="1" applyBorder="1"/>
    <xf numFmtId="0" fontId="9" fillId="4" borderId="0" xfId="2" applyFill="1"/>
    <xf numFmtId="0" fontId="11" fillId="4" borderId="29" xfId="4" applyFill="1"/>
    <xf numFmtId="9" fontId="0" fillId="4" borderId="0" xfId="0" applyNumberFormat="1" applyFill="1"/>
    <xf numFmtId="0" fontId="12" fillId="7" borderId="30" xfId="5">
      <protection locked="0"/>
    </xf>
    <xf numFmtId="0" fontId="12" fillId="7" borderId="30" xfId="5" applyAlignment="1">
      <alignment horizontal="center"/>
      <protection locked="0"/>
    </xf>
    <xf numFmtId="0" fontId="13" fillId="8" borderId="31" xfId="6" applyAlignment="1">
      <alignment horizontal="center"/>
    </xf>
    <xf numFmtId="0" fontId="12" fillId="7" borderId="36" xfId="5" applyBorder="1" applyAlignment="1">
      <alignment horizontal="center"/>
      <protection locked="0"/>
    </xf>
    <xf numFmtId="0" fontId="13" fillId="8" borderId="36" xfId="6" applyBorder="1" applyAlignment="1">
      <alignment horizontal="center"/>
    </xf>
    <xf numFmtId="0" fontId="0" fillId="4" borderId="36" xfId="0" applyFill="1" applyBorder="1"/>
    <xf numFmtId="0" fontId="0" fillId="4" borderId="11" xfId="0" applyFill="1" applyBorder="1"/>
    <xf numFmtId="0" fontId="0" fillId="4" borderId="1" xfId="0" applyFill="1" applyBorder="1" applyAlignment="1">
      <alignment horizontal="left"/>
    </xf>
    <xf numFmtId="0" fontId="0" fillId="4" borderId="9" xfId="0" applyFill="1" applyBorder="1"/>
    <xf numFmtId="165" fontId="13" fillId="8" borderId="39" xfId="6" applyNumberFormat="1" applyBorder="1" applyAlignment="1">
      <alignment horizontal="center"/>
    </xf>
    <xf numFmtId="0" fontId="0" fillId="4" borderId="6" xfId="0" applyFill="1" applyBorder="1" applyAlignment="1">
      <alignment horizontal="left"/>
    </xf>
    <xf numFmtId="0" fontId="1" fillId="4" borderId="37" xfId="0" applyFont="1" applyFill="1" applyBorder="1"/>
    <xf numFmtId="0" fontId="3" fillId="4" borderId="0" xfId="0" applyFont="1" applyFill="1"/>
    <xf numFmtId="0" fontId="1" fillId="4" borderId="38" xfId="0" applyFont="1" applyFill="1" applyBorder="1"/>
    <xf numFmtId="0" fontId="13" fillId="8" borderId="31" xfId="6"/>
    <xf numFmtId="2" fontId="13" fillId="8" borderId="31" xfId="6" applyNumberFormat="1"/>
    <xf numFmtId="0" fontId="15" fillId="4" borderId="0" xfId="0" applyFont="1" applyFill="1" applyAlignment="1">
      <alignment horizontal="left" vertical="center"/>
    </xf>
    <xf numFmtId="0" fontId="14" fillId="4" borderId="0" xfId="2" applyFont="1" applyFill="1"/>
    <xf numFmtId="0" fontId="10" fillId="4" borderId="28" xfId="3" applyFill="1"/>
    <xf numFmtId="0" fontId="1" fillId="0" borderId="22" xfId="0" applyFont="1" applyBorder="1"/>
    <xf numFmtId="0" fontId="1" fillId="0" borderId="41" xfId="0" applyFont="1" applyBorder="1"/>
    <xf numFmtId="0" fontId="1" fillId="0" borderId="42" xfId="0" applyFont="1" applyBorder="1"/>
    <xf numFmtId="164" fontId="0" fillId="0" borderId="0" xfId="0" applyNumberFormat="1" applyAlignment="1">
      <alignment horizontal="center"/>
    </xf>
    <xf numFmtId="0" fontId="0" fillId="10" borderId="0" xfId="0" applyFill="1"/>
    <xf numFmtId="164" fontId="0" fillId="0" borderId="0" xfId="0" applyNumberFormat="1"/>
    <xf numFmtId="1" fontId="0" fillId="0" borderId="0" xfId="0" applyNumberFormat="1"/>
    <xf numFmtId="0" fontId="16" fillId="0" borderId="0" xfId="0" applyFont="1"/>
    <xf numFmtId="11" fontId="0" fillId="0" borderId="0" xfId="0" applyNumberFormat="1"/>
    <xf numFmtId="0" fontId="10" fillId="4" borderId="0" xfId="3" applyFill="1" applyBorder="1" applyAlignment="1">
      <alignment horizontal="left"/>
    </xf>
    <xf numFmtId="0" fontId="10" fillId="4" borderId="0" xfId="3" applyFill="1" applyBorder="1" applyAlignment="1"/>
    <xf numFmtId="0" fontId="1" fillId="0" borderId="1" xfId="0" applyFont="1" applyBorder="1" applyAlignment="1">
      <alignment horizontal="center" vertical="center" wrapText="1"/>
    </xf>
    <xf numFmtId="0" fontId="13" fillId="8" borderId="37" xfId="6" applyBorder="1"/>
    <xf numFmtId="0" fontId="13" fillId="8" borderId="36" xfId="6" applyBorder="1"/>
    <xf numFmtId="0" fontId="13" fillId="8" borderId="9" xfId="6" applyBorder="1"/>
    <xf numFmtId="0" fontId="13" fillId="8" borderId="27" xfId="6" applyBorder="1"/>
    <xf numFmtId="0" fontId="0" fillId="0" borderId="11" xfId="0" applyBorder="1"/>
    <xf numFmtId="0" fontId="1" fillId="0" borderId="11" xfId="0" applyFont="1" applyBorder="1" applyAlignment="1">
      <alignment wrapText="1"/>
    </xf>
    <xf numFmtId="0" fontId="0" fillId="0" borderId="1" xfId="0" applyBorder="1" applyAlignment="1">
      <alignment wrapText="1"/>
    </xf>
    <xf numFmtId="0" fontId="0" fillId="10" borderId="7" xfId="0" applyFill="1" applyBorder="1"/>
    <xf numFmtId="0" fontId="0" fillId="4" borderId="0" xfId="0" applyFill="1" applyAlignment="1">
      <alignment horizontal="right"/>
    </xf>
    <xf numFmtId="0" fontId="17" fillId="4" borderId="0" xfId="0" applyFont="1" applyFill="1"/>
    <xf numFmtId="166" fontId="0" fillId="0" borderId="0" xfId="0" applyNumberFormat="1"/>
    <xf numFmtId="0" fontId="0" fillId="14" borderId="0" xfId="0" applyFill="1"/>
    <xf numFmtId="164" fontId="0" fillId="14" borderId="0" xfId="0" applyNumberFormat="1" applyFill="1"/>
    <xf numFmtId="166" fontId="0" fillId="14" borderId="0" xfId="0" applyNumberFormat="1" applyFill="1"/>
    <xf numFmtId="0" fontId="0" fillId="15" borderId="0" xfId="0" applyFill="1"/>
    <xf numFmtId="164" fontId="0" fillId="15" borderId="0" xfId="0" applyNumberFormat="1" applyFill="1"/>
    <xf numFmtId="166" fontId="0" fillId="15" borderId="0" xfId="0" applyNumberFormat="1" applyFill="1"/>
    <xf numFmtId="0" fontId="0" fillId="16" borderId="0" xfId="0" applyFill="1"/>
    <xf numFmtId="166" fontId="0" fillId="16" borderId="0" xfId="0" applyNumberFormat="1" applyFill="1"/>
    <xf numFmtId="164" fontId="0" fillId="16" borderId="0" xfId="0" applyNumberFormat="1" applyFill="1"/>
    <xf numFmtId="0" fontId="1" fillId="0" borderId="0" xfId="0" applyFont="1" applyAlignment="1">
      <alignment horizontal="left" vertical="center" wrapText="1"/>
    </xf>
    <xf numFmtId="0" fontId="0" fillId="0" borderId="0" xfId="0" quotePrefix="1" applyAlignment="1">
      <alignment horizontal="left" vertical="center"/>
    </xf>
    <xf numFmtId="0" fontId="1" fillId="0" borderId="0" xfId="0" applyFont="1" applyAlignment="1">
      <alignment horizontal="left" vertical="center"/>
    </xf>
    <xf numFmtId="0" fontId="0" fillId="0" borderId="0" xfId="0" applyAlignment="1">
      <alignment horizontal="center" vertical="center"/>
    </xf>
    <xf numFmtId="2" fontId="0" fillId="0" borderId="0" xfId="0" applyNumberFormat="1" applyAlignment="1">
      <alignment horizontal="center" vertical="center"/>
    </xf>
    <xf numFmtId="0" fontId="1" fillId="0" borderId="7" xfId="0" applyFont="1" applyBorder="1"/>
    <xf numFmtId="0" fontId="13" fillId="8" borderId="43" xfId="6" applyNumberFormat="1" applyBorder="1" applyAlignment="1">
      <alignment horizontal="center"/>
    </xf>
    <xf numFmtId="2" fontId="13" fillId="8" borderId="36" xfId="6" applyNumberFormat="1" applyBorder="1" applyAlignment="1">
      <alignment horizontal="center"/>
    </xf>
    <xf numFmtId="0" fontId="12" fillId="7" borderId="36" xfId="5" applyBorder="1">
      <protection locked="0"/>
    </xf>
    <xf numFmtId="0" fontId="13" fillId="8" borderId="38" xfId="6" applyBorder="1" applyAlignment="1">
      <alignment horizontal="center"/>
    </xf>
    <xf numFmtId="0" fontId="13" fillId="8" borderId="27" xfId="6" applyBorder="1" applyAlignment="1">
      <alignment horizontal="center"/>
    </xf>
    <xf numFmtId="0" fontId="0" fillId="0" borderId="1" xfId="0" applyBorder="1"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8" fillId="6" borderId="0" xfId="0" applyFont="1" applyFill="1" applyProtection="1">
      <protection hidden="1"/>
    </xf>
    <xf numFmtId="0" fontId="13" fillId="4" borderId="0" xfId="6" applyNumberFormat="1" applyFill="1" applyBorder="1"/>
    <xf numFmtId="0" fontId="0" fillId="4" borderId="0" xfId="0" applyFill="1" applyProtection="1">
      <protection locked="0"/>
    </xf>
    <xf numFmtId="0" fontId="12" fillId="4" borderId="0" xfId="5" applyFill="1" applyBorder="1">
      <protection locked="0"/>
    </xf>
    <xf numFmtId="0" fontId="0" fillId="4" borderId="0" xfId="5" applyFont="1" applyFill="1" applyBorder="1">
      <protection locked="0"/>
    </xf>
    <xf numFmtId="0" fontId="18" fillId="4" borderId="0" xfId="0" applyFont="1" applyFill="1"/>
    <xf numFmtId="0" fontId="13" fillId="8" borderId="38" xfId="6" applyBorder="1" applyAlignment="1">
      <alignment horizontal="left"/>
    </xf>
    <xf numFmtId="0" fontId="19" fillId="4" borderId="0" xfId="0" applyFont="1" applyFill="1" applyAlignment="1">
      <alignment horizontal="left" vertical="center"/>
    </xf>
    <xf numFmtId="0" fontId="0" fillId="3" borderId="0" xfId="0" applyFill="1"/>
    <xf numFmtId="0" fontId="17" fillId="4" borderId="0" xfId="0" applyFont="1" applyFill="1" applyAlignment="1">
      <alignment horizontal="right"/>
    </xf>
    <xf numFmtId="0" fontId="17" fillId="4" borderId="0" xfId="5" applyFont="1" applyFill="1" applyBorder="1" applyAlignment="1">
      <alignment horizontal="right" vertical="top"/>
      <protection locked="0"/>
    </xf>
    <xf numFmtId="0" fontId="2" fillId="4" borderId="0" xfId="0" applyFont="1" applyFill="1"/>
    <xf numFmtId="0" fontId="3" fillId="6" borderId="8" xfId="0" applyFont="1" applyFill="1" applyBorder="1" applyAlignment="1" applyProtection="1">
      <alignment horizontal="center"/>
      <protection hidden="1"/>
    </xf>
    <xf numFmtId="0" fontId="1" fillId="0" borderId="36" xfId="0" applyFont="1" applyBorder="1" applyAlignment="1">
      <alignment wrapText="1"/>
    </xf>
    <xf numFmtId="0" fontId="1" fillId="0" borderId="36" xfId="0" applyFont="1" applyBorder="1" applyAlignment="1">
      <alignment horizontal="center" wrapText="1"/>
    </xf>
    <xf numFmtId="0" fontId="1" fillId="0" borderId="36" xfId="0" applyFont="1" applyBorder="1" applyAlignment="1">
      <alignment horizontal="center"/>
    </xf>
    <xf numFmtId="0" fontId="13" fillId="13" borderId="47" xfId="6" applyFill="1" applyBorder="1" applyAlignment="1">
      <alignment horizontal="center"/>
    </xf>
    <xf numFmtId="0" fontId="13" fillId="8" borderId="47" xfId="6" applyBorder="1" applyAlignment="1">
      <alignment horizontal="center"/>
    </xf>
    <xf numFmtId="0" fontId="13" fillId="8" borderId="45" xfId="6" applyBorder="1" applyAlignment="1">
      <alignment horizontal="center"/>
    </xf>
    <xf numFmtId="0" fontId="1" fillId="0" borderId="46" xfId="0" applyFont="1" applyBorder="1"/>
    <xf numFmtId="0" fontId="1" fillId="0" borderId="36" xfId="0" applyFont="1" applyBorder="1"/>
    <xf numFmtId="0" fontId="0" fillId="17" borderId="0" xfId="0" applyFill="1"/>
    <xf numFmtId="2" fontId="0" fillId="17" borderId="0" xfId="0" applyNumberFormat="1" applyFill="1"/>
    <xf numFmtId="0" fontId="2" fillId="0" borderId="0" xfId="0" applyFont="1" applyAlignment="1">
      <alignment horizontal="right"/>
    </xf>
    <xf numFmtId="0" fontId="22" fillId="4" borderId="0" xfId="0" applyFont="1" applyFill="1" applyAlignment="1">
      <alignment wrapText="1"/>
    </xf>
    <xf numFmtId="0" fontId="1" fillId="4" borderId="0" xfId="0" applyFont="1" applyFill="1" applyAlignment="1">
      <alignment horizontal="left"/>
    </xf>
    <xf numFmtId="0" fontId="7" fillId="19" borderId="1" xfId="0" applyFont="1" applyFill="1" applyBorder="1" applyAlignment="1">
      <alignment horizontal="center"/>
    </xf>
    <xf numFmtId="0" fontId="7" fillId="19" borderId="36" xfId="0" applyFont="1" applyFill="1" applyBorder="1" applyAlignment="1">
      <alignment horizontal="center"/>
    </xf>
    <xf numFmtId="0" fontId="0" fillId="0" borderId="36" xfId="0" applyBorder="1"/>
    <xf numFmtId="0" fontId="1" fillId="0" borderId="1" xfId="0" applyFont="1" applyBorder="1"/>
    <xf numFmtId="0" fontId="1" fillId="0" borderId="2" xfId="0" applyFont="1" applyBorder="1" applyAlignment="1">
      <alignment horizontal="left" wrapText="1"/>
    </xf>
    <xf numFmtId="0" fontId="0" fillId="20" borderId="0" xfId="0" applyFill="1"/>
    <xf numFmtId="0" fontId="23" fillId="20" borderId="0" xfId="2" applyFont="1" applyFill="1"/>
    <xf numFmtId="0" fontId="23" fillId="12" borderId="0" xfId="2" applyFont="1" applyFill="1" applyAlignment="1"/>
    <xf numFmtId="0" fontId="17" fillId="12" borderId="0" xfId="0" applyFont="1" applyFill="1"/>
    <xf numFmtId="0" fontId="23" fillId="21" borderId="0" xfId="2" applyFont="1" applyFill="1"/>
    <xf numFmtId="0" fontId="17" fillId="21" borderId="0" xfId="0" applyFont="1" applyFill="1"/>
    <xf numFmtId="0" fontId="3" fillId="22" borderId="0" xfId="0" applyFont="1" applyFill="1"/>
    <xf numFmtId="0" fontId="1" fillId="4" borderId="49" xfId="0" applyFont="1" applyFill="1" applyBorder="1"/>
    <xf numFmtId="0" fontId="1" fillId="4" borderId="0" xfId="0" applyFont="1" applyFill="1" applyAlignment="1">
      <alignment horizontal="left" wrapText="1"/>
    </xf>
    <xf numFmtId="0" fontId="17" fillId="4" borderId="0" xfId="0" applyFont="1" applyFill="1" applyAlignment="1">
      <alignment horizontal="right" vertical="top" wrapText="1"/>
    </xf>
    <xf numFmtId="167" fontId="0" fillId="0" borderId="0" xfId="0" applyNumberFormat="1"/>
    <xf numFmtId="0" fontId="12" fillId="7" borderId="30" xfId="5" applyAlignment="1">
      <alignment vertical="top"/>
      <protection locked="0"/>
    </xf>
    <xf numFmtId="0" fontId="1" fillId="11" borderId="14" xfId="0" applyFont="1" applyFill="1" applyBorder="1"/>
    <xf numFmtId="0" fontId="1" fillId="2" borderId="13" xfId="0" applyFont="1" applyFill="1" applyBorder="1" applyAlignment="1">
      <alignment horizontal="right"/>
    </xf>
    <xf numFmtId="0" fontId="0" fillId="0" borderId="22" xfId="0" applyBorder="1" applyAlignment="1">
      <alignment horizontal="right"/>
    </xf>
    <xf numFmtId="0" fontId="0" fillId="5" borderId="25" xfId="0" applyFill="1" applyBorder="1" applyAlignment="1">
      <alignment horizontal="right"/>
    </xf>
    <xf numFmtId="0" fontId="1" fillId="5" borderId="13" xfId="0" applyFont="1" applyFill="1" applyBorder="1" applyAlignment="1">
      <alignment horizontal="right"/>
    </xf>
    <xf numFmtId="0" fontId="1" fillId="5" borderId="25" xfId="0" applyFont="1" applyFill="1" applyBorder="1" applyAlignment="1">
      <alignment horizontal="right"/>
    </xf>
    <xf numFmtId="0" fontId="1" fillId="2" borderId="0" xfId="0" applyFont="1" applyFill="1" applyAlignment="1">
      <alignment horizontal="right"/>
    </xf>
    <xf numFmtId="0" fontId="0" fillId="0" borderId="5" xfId="0" applyBorder="1" applyAlignment="1">
      <alignment horizontal="right"/>
    </xf>
    <xf numFmtId="0" fontId="1" fillId="2" borderId="8" xfId="0" applyFont="1" applyFill="1" applyBorder="1" applyAlignment="1">
      <alignment horizontal="right"/>
    </xf>
    <xf numFmtId="0" fontId="1" fillId="0" borderId="0" xfId="0" applyFont="1" applyAlignment="1">
      <alignment horizontal="right"/>
    </xf>
    <xf numFmtId="0" fontId="0" fillId="0" borderId="0" xfId="0" applyAlignment="1">
      <alignment horizontal="right" vertical="center"/>
    </xf>
    <xf numFmtId="0" fontId="0" fillId="0" borderId="12" xfId="0" applyBorder="1"/>
    <xf numFmtId="0" fontId="0" fillId="0" borderId="14" xfId="0" applyBorder="1"/>
    <xf numFmtId="0" fontId="16" fillId="0" borderId="17" xfId="0" applyFont="1" applyBorder="1"/>
    <xf numFmtId="0" fontId="0" fillId="13" borderId="0" xfId="0" applyFill="1"/>
    <xf numFmtId="0" fontId="0" fillId="4" borderId="0" xfId="0" applyFill="1" applyAlignment="1">
      <alignment horizontal="center"/>
    </xf>
    <xf numFmtId="0" fontId="13" fillId="4" borderId="0" xfId="6" applyNumberFormat="1" applyFill="1" applyBorder="1" applyAlignment="1">
      <alignment horizontal="left" vertical="center" wrapText="1"/>
    </xf>
    <xf numFmtId="0" fontId="1" fillId="10" borderId="0" xfId="0" applyFont="1" applyFill="1"/>
    <xf numFmtId="2" fontId="25" fillId="0" borderId="0" xfId="0" applyNumberFormat="1" applyFont="1" applyAlignment="1">
      <alignment horizontal="center"/>
    </xf>
    <xf numFmtId="0" fontId="1" fillId="0" borderId="0" xfId="0" quotePrefix="1" applyFont="1"/>
    <xf numFmtId="0" fontId="0" fillId="0" borderId="0" xfId="0" quotePrefix="1"/>
    <xf numFmtId="0" fontId="1" fillId="0" borderId="0" xfId="0" quotePrefix="1" applyFont="1" applyAlignment="1">
      <alignment horizontal="left"/>
    </xf>
    <xf numFmtId="0" fontId="13" fillId="4" borderId="44" xfId="6" applyNumberFormat="1" applyFill="1" applyBorder="1" applyAlignment="1">
      <alignment horizontal="left" vertical="center" wrapText="1"/>
    </xf>
    <xf numFmtId="0" fontId="13" fillId="8" borderId="36" xfId="6" applyNumberFormat="1" applyBorder="1" applyAlignment="1">
      <alignment horizontal="center" vertical="center" wrapText="1"/>
    </xf>
    <xf numFmtId="0" fontId="1" fillId="4" borderId="0" xfId="0" applyFont="1" applyFill="1" applyAlignment="1">
      <alignment horizontal="center"/>
    </xf>
    <xf numFmtId="165" fontId="13" fillId="4" borderId="31" xfId="6" applyNumberFormat="1" applyFill="1" applyAlignment="1">
      <alignment horizontal="center" vertical="center" wrapText="1"/>
    </xf>
    <xf numFmtId="0" fontId="0" fillId="4" borderId="0" xfId="0" applyFill="1" applyAlignment="1">
      <alignment wrapText="1"/>
    </xf>
    <xf numFmtId="0" fontId="1" fillId="13" borderId="36" xfId="0" applyFont="1" applyFill="1" applyBorder="1" applyAlignment="1">
      <alignment horizontal="center" vertical="center"/>
    </xf>
    <xf numFmtId="0" fontId="1" fillId="23" borderId="36" xfId="0" applyFont="1" applyFill="1" applyBorder="1" applyAlignment="1">
      <alignment horizontal="center" vertical="center"/>
    </xf>
    <xf numFmtId="0" fontId="1" fillId="2" borderId="36" xfId="0" applyFont="1" applyFill="1" applyBorder="1" applyAlignment="1">
      <alignment horizontal="center" vertical="center"/>
    </xf>
    <xf numFmtId="0" fontId="1" fillId="24" borderId="36" xfId="0" applyFont="1" applyFill="1" applyBorder="1" applyAlignment="1">
      <alignment horizontal="center" vertical="center"/>
    </xf>
    <xf numFmtId="0" fontId="1" fillId="5" borderId="36" xfId="0" applyFont="1" applyFill="1" applyBorder="1" applyAlignment="1">
      <alignment horizontal="center" vertical="center"/>
    </xf>
    <xf numFmtId="0" fontId="1" fillId="25" borderId="36" xfId="0" applyFont="1" applyFill="1" applyBorder="1" applyAlignment="1">
      <alignment horizontal="center" vertical="center"/>
    </xf>
    <xf numFmtId="0" fontId="1" fillId="26" borderId="36" xfId="0" applyFont="1" applyFill="1" applyBorder="1" applyAlignment="1">
      <alignment horizontal="center" vertical="center"/>
    </xf>
    <xf numFmtId="0" fontId="1" fillId="27" borderId="36" xfId="0" applyFont="1" applyFill="1" applyBorder="1" applyAlignment="1">
      <alignment horizontal="center" vertical="center"/>
    </xf>
    <xf numFmtId="0" fontId="7" fillId="28" borderId="36" xfId="0" applyFont="1" applyFill="1" applyBorder="1" applyAlignment="1">
      <alignment horizontal="center" vertical="center"/>
    </xf>
    <xf numFmtId="0" fontId="1" fillId="4" borderId="30" xfId="0" applyFont="1" applyFill="1" applyBorder="1"/>
    <xf numFmtId="0" fontId="0" fillId="13" borderId="0" xfId="0" applyFill="1" applyAlignment="1">
      <alignment horizontal="left"/>
    </xf>
    <xf numFmtId="0" fontId="13" fillId="8" borderId="38" xfId="6" quotePrefix="1" applyBorder="1" applyAlignment="1">
      <alignment horizontal="left"/>
    </xf>
    <xf numFmtId="0" fontId="0" fillId="0" borderId="3" xfId="0" applyBorder="1" applyAlignment="1">
      <alignment horizontal="center"/>
    </xf>
    <xf numFmtId="0" fontId="0" fillId="0" borderId="9" xfId="0" applyBorder="1" applyAlignment="1">
      <alignment horizontal="center"/>
    </xf>
    <xf numFmtId="0" fontId="0" fillId="0" borderId="6" xfId="0" applyBorder="1" applyAlignment="1">
      <alignment horizontal="center"/>
    </xf>
    <xf numFmtId="0" fontId="0" fillId="0" borderId="10" xfId="0" applyBorder="1" applyAlignment="1">
      <alignment horizontal="center"/>
    </xf>
    <xf numFmtId="0" fontId="0" fillId="0" borderId="2" xfId="0" applyBorder="1" applyAlignment="1">
      <alignment horizontal="center"/>
    </xf>
    <xf numFmtId="0" fontId="0" fillId="0" borderId="11" xfId="0" applyBorder="1" applyAlignment="1">
      <alignment horizontal="center"/>
    </xf>
    <xf numFmtId="168" fontId="0" fillId="0" borderId="0" xfId="0" applyNumberFormat="1"/>
    <xf numFmtId="0" fontId="1" fillId="4" borderId="36" xfId="0" applyFont="1" applyFill="1" applyBorder="1" applyAlignment="1">
      <alignment vertical="center"/>
    </xf>
    <xf numFmtId="0" fontId="1" fillId="4" borderId="56" xfId="0" applyFont="1" applyFill="1" applyBorder="1" applyAlignment="1">
      <alignment horizontal="center" wrapText="1"/>
    </xf>
    <xf numFmtId="0" fontId="1" fillId="4" borderId="57" xfId="0" applyFont="1" applyFill="1" applyBorder="1" applyAlignment="1">
      <alignment horizontal="center" wrapText="1"/>
    </xf>
    <xf numFmtId="0" fontId="1" fillId="4" borderId="58" xfId="0" applyFont="1" applyFill="1" applyBorder="1" applyAlignment="1">
      <alignment horizontal="center" wrapText="1"/>
    </xf>
    <xf numFmtId="0" fontId="0" fillId="0" borderId="9" xfId="0" quotePrefix="1" applyBorder="1" applyAlignment="1">
      <alignment vertical="center" wrapText="1"/>
    </xf>
    <xf numFmtId="0" fontId="1" fillId="0" borderId="1" xfId="0" applyFont="1" applyBorder="1" applyAlignment="1">
      <alignment vertical="center"/>
    </xf>
    <xf numFmtId="0" fontId="1" fillId="0" borderId="10" xfId="0" applyFont="1" applyBorder="1" applyAlignment="1">
      <alignment horizontal="center" wrapText="1"/>
    </xf>
    <xf numFmtId="0" fontId="1" fillId="0" borderId="4" xfId="0" applyFont="1" applyBorder="1" applyAlignment="1">
      <alignment horizontal="center" wrapText="1"/>
    </xf>
    <xf numFmtId="0" fontId="1" fillId="0" borderId="0" xfId="0" applyFont="1" applyAlignment="1">
      <alignment horizontal="center" wrapText="1"/>
    </xf>
    <xf numFmtId="0" fontId="0" fillId="0" borderId="1" xfId="0" applyBorder="1"/>
    <xf numFmtId="2" fontId="0" fillId="0" borderId="1" xfId="0" applyNumberFormat="1" applyBorder="1" applyAlignment="1">
      <alignment horizontal="center"/>
    </xf>
    <xf numFmtId="0" fontId="0" fillId="0" borderId="1" xfId="0" applyBorder="1" applyAlignment="1">
      <alignment horizontal="center"/>
    </xf>
    <xf numFmtId="0" fontId="0" fillId="0" borderId="27" xfId="0" applyBorder="1" applyAlignment="1">
      <alignment vertical="center" wrapText="1"/>
    </xf>
    <xf numFmtId="0" fontId="0" fillId="0" borderId="27" xfId="0" applyBorder="1" applyAlignment="1">
      <alignment vertical="top"/>
    </xf>
    <xf numFmtId="2" fontId="0" fillId="0" borderId="27" xfId="0" applyNumberFormat="1" applyBorder="1" applyAlignment="1">
      <alignment horizontal="center"/>
    </xf>
    <xf numFmtId="0" fontId="0" fillId="0" borderId="27" xfId="0" applyBorder="1" applyAlignment="1">
      <alignment horizontal="center"/>
    </xf>
    <xf numFmtId="0" fontId="17" fillId="0" borderId="10" xfId="0" applyFont="1" applyBorder="1" applyAlignment="1">
      <alignment vertical="center"/>
    </xf>
    <xf numFmtId="0" fontId="17" fillId="0" borderId="4" xfId="0" applyFont="1" applyBorder="1" applyAlignment="1">
      <alignment vertical="center"/>
    </xf>
    <xf numFmtId="0" fontId="0" fillId="0" borderId="4" xfId="0" applyBorder="1"/>
    <xf numFmtId="2" fontId="0" fillId="0" borderId="4" xfId="0" applyNumberFormat="1" applyBorder="1" applyAlignment="1">
      <alignment horizontal="center"/>
    </xf>
    <xf numFmtId="0" fontId="0" fillId="0" borderId="4" xfId="0" applyBorder="1" applyAlignment="1">
      <alignment horizontal="center"/>
    </xf>
    <xf numFmtId="0" fontId="17" fillId="0" borderId="11" xfId="0" applyFont="1" applyBorder="1" applyAlignment="1">
      <alignment vertical="center"/>
    </xf>
    <xf numFmtId="0" fontId="17" fillId="0" borderId="1" xfId="0" applyFont="1" applyBorder="1" applyAlignment="1">
      <alignment vertical="center"/>
    </xf>
    <xf numFmtId="0" fontId="17" fillId="0" borderId="1" xfId="0" applyFont="1" applyBorder="1"/>
    <xf numFmtId="0" fontId="17" fillId="0" borderId="27" xfId="0" applyFont="1" applyBorder="1" applyAlignment="1">
      <alignment vertical="center" wrapText="1"/>
    </xf>
    <xf numFmtId="0" fontId="17" fillId="0" borderId="27" xfId="0" applyFont="1" applyBorder="1" applyAlignment="1">
      <alignment vertical="top"/>
    </xf>
    <xf numFmtId="0" fontId="0" fillId="0" borderId="10" xfId="0" applyBorder="1" applyAlignment="1">
      <alignment vertical="center"/>
    </xf>
    <xf numFmtId="0" fontId="0" fillId="0" borderId="4" xfId="0" applyBorder="1" applyAlignment="1">
      <alignment vertical="center"/>
    </xf>
    <xf numFmtId="0" fontId="0" fillId="0" borderId="4" xfId="0" applyBorder="1" applyAlignment="1">
      <alignment vertical="top"/>
    </xf>
    <xf numFmtId="0" fontId="0" fillId="0" borderId="11" xfId="0" applyBorder="1" applyAlignment="1">
      <alignment vertical="center"/>
    </xf>
    <xf numFmtId="0" fontId="0" fillId="0" borderId="1" xfId="0" applyBorder="1" applyAlignment="1">
      <alignment vertical="center"/>
    </xf>
    <xf numFmtId="0" fontId="0" fillId="0" borderId="4" xfId="0" quotePrefix="1" applyBorder="1" applyAlignment="1">
      <alignment horizontal="center"/>
    </xf>
    <xf numFmtId="0" fontId="0" fillId="0" borderId="6" xfId="0" quotePrefix="1" applyBorder="1" applyAlignment="1">
      <alignment horizontal="center"/>
    </xf>
    <xf numFmtId="0" fontId="0" fillId="0" borderId="1" xfId="0" quotePrefix="1" applyBorder="1" applyAlignment="1">
      <alignment horizontal="center"/>
    </xf>
    <xf numFmtId="0" fontId="0" fillId="0" borderId="2" xfId="0" quotePrefix="1" applyBorder="1" applyAlignment="1">
      <alignment horizontal="center"/>
    </xf>
    <xf numFmtId="0" fontId="0" fillId="0" borderId="27" xfId="0" quotePrefix="1" applyBorder="1" applyAlignment="1">
      <alignment horizontal="center"/>
    </xf>
    <xf numFmtId="0" fontId="0" fillId="0" borderId="3" xfId="0" quotePrefix="1" applyBorder="1" applyAlignment="1">
      <alignment horizontal="center"/>
    </xf>
    <xf numFmtId="1" fontId="0" fillId="0" borderId="4" xfId="0" applyNumberFormat="1" applyBorder="1" applyAlignment="1">
      <alignment horizontal="center"/>
    </xf>
    <xf numFmtId="0" fontId="17" fillId="0" borderId="4" xfId="0" applyFont="1" applyBorder="1"/>
    <xf numFmtId="1" fontId="0" fillId="0" borderId="1" xfId="0" applyNumberFormat="1" applyBorder="1" applyAlignment="1">
      <alignment horizontal="center"/>
    </xf>
    <xf numFmtId="0" fontId="0" fillId="0" borderId="10" xfId="0" applyBorder="1" applyAlignment="1">
      <alignment vertical="center" wrapText="1"/>
    </xf>
    <xf numFmtId="0" fontId="0" fillId="0" borderId="4" xfId="0" applyBorder="1" applyAlignment="1">
      <alignment vertical="center" wrapText="1"/>
    </xf>
    <xf numFmtId="0" fontId="0" fillId="0" borderId="11" xfId="0" applyBorder="1" applyAlignment="1">
      <alignment vertical="center" wrapText="1"/>
    </xf>
    <xf numFmtId="0" fontId="0" fillId="0" borderId="1" xfId="0" applyBorder="1" applyAlignment="1">
      <alignment vertical="center" wrapText="1"/>
    </xf>
    <xf numFmtId="0" fontId="17" fillId="0" borderId="10" xfId="0" applyFont="1" applyBorder="1" applyAlignment="1">
      <alignment vertical="center" wrapText="1"/>
    </xf>
    <xf numFmtId="0" fontId="17" fillId="0" borderId="4" xfId="0" applyFont="1" applyBorder="1" applyAlignment="1">
      <alignment vertical="center" wrapText="1"/>
    </xf>
    <xf numFmtId="0" fontId="17" fillId="0" borderId="11" xfId="0" applyFont="1" applyBorder="1" applyAlignment="1">
      <alignment vertical="center" wrapText="1"/>
    </xf>
    <xf numFmtId="0" fontId="17" fillId="0" borderId="1" xfId="0" applyFont="1" applyBorder="1" applyAlignment="1">
      <alignment vertical="center" wrapText="1"/>
    </xf>
    <xf numFmtId="0" fontId="0" fillId="0" borderId="10" xfId="0" quotePrefix="1" applyBorder="1" applyAlignment="1">
      <alignment vertical="center" wrapText="1"/>
    </xf>
    <xf numFmtId="0" fontId="0" fillId="0" borderId="1" xfId="0" applyBorder="1" applyAlignment="1">
      <alignment vertical="top"/>
    </xf>
    <xf numFmtId="0" fontId="1" fillId="4" borderId="11" xfId="0" applyFont="1" applyFill="1" applyBorder="1" applyAlignment="1" applyProtection="1">
      <alignment vertical="center"/>
      <protection hidden="1"/>
    </xf>
    <xf numFmtId="0" fontId="1" fillId="4" borderId="2" xfId="0" applyFont="1" applyFill="1" applyBorder="1" applyAlignment="1" applyProtection="1">
      <alignment horizontal="center" vertical="center" wrapText="1"/>
      <protection hidden="1"/>
    </xf>
    <xf numFmtId="0" fontId="0" fillId="0" borderId="9" xfId="0" applyBorder="1" applyProtection="1">
      <protection hidden="1"/>
    </xf>
    <xf numFmtId="0" fontId="0" fillId="0" borderId="3" xfId="0" applyBorder="1" applyAlignment="1" applyProtection="1">
      <alignment horizontal="center"/>
      <protection hidden="1"/>
    </xf>
    <xf numFmtId="0" fontId="0" fillId="0" borderId="10" xfId="0" applyBorder="1" applyProtection="1">
      <protection hidden="1"/>
    </xf>
    <xf numFmtId="0" fontId="0" fillId="0" borderId="6" xfId="0" applyBorder="1" applyAlignment="1" applyProtection="1">
      <alignment horizontal="center"/>
      <protection hidden="1"/>
    </xf>
    <xf numFmtId="169" fontId="13" fillId="8" borderId="31" xfId="6" applyNumberFormat="1"/>
    <xf numFmtId="0" fontId="12" fillId="7" borderId="30" xfId="5" applyAlignment="1">
      <alignment horizontal="left"/>
      <protection locked="0"/>
    </xf>
    <xf numFmtId="0" fontId="0" fillId="4" borderId="0" xfId="0" applyFill="1" applyAlignment="1">
      <alignment horizontal="right" vertical="top" wrapText="1"/>
    </xf>
    <xf numFmtId="0" fontId="13" fillId="8" borderId="31" xfId="6" applyNumberFormat="1" applyAlignment="1">
      <alignment horizontal="center" vertical="center" wrapText="1"/>
    </xf>
    <xf numFmtId="0" fontId="8" fillId="6" borderId="6" xfId="0" applyFont="1" applyFill="1" applyBorder="1" applyProtection="1">
      <protection hidden="1"/>
    </xf>
    <xf numFmtId="0" fontId="3" fillId="6" borderId="3" xfId="0" applyFont="1" applyFill="1" applyBorder="1" applyProtection="1">
      <protection hidden="1"/>
    </xf>
    <xf numFmtId="165" fontId="1" fillId="4" borderId="36" xfId="0" applyNumberFormat="1" applyFont="1" applyFill="1" applyBorder="1" applyAlignment="1">
      <alignment horizontal="center"/>
    </xf>
    <xf numFmtId="0" fontId="6" fillId="29" borderId="1" xfId="9" applyBorder="1" applyAlignment="1">
      <alignment horizontal="center"/>
    </xf>
    <xf numFmtId="0" fontId="13" fillId="8" borderId="59" xfId="6" applyNumberFormat="1" applyBorder="1" applyAlignment="1">
      <alignment horizontal="center" vertical="center" wrapText="1"/>
    </xf>
    <xf numFmtId="0" fontId="7" fillId="19" borderId="36" xfId="0" applyFont="1" applyFill="1" applyBorder="1" applyAlignment="1">
      <alignment horizontal="center" vertical="center"/>
    </xf>
    <xf numFmtId="0" fontId="12" fillId="7" borderId="36" xfId="5" quotePrefix="1" applyBorder="1">
      <protection locked="0"/>
    </xf>
    <xf numFmtId="0" fontId="0" fillId="4" borderId="0" xfId="0" applyFill="1" applyAlignment="1">
      <alignment vertical="top" wrapText="1"/>
    </xf>
    <xf numFmtId="0" fontId="1" fillId="0" borderId="11" xfId="0" applyFont="1" applyBorder="1"/>
    <xf numFmtId="0" fontId="19" fillId="4" borderId="0" xfId="0" applyFont="1" applyFill="1"/>
    <xf numFmtId="0" fontId="10" fillId="4" borderId="28" xfId="3" applyFill="1" applyAlignment="1">
      <alignment horizontal="left"/>
    </xf>
    <xf numFmtId="0" fontId="0" fillId="10" borderId="46" xfId="0" applyFill="1" applyBorder="1"/>
    <xf numFmtId="165" fontId="13" fillId="8" borderId="31" xfId="6" applyNumberFormat="1" applyAlignment="1">
      <alignment horizontal="center"/>
    </xf>
    <xf numFmtId="0" fontId="13" fillId="8" borderId="31" xfId="0" applyFont="1" applyFill="1" applyBorder="1" applyAlignment="1">
      <alignment horizontal="center"/>
    </xf>
    <xf numFmtId="0" fontId="13" fillId="8" borderId="43" xfId="0" applyFont="1" applyFill="1" applyBorder="1" applyAlignment="1">
      <alignment horizontal="center"/>
    </xf>
    <xf numFmtId="0" fontId="0" fillId="4" borderId="30" xfId="0" applyFill="1" applyBorder="1"/>
    <xf numFmtId="9" fontId="0" fillId="0" borderId="22" xfId="1" applyFont="1" applyBorder="1"/>
    <xf numFmtId="0" fontId="12" fillId="7" borderId="60" xfId="5" applyBorder="1">
      <protection locked="0"/>
    </xf>
    <xf numFmtId="0" fontId="0" fillId="0" borderId="13" xfId="0" applyBorder="1" applyAlignment="1">
      <alignment horizontal="right"/>
    </xf>
    <xf numFmtId="164" fontId="0" fillId="0" borderId="22" xfId="0" applyNumberFormat="1" applyBorder="1"/>
    <xf numFmtId="0" fontId="1" fillId="0" borderId="27" xfId="0" applyFont="1" applyBorder="1" applyAlignment="1">
      <alignment horizontal="center"/>
    </xf>
    <xf numFmtId="0" fontId="0" fillId="0" borderId="36" xfId="0" applyBorder="1" applyAlignment="1">
      <alignment horizontal="center"/>
    </xf>
    <xf numFmtId="0" fontId="0" fillId="0" borderId="63" xfId="0" applyBorder="1" applyAlignment="1">
      <alignment horizontal="center"/>
    </xf>
    <xf numFmtId="165" fontId="0" fillId="0" borderId="36" xfId="0" applyNumberFormat="1" applyBorder="1" applyAlignment="1">
      <alignment horizontal="center"/>
    </xf>
    <xf numFmtId="0" fontId="0" fillId="0" borderId="22" xfId="0" applyBorder="1" applyAlignment="1">
      <alignment horizontal="center"/>
    </xf>
    <xf numFmtId="0" fontId="0" fillId="0" borderId="21" xfId="0" applyBorder="1" applyAlignment="1">
      <alignment horizontal="right"/>
    </xf>
    <xf numFmtId="2" fontId="13" fillId="8" borderId="31" xfId="6" applyNumberFormat="1" applyAlignment="1">
      <alignment horizontal="center"/>
    </xf>
    <xf numFmtId="0" fontId="1" fillId="0" borderId="64" xfId="0" applyFont="1" applyBorder="1" applyAlignment="1">
      <alignment horizontal="center"/>
    </xf>
    <xf numFmtId="0" fontId="0" fillId="0" borderId="65" xfId="0" applyBorder="1" applyAlignment="1">
      <alignment horizontal="center"/>
    </xf>
    <xf numFmtId="0" fontId="0" fillId="0" borderId="66" xfId="0" applyBorder="1" applyAlignment="1">
      <alignment horizontal="center"/>
    </xf>
    <xf numFmtId="0" fontId="1" fillId="2" borderId="14" xfId="0" applyFont="1" applyFill="1" applyBorder="1"/>
    <xf numFmtId="0" fontId="0" fillId="0" borderId="17" xfId="0" applyBorder="1" applyAlignment="1">
      <alignment horizontal="left"/>
    </xf>
    <xf numFmtId="0" fontId="0" fillId="0" borderId="7" xfId="0" applyBorder="1"/>
    <xf numFmtId="0" fontId="0" fillId="10" borderId="13" xfId="0" applyFill="1" applyBorder="1"/>
    <xf numFmtId="0" fontId="1" fillId="12" borderId="0" xfId="0" applyFont="1" applyFill="1" applyAlignment="1">
      <alignment horizontal="center"/>
    </xf>
    <xf numFmtId="164" fontId="0" fillId="0" borderId="36" xfId="0" applyNumberFormat="1" applyBorder="1" applyAlignment="1">
      <alignment horizontal="center"/>
    </xf>
    <xf numFmtId="0" fontId="1" fillId="0" borderId="22" xfId="0" applyFont="1" applyBorder="1" applyAlignment="1">
      <alignment horizontal="center"/>
    </xf>
    <xf numFmtId="0" fontId="0" fillId="0" borderId="4" xfId="0" applyBorder="1" applyAlignment="1" applyProtection="1">
      <alignment horizontal="center"/>
      <protection locked="0"/>
    </xf>
    <xf numFmtId="165" fontId="0" fillId="0" borderId="1" xfId="0" applyNumberFormat="1" applyBorder="1" applyAlignment="1" applyProtection="1">
      <alignment horizontal="center"/>
      <protection locked="0"/>
    </xf>
    <xf numFmtId="0" fontId="0" fillId="0" borderId="27" xfId="0" applyBorder="1" applyAlignment="1" applyProtection="1">
      <alignment vertical="center" wrapText="1"/>
      <protection locked="0"/>
    </xf>
    <xf numFmtId="0" fontId="0" fillId="0" borderId="0" xfId="0" applyAlignment="1" applyProtection="1">
      <alignment horizontal="center" vertical="center"/>
      <protection locked="0"/>
    </xf>
    <xf numFmtId="165" fontId="3" fillId="6" borderId="3" xfId="0" applyNumberFormat="1" applyFont="1" applyFill="1" applyBorder="1" applyAlignment="1" applyProtection="1">
      <alignment horizontal="center" vertical="center"/>
      <protection hidden="1"/>
    </xf>
    <xf numFmtId="0" fontId="13" fillId="8" borderId="31" xfId="6" applyAlignment="1">
      <alignment horizontal="left" vertical="center"/>
    </xf>
    <xf numFmtId="0" fontId="13" fillId="8" borderId="31" xfId="6" applyAlignment="1">
      <alignment horizontal="center" vertical="center"/>
    </xf>
    <xf numFmtId="0" fontId="13" fillId="8" borderId="31" xfId="6" applyAlignment="1">
      <alignment horizontal="center" vertical="center" wrapText="1"/>
    </xf>
    <xf numFmtId="0" fontId="22" fillId="2" borderId="38" xfId="0" applyFont="1" applyFill="1" applyBorder="1"/>
    <xf numFmtId="0" fontId="22" fillId="2" borderId="62" xfId="0" applyFont="1" applyFill="1" applyBorder="1"/>
    <xf numFmtId="0" fontId="22" fillId="2" borderId="37" xfId="0" applyFont="1" applyFill="1" applyBorder="1"/>
    <xf numFmtId="0" fontId="1" fillId="2" borderId="38" xfId="0" applyFont="1" applyFill="1" applyBorder="1"/>
    <xf numFmtId="0" fontId="1" fillId="2" borderId="62" xfId="0" applyFont="1" applyFill="1" applyBorder="1"/>
    <xf numFmtId="0" fontId="0" fillId="2" borderId="62" xfId="0" applyFill="1" applyBorder="1"/>
    <xf numFmtId="0" fontId="0" fillId="2" borderId="37" xfId="0" applyFill="1" applyBorder="1"/>
    <xf numFmtId="0" fontId="22" fillId="12" borderId="0" xfId="0" applyFont="1" applyFill="1" applyAlignment="1">
      <alignment vertical="center"/>
    </xf>
    <xf numFmtId="0" fontId="22" fillId="21" borderId="0" xfId="0" applyFont="1" applyFill="1" applyAlignment="1">
      <alignment vertical="center"/>
    </xf>
    <xf numFmtId="0" fontId="7" fillId="22" borderId="0" xfId="0" applyFont="1" applyFill="1" applyAlignment="1">
      <alignment vertical="center"/>
    </xf>
    <xf numFmtId="11" fontId="12" fillId="7" borderId="36" xfId="5" applyNumberFormat="1" applyBorder="1">
      <protection locked="0"/>
    </xf>
    <xf numFmtId="0" fontId="0" fillId="10" borderId="0" xfId="0" applyFill="1" applyAlignment="1">
      <alignment horizontal="left"/>
    </xf>
    <xf numFmtId="0" fontId="7" fillId="19" borderId="0" xfId="0" applyFont="1" applyFill="1" applyAlignment="1">
      <alignment horizontal="center"/>
    </xf>
    <xf numFmtId="0" fontId="7" fillId="19" borderId="0" xfId="0" applyFont="1" applyFill="1" applyAlignment="1">
      <alignment horizontal="left" vertical="center"/>
    </xf>
    <xf numFmtId="0" fontId="1" fillId="30" borderId="6" xfId="0" applyFont="1" applyFill="1" applyBorder="1"/>
    <xf numFmtId="0" fontId="0" fillId="15" borderId="38" xfId="0" applyFill="1" applyBorder="1" applyAlignment="1">
      <alignment horizontal="center" vertical="center"/>
    </xf>
    <xf numFmtId="0" fontId="32" fillId="4" borderId="38" xfId="0" applyFont="1" applyFill="1" applyBorder="1" applyAlignment="1">
      <alignment horizontal="left" vertical="center" wrapText="1"/>
    </xf>
    <xf numFmtId="0" fontId="32" fillId="4" borderId="38" xfId="0" applyFont="1" applyFill="1" applyBorder="1" applyAlignment="1">
      <alignment vertical="center" wrapText="1"/>
    </xf>
    <xf numFmtId="0" fontId="34" fillId="4" borderId="38" xfId="0" applyFont="1" applyFill="1" applyBorder="1" applyAlignment="1">
      <alignment vertical="center"/>
    </xf>
    <xf numFmtId="0" fontId="34" fillId="4" borderId="38" xfId="0" applyFont="1" applyFill="1" applyBorder="1" applyAlignment="1">
      <alignment vertical="center" wrapText="1"/>
    </xf>
    <xf numFmtId="0" fontId="1" fillId="30" borderId="38" xfId="0" applyFont="1" applyFill="1" applyBorder="1" applyAlignment="1">
      <alignment vertical="center"/>
    </xf>
    <xf numFmtId="0" fontId="1" fillId="31" borderId="38" xfId="0" applyFont="1" applyFill="1" applyBorder="1" applyAlignment="1">
      <alignment vertical="top"/>
    </xf>
    <xf numFmtId="0" fontId="0" fillId="4" borderId="38" xfId="0" applyFill="1" applyBorder="1" applyAlignment="1">
      <alignment vertical="center"/>
    </xf>
    <xf numFmtId="0" fontId="0" fillId="4" borderId="38" xfId="0" applyFill="1" applyBorder="1" applyAlignment="1">
      <alignment vertical="top" wrapText="1"/>
    </xf>
    <xf numFmtId="0" fontId="0" fillId="4" borderId="6" xfId="0" applyFill="1" applyBorder="1" applyAlignment="1">
      <alignment vertical="center"/>
    </xf>
    <xf numFmtId="0" fontId="0" fillId="31" borderId="36" xfId="0" applyFill="1" applyBorder="1" applyAlignment="1">
      <alignment horizontal="center" vertical="top" wrapText="1"/>
    </xf>
    <xf numFmtId="0" fontId="32" fillId="4" borderId="36" xfId="0" applyFont="1" applyFill="1" applyBorder="1" applyAlignment="1">
      <alignment horizontal="left" vertical="center"/>
    </xf>
    <xf numFmtId="0" fontId="32" fillId="4" borderId="36" xfId="0" applyFont="1" applyFill="1" applyBorder="1" applyAlignment="1">
      <alignment horizontal="left" vertical="top" wrapText="1"/>
    </xf>
    <xf numFmtId="0" fontId="13" fillId="4" borderId="6" xfId="6" applyNumberFormat="1" applyFill="1" applyBorder="1" applyAlignment="1">
      <alignment vertical="center" wrapText="1"/>
    </xf>
    <xf numFmtId="0" fontId="0" fillId="0" borderId="13" xfId="0" applyBorder="1" applyAlignment="1">
      <alignment horizontal="center"/>
    </xf>
    <xf numFmtId="0" fontId="0" fillId="2" borderId="0" xfId="0" applyFill="1"/>
    <xf numFmtId="0" fontId="0" fillId="5" borderId="0" xfId="0" applyFill="1" applyAlignment="1">
      <alignment horizontal="left"/>
    </xf>
    <xf numFmtId="0" fontId="0" fillId="0" borderId="17" xfId="0" quotePrefix="1" applyBorder="1"/>
    <xf numFmtId="0" fontId="12" fillId="9" borderId="32" xfId="7" applyFont="1" applyProtection="1"/>
    <xf numFmtId="0" fontId="0" fillId="0" borderId="64" xfId="0" applyBorder="1" applyAlignment="1">
      <alignment horizontal="center"/>
    </xf>
    <xf numFmtId="0" fontId="1" fillId="31" borderId="38" xfId="0" applyFont="1" applyFill="1" applyBorder="1" applyAlignment="1">
      <alignment horizontal="center" vertical="center"/>
    </xf>
    <xf numFmtId="0" fontId="1" fillId="15" borderId="38" xfId="0" applyFont="1" applyFill="1" applyBorder="1" applyAlignment="1">
      <alignment horizontal="center" vertical="center"/>
    </xf>
    <xf numFmtId="0" fontId="1" fillId="30" borderId="38" xfId="0" applyFont="1" applyFill="1" applyBorder="1" applyAlignment="1">
      <alignment horizontal="center" vertical="center"/>
    </xf>
    <xf numFmtId="0" fontId="1" fillId="15" borderId="38" xfId="0" applyFont="1" applyFill="1" applyBorder="1"/>
    <xf numFmtId="0" fontId="0" fillId="4" borderId="38" xfId="0" applyFill="1" applyBorder="1" applyAlignment="1">
      <alignment vertical="center" wrapText="1"/>
    </xf>
    <xf numFmtId="0" fontId="15" fillId="4" borderId="38" xfId="0" applyFont="1" applyFill="1" applyBorder="1" applyAlignment="1">
      <alignment vertical="center"/>
    </xf>
    <xf numFmtId="0" fontId="13" fillId="4" borderId="38" xfId="6" applyNumberFormat="1" applyFill="1" applyBorder="1" applyAlignment="1">
      <alignment vertical="center" wrapText="1"/>
    </xf>
    <xf numFmtId="0" fontId="1" fillId="30" borderId="38" xfId="0" applyFont="1" applyFill="1" applyBorder="1"/>
    <xf numFmtId="165" fontId="13" fillId="8" borderId="31" xfId="6" applyNumberFormat="1"/>
    <xf numFmtId="2" fontId="13" fillId="16" borderId="31" xfId="6" applyNumberFormat="1" applyFill="1"/>
    <xf numFmtId="0" fontId="19" fillId="16" borderId="0" xfId="0" applyFont="1" applyFill="1" applyAlignment="1">
      <alignment horizontal="left" vertical="center"/>
    </xf>
    <xf numFmtId="0" fontId="7" fillId="19" borderId="38" xfId="0" applyFont="1" applyFill="1" applyBorder="1" applyAlignment="1">
      <alignment vertical="center" wrapText="1"/>
    </xf>
    <xf numFmtId="0" fontId="7" fillId="19" borderId="38" xfId="0" applyFont="1" applyFill="1" applyBorder="1" applyAlignment="1">
      <alignment horizontal="left" vertical="center" wrapText="1"/>
    </xf>
    <xf numFmtId="165" fontId="0" fillId="0" borderId="0" xfId="0" applyNumberFormat="1" applyAlignment="1">
      <alignment horizontal="center"/>
    </xf>
    <xf numFmtId="0" fontId="0" fillId="3" borderId="0" xfId="0" applyFill="1" applyAlignment="1">
      <alignment horizontal="center"/>
    </xf>
    <xf numFmtId="0" fontId="16" fillId="0" borderId="0" xfId="0" applyFont="1" applyAlignment="1">
      <alignment horizontal="center"/>
    </xf>
    <xf numFmtId="0" fontId="13" fillId="8" borderId="31" xfId="6" applyNumberFormat="1" applyAlignment="1">
      <alignment horizontal="left" vertical="center" wrapText="1"/>
    </xf>
    <xf numFmtId="9" fontId="0" fillId="0" borderId="0" xfId="1" applyFont="1"/>
    <xf numFmtId="165" fontId="13" fillId="8" borderId="31" xfId="6" applyNumberFormat="1" applyAlignment="1">
      <alignment horizontal="left" wrapText="1"/>
    </xf>
    <xf numFmtId="0" fontId="13" fillId="8" borderId="31" xfId="6" applyNumberFormat="1" applyAlignment="1">
      <alignment horizontal="center" wrapText="1"/>
    </xf>
    <xf numFmtId="165" fontId="13" fillId="8" borderId="31" xfId="6" applyNumberFormat="1" applyAlignment="1">
      <alignment horizontal="center" wrapText="1"/>
    </xf>
    <xf numFmtId="0" fontId="13" fillId="8" borderId="31" xfId="6" applyAlignment="1">
      <alignment horizontal="right"/>
    </xf>
    <xf numFmtId="0" fontId="13" fillId="8" borderId="31" xfId="6" applyNumberFormat="1" applyAlignment="1">
      <alignment horizontal="right"/>
    </xf>
    <xf numFmtId="0" fontId="13" fillId="8" borderId="31" xfId="6" applyNumberFormat="1"/>
    <xf numFmtId="0" fontId="13" fillId="8" borderId="31" xfId="6" applyAlignment="1">
      <alignment wrapText="1"/>
    </xf>
    <xf numFmtId="0" fontId="35" fillId="22" borderId="0" xfId="0" applyFont="1" applyFill="1"/>
    <xf numFmtId="0" fontId="24" fillId="22" borderId="0" xfId="2" applyFont="1" applyFill="1" applyAlignment="1"/>
    <xf numFmtId="0" fontId="7" fillId="4" borderId="0" xfId="0" applyFont="1" applyFill="1"/>
    <xf numFmtId="165" fontId="3" fillId="4" borderId="0" xfId="0" applyNumberFormat="1" applyFont="1" applyFill="1" applyAlignment="1">
      <alignment horizontal="center" wrapText="1"/>
    </xf>
    <xf numFmtId="0" fontId="7" fillId="4" borderId="0" xfId="0" applyFont="1" applyFill="1" applyAlignment="1">
      <alignment horizontal="center" wrapText="1"/>
    </xf>
    <xf numFmtId="0" fontId="13" fillId="32" borderId="39" xfId="0" applyFont="1" applyFill="1" applyBorder="1"/>
    <xf numFmtId="165" fontId="13" fillId="32" borderId="31" xfId="0" applyNumberFormat="1" applyFont="1" applyFill="1" applyBorder="1" applyAlignment="1">
      <alignment horizontal="center"/>
    </xf>
    <xf numFmtId="165" fontId="13" fillId="32" borderId="31" xfId="0" applyNumberFormat="1" applyFont="1" applyFill="1" applyBorder="1" applyAlignment="1">
      <alignment horizontal="right"/>
    </xf>
    <xf numFmtId="165" fontId="13" fillId="32" borderId="71" xfId="0" applyNumberFormat="1" applyFont="1" applyFill="1" applyBorder="1" applyAlignment="1">
      <alignment horizontal="center"/>
    </xf>
    <xf numFmtId="0" fontId="1" fillId="13" borderId="0" xfId="0" applyFont="1" applyFill="1"/>
    <xf numFmtId="0" fontId="0" fillId="4" borderId="38" xfId="0" applyFill="1" applyBorder="1" applyAlignment="1" applyProtection="1">
      <alignment horizontal="center" vertical="center"/>
      <protection hidden="1"/>
    </xf>
    <xf numFmtId="0" fontId="33" fillId="4" borderId="38" xfId="0" applyFont="1" applyFill="1" applyBorder="1" applyAlignment="1" applyProtection="1">
      <alignment horizontal="center" vertical="top" wrapText="1"/>
      <protection hidden="1"/>
    </xf>
    <xf numFmtId="0" fontId="0" fillId="4" borderId="38" xfId="0" applyFill="1" applyBorder="1" applyAlignment="1" applyProtection="1">
      <alignment horizontal="center" vertical="center" wrapText="1"/>
      <protection hidden="1"/>
    </xf>
    <xf numFmtId="0" fontId="15" fillId="4" borderId="38" xfId="0" applyFont="1" applyFill="1" applyBorder="1" applyAlignment="1" applyProtection="1">
      <alignment horizontal="center" vertical="center"/>
      <protection hidden="1"/>
    </xf>
    <xf numFmtId="0" fontId="13" fillId="4" borderId="38" xfId="6" applyNumberFormat="1" applyFill="1" applyBorder="1" applyAlignment="1" applyProtection="1">
      <alignment horizontal="center" vertical="center" wrapText="1"/>
      <protection hidden="1"/>
    </xf>
    <xf numFmtId="0" fontId="13" fillId="8" borderId="72" xfId="6" applyNumberFormat="1" applyBorder="1" applyAlignment="1">
      <alignment wrapText="1"/>
    </xf>
    <xf numFmtId="165" fontId="13" fillId="8" borderId="72" xfId="6" applyNumberFormat="1" applyBorder="1" applyAlignment="1">
      <alignment horizontal="center"/>
    </xf>
    <xf numFmtId="0" fontId="13" fillId="8" borderId="72" xfId="6" applyNumberFormat="1" applyBorder="1" applyAlignment="1">
      <alignment horizontal="center"/>
    </xf>
    <xf numFmtId="0" fontId="13" fillId="8" borderId="31" xfId="6" applyNumberFormat="1" applyAlignment="1">
      <alignment horizontal="center"/>
    </xf>
    <xf numFmtId="165" fontId="7" fillId="6" borderId="6" xfId="0" applyNumberFormat="1" applyFont="1" applyFill="1" applyBorder="1" applyAlignment="1">
      <alignment horizontal="center" vertical="center"/>
    </xf>
    <xf numFmtId="0" fontId="7" fillId="6" borderId="0" xfId="0" applyFont="1" applyFill="1" applyAlignment="1">
      <alignment horizontal="right" vertical="center"/>
    </xf>
    <xf numFmtId="0" fontId="1" fillId="0" borderId="0" xfId="0" applyFont="1" applyAlignment="1">
      <alignment horizontal="center"/>
    </xf>
    <xf numFmtId="167" fontId="13" fillId="8" borderId="72" xfId="6" applyNumberFormat="1" applyBorder="1"/>
    <xf numFmtId="0" fontId="1" fillId="4" borderId="36" xfId="0" applyFont="1" applyFill="1" applyBorder="1" applyAlignment="1">
      <alignment horizontal="right"/>
    </xf>
    <xf numFmtId="167" fontId="13" fillId="8" borderId="36" xfId="6" applyNumberFormat="1" applyBorder="1"/>
    <xf numFmtId="0" fontId="4" fillId="5" borderId="36" xfId="0" applyFont="1" applyFill="1" applyBorder="1" applyAlignment="1">
      <alignment horizontal="right"/>
    </xf>
    <xf numFmtId="0" fontId="13" fillId="8" borderId="72" xfId="6" applyNumberFormat="1" applyBorder="1"/>
    <xf numFmtId="9" fontId="13" fillId="8" borderId="31" xfId="1" applyFont="1" applyFill="1" applyBorder="1" applyAlignment="1">
      <alignment horizontal="center"/>
    </xf>
    <xf numFmtId="9" fontId="12" fillId="7" borderId="30" xfId="1" applyFont="1" applyFill="1" applyBorder="1" applyAlignment="1" applyProtection="1">
      <alignment horizontal="center"/>
      <protection locked="0"/>
    </xf>
    <xf numFmtId="9" fontId="0" fillId="0" borderId="0" xfId="0" applyNumberFormat="1"/>
    <xf numFmtId="0" fontId="13" fillId="4" borderId="36" xfId="6" applyNumberFormat="1" applyFill="1" applyBorder="1"/>
    <xf numFmtId="0" fontId="13" fillId="4" borderId="37" xfId="6" applyFill="1" applyBorder="1"/>
    <xf numFmtId="0" fontId="13" fillId="8" borderId="37" xfId="6" applyNumberFormat="1" applyBorder="1"/>
    <xf numFmtId="11" fontId="12" fillId="7" borderId="30" xfId="5" applyNumberFormat="1">
      <protection locked="0"/>
    </xf>
    <xf numFmtId="0" fontId="13" fillId="8" borderId="36" xfId="6" applyNumberFormat="1" applyBorder="1" applyAlignment="1">
      <alignment horizontal="center"/>
    </xf>
    <xf numFmtId="0" fontId="13" fillId="8" borderId="27" xfId="6" applyNumberFormat="1" applyBorder="1" applyAlignment="1">
      <alignment horizontal="center"/>
    </xf>
    <xf numFmtId="0" fontId="17" fillId="4" borderId="0" xfId="0" applyFont="1" applyFill="1" applyAlignment="1">
      <alignment horizontal="right" wrapText="1"/>
    </xf>
    <xf numFmtId="0" fontId="12" fillId="7" borderId="30" xfId="5" applyAlignment="1">
      <alignment horizontal="left" vertical="top"/>
      <protection locked="0"/>
    </xf>
    <xf numFmtId="0" fontId="0" fillId="0" borderId="4" xfId="0" applyBorder="1" applyAlignment="1" applyProtection="1">
      <alignment vertical="center" wrapText="1"/>
      <protection locked="0"/>
    </xf>
    <xf numFmtId="0" fontId="7" fillId="6" borderId="9" xfId="0" applyFont="1" applyFill="1" applyBorder="1" applyAlignment="1" applyProtection="1">
      <alignment horizontal="center" vertical="center"/>
      <protection hidden="1"/>
    </xf>
    <xf numFmtId="0" fontId="7" fillId="6" borderId="10" xfId="0" applyFont="1" applyFill="1" applyBorder="1" applyAlignment="1" applyProtection="1">
      <alignment horizontal="center" vertical="center"/>
      <protection hidden="1"/>
    </xf>
    <xf numFmtId="165" fontId="3" fillId="6" borderId="6" xfId="0" applyNumberFormat="1" applyFont="1" applyFill="1" applyBorder="1" applyAlignment="1" applyProtection="1">
      <alignment horizontal="center" vertical="center"/>
      <protection hidden="1"/>
    </xf>
    <xf numFmtId="0" fontId="17" fillId="4" borderId="0" xfId="0" applyFont="1" applyFill="1" applyAlignment="1">
      <alignment wrapText="1"/>
    </xf>
    <xf numFmtId="0" fontId="12" fillId="7" borderId="74" xfId="5" applyBorder="1" applyAlignment="1">
      <alignment wrapText="1"/>
      <protection locked="0"/>
    </xf>
    <xf numFmtId="0" fontId="22" fillId="4" borderId="73" xfId="0" applyFont="1" applyFill="1" applyBorder="1" applyAlignment="1">
      <alignment wrapText="1"/>
    </xf>
    <xf numFmtId="0" fontId="13" fillId="33" borderId="36" xfId="6" applyFill="1" applyBorder="1" applyAlignment="1">
      <alignment horizontal="center"/>
    </xf>
    <xf numFmtId="0" fontId="3" fillId="6" borderId="6" xfId="0" applyFont="1" applyFill="1" applyBorder="1" applyAlignment="1" applyProtection="1">
      <alignment horizontal="center"/>
      <protection hidden="1"/>
    </xf>
    <xf numFmtId="0" fontId="0" fillId="0" borderId="6" xfId="0" applyBorder="1" applyAlignment="1" applyProtection="1">
      <alignment horizontal="center"/>
      <protection locked="0"/>
    </xf>
    <xf numFmtId="165" fontId="0" fillId="0" borderId="6" xfId="0" applyNumberFormat="1" applyBorder="1" applyAlignment="1" applyProtection="1">
      <alignment horizontal="center"/>
      <protection locked="0"/>
    </xf>
    <xf numFmtId="0" fontId="0" fillId="0" borderId="3" xfId="0" applyBorder="1" applyAlignment="1" applyProtection="1">
      <alignment vertical="center" wrapText="1"/>
      <protection locked="0"/>
    </xf>
    <xf numFmtId="0" fontId="0" fillId="0" borderId="6" xfId="0" applyBorder="1" applyAlignment="1" applyProtection="1">
      <alignment vertical="center" wrapText="1"/>
      <protection locked="0"/>
    </xf>
    <xf numFmtId="0" fontId="7" fillId="4" borderId="4" xfId="0" applyFont="1" applyFill="1" applyBorder="1" applyAlignment="1">
      <alignment horizontal="center" wrapText="1"/>
    </xf>
    <xf numFmtId="0" fontId="12" fillId="7" borderId="30" xfId="5" applyAlignment="1">
      <alignment horizontal="left" vertical="top" wrapText="1"/>
      <protection locked="0"/>
    </xf>
    <xf numFmtId="0" fontId="24" fillId="22" borderId="0" xfId="2" applyFont="1" applyFill="1" applyAlignment="1">
      <alignment horizontal="left"/>
    </xf>
    <xf numFmtId="0" fontId="17" fillId="4" borderId="0" xfId="0" applyFont="1" applyFill="1" applyAlignment="1">
      <alignment horizontal="right" vertical="top" wrapText="1"/>
    </xf>
    <xf numFmtId="0" fontId="10" fillId="4" borderId="28" xfId="3" applyFill="1" applyAlignment="1">
      <alignment horizontal="left"/>
    </xf>
    <xf numFmtId="0" fontId="12" fillId="7" borderId="30" xfId="5" applyAlignment="1">
      <alignment horizontal="center" vertical="top" wrapText="1"/>
      <protection locked="0"/>
    </xf>
    <xf numFmtId="0" fontId="0" fillId="4" borderId="40" xfId="0" applyFill="1" applyBorder="1" applyAlignment="1">
      <alignment horizontal="right" wrapText="1"/>
    </xf>
    <xf numFmtId="0" fontId="17" fillId="4" borderId="0" xfId="0" applyFont="1" applyFill="1" applyAlignment="1">
      <alignment horizontal="right" wrapText="1"/>
    </xf>
    <xf numFmtId="0" fontId="12" fillId="7" borderId="30" xfId="5" applyAlignment="1">
      <alignment horizontal="left" vertical="top"/>
      <protection locked="0"/>
    </xf>
    <xf numFmtId="0" fontId="18" fillId="18" borderId="49" xfId="0" applyFont="1" applyFill="1" applyBorder="1" applyAlignment="1">
      <alignment horizontal="center"/>
    </xf>
    <xf numFmtId="0" fontId="1" fillId="18" borderId="49" xfId="0" applyFont="1" applyFill="1" applyBorder="1" applyAlignment="1">
      <alignment horizontal="left"/>
    </xf>
    <xf numFmtId="0" fontId="1" fillId="18" borderId="0" xfId="0" applyFont="1" applyFill="1" applyAlignment="1">
      <alignment horizontal="left" wrapText="1"/>
    </xf>
    <xf numFmtId="0" fontId="1" fillId="18" borderId="49" xfId="0" applyFont="1" applyFill="1" applyBorder="1" applyAlignment="1">
      <alignment horizontal="left" wrapText="1"/>
    </xf>
    <xf numFmtId="0" fontId="19" fillId="16" borderId="0" xfId="0" applyFont="1" applyFill="1" applyAlignment="1">
      <alignment horizontal="right" vertical="center"/>
    </xf>
    <xf numFmtId="0" fontId="19" fillId="16" borderId="48" xfId="0" applyFont="1" applyFill="1" applyBorder="1" applyAlignment="1">
      <alignment horizontal="right" vertical="center"/>
    </xf>
    <xf numFmtId="0" fontId="0" fillId="9" borderId="61" xfId="7" applyFont="1" applyBorder="1" applyAlignment="1">
      <alignment horizontal="left"/>
    </xf>
    <xf numFmtId="0" fontId="13" fillId="8" borderId="50" xfId="6" applyBorder="1" applyAlignment="1">
      <alignment horizontal="left" vertical="top" wrapText="1"/>
    </xf>
    <xf numFmtId="0" fontId="13" fillId="8" borderId="51" xfId="6" applyBorder="1" applyAlignment="1">
      <alignment horizontal="left" vertical="top" wrapText="1"/>
    </xf>
    <xf numFmtId="0" fontId="13" fillId="8" borderId="52" xfId="6" applyBorder="1" applyAlignment="1">
      <alignment horizontal="left" vertical="top" wrapText="1"/>
    </xf>
    <xf numFmtId="0" fontId="13" fillId="8" borderId="67" xfId="6" applyBorder="1" applyAlignment="1">
      <alignment horizontal="left" vertical="top" wrapText="1"/>
    </xf>
    <xf numFmtId="0" fontId="13" fillId="8" borderId="0" xfId="6" applyBorder="1" applyAlignment="1">
      <alignment horizontal="left" vertical="top" wrapText="1"/>
    </xf>
    <xf numFmtId="0" fontId="13" fillId="8" borderId="48" xfId="6" applyBorder="1" applyAlignment="1">
      <alignment horizontal="left" vertical="top" wrapText="1"/>
    </xf>
    <xf numFmtId="0" fontId="13" fillId="8" borderId="53" xfId="6" applyBorder="1" applyAlignment="1">
      <alignment horizontal="left" vertical="top" wrapText="1"/>
    </xf>
    <xf numFmtId="0" fontId="13" fillId="8" borderId="54" xfId="6" applyBorder="1" applyAlignment="1">
      <alignment horizontal="left" vertical="top" wrapText="1"/>
    </xf>
    <xf numFmtId="0" fontId="13" fillId="8" borderId="55" xfId="6" applyBorder="1" applyAlignment="1">
      <alignment horizontal="left" vertical="top" wrapText="1"/>
    </xf>
    <xf numFmtId="0" fontId="1" fillId="4" borderId="0" xfId="0" applyFont="1" applyFill="1" applyAlignment="1">
      <alignment horizontal="right" vertical="top" wrapText="1"/>
    </xf>
    <xf numFmtId="0" fontId="13" fillId="8" borderId="68" xfId="6" applyBorder="1" applyAlignment="1">
      <alignment horizontal="left"/>
    </xf>
    <xf numFmtId="0" fontId="13" fillId="8" borderId="69" xfId="6" applyBorder="1" applyAlignment="1">
      <alignment horizontal="left"/>
    </xf>
    <xf numFmtId="0" fontId="13" fillId="8" borderId="70" xfId="6" applyBorder="1" applyAlignment="1">
      <alignment horizontal="left"/>
    </xf>
    <xf numFmtId="0" fontId="19" fillId="4" borderId="0" xfId="0" applyFont="1" applyFill="1" applyAlignment="1">
      <alignment horizontal="right" vertical="center"/>
    </xf>
    <xf numFmtId="0" fontId="19" fillId="4" borderId="48" xfId="0" applyFont="1" applyFill="1" applyBorder="1" applyAlignment="1">
      <alignment horizontal="right" vertical="center"/>
    </xf>
    <xf numFmtId="0" fontId="1" fillId="4" borderId="0" xfId="0" applyFont="1" applyFill="1" applyAlignment="1">
      <alignment horizontal="right"/>
    </xf>
    <xf numFmtId="0" fontId="1" fillId="4" borderId="48" xfId="0" applyFont="1" applyFill="1" applyBorder="1" applyAlignment="1">
      <alignment horizontal="right"/>
    </xf>
    <xf numFmtId="0" fontId="13" fillId="8" borderId="31" xfId="6" applyAlignment="1">
      <alignment horizontal="left"/>
    </xf>
    <xf numFmtId="0" fontId="13" fillId="8" borderId="31" xfId="6" applyNumberFormat="1" applyAlignment="1">
      <alignment horizontal="left" vertical="center" wrapText="1"/>
    </xf>
    <xf numFmtId="0" fontId="0" fillId="9" borderId="32" xfId="7" applyFont="1" applyAlignment="1">
      <alignment horizontal="left"/>
    </xf>
    <xf numFmtId="0" fontId="0" fillId="4" borderId="0" xfId="0" applyFill="1" applyAlignment="1">
      <alignment horizontal="right"/>
    </xf>
    <xf numFmtId="0" fontId="0" fillId="4" borderId="40" xfId="0" applyFill="1" applyBorder="1" applyAlignment="1">
      <alignment horizontal="right"/>
    </xf>
    <xf numFmtId="0" fontId="0" fillId="4" borderId="0" xfId="0" applyFill="1" applyAlignment="1">
      <alignment horizontal="right" vertical="top" wrapText="1"/>
    </xf>
    <xf numFmtId="0" fontId="1" fillId="18" borderId="49" xfId="0" applyFont="1" applyFill="1" applyBorder="1" applyAlignment="1">
      <alignment horizontal="left" vertical="top" wrapText="1"/>
    </xf>
    <xf numFmtId="0" fontId="1" fillId="29" borderId="38" xfId="9" applyFont="1" applyBorder="1" applyAlignment="1">
      <alignment horizontal="right"/>
    </xf>
    <xf numFmtId="0" fontId="1" fillId="29" borderId="37" xfId="9" applyFont="1" applyBorder="1" applyAlignment="1">
      <alignment horizontal="right"/>
    </xf>
    <xf numFmtId="0" fontId="0" fillId="4" borderId="0" xfId="0" applyFill="1" applyAlignment="1">
      <alignment horizontal="left" vertical="top" wrapText="1"/>
    </xf>
    <xf numFmtId="0" fontId="13" fillId="8" borderId="31" xfId="6" applyAlignment="1">
      <alignment horizontal="left" vertical="center" wrapText="1"/>
    </xf>
    <xf numFmtId="0" fontId="13" fillId="8" borderId="31" xfId="6" applyAlignment="1">
      <alignment horizontal="left" vertical="top" wrapText="1"/>
    </xf>
    <xf numFmtId="0" fontId="1" fillId="5" borderId="24" xfId="0" applyFont="1" applyFill="1" applyBorder="1" applyAlignment="1">
      <alignment horizontal="center"/>
    </xf>
    <xf numFmtId="0" fontId="1" fillId="5" borderId="25" xfId="0" applyFont="1" applyFill="1" applyBorder="1" applyAlignment="1">
      <alignment horizontal="center"/>
    </xf>
    <xf numFmtId="0" fontId="1" fillId="5" borderId="26" xfId="0" applyFont="1" applyFill="1" applyBorder="1" applyAlignment="1">
      <alignment horizontal="center"/>
    </xf>
    <xf numFmtId="0" fontId="1" fillId="5" borderId="13" xfId="0" applyFont="1" applyFill="1" applyBorder="1" applyAlignment="1">
      <alignment horizontal="center"/>
    </xf>
    <xf numFmtId="0" fontId="1" fillId="12" borderId="17" xfId="0" applyFont="1" applyFill="1" applyBorder="1" applyAlignment="1">
      <alignment horizontal="center"/>
    </xf>
    <xf numFmtId="0" fontId="1" fillId="12" borderId="0" xfId="0" applyFont="1" applyFill="1" applyAlignment="1">
      <alignment horizontal="center"/>
    </xf>
  </cellXfs>
  <cellStyles count="10">
    <cellStyle name="40% - Accent1" xfId="9" builtinId="31"/>
    <cellStyle name="Heading 1" xfId="3" builtinId="16"/>
    <cellStyle name="Heading 2" xfId="4" builtinId="17"/>
    <cellStyle name="Input" xfId="5" builtinId="20" customBuiltin="1"/>
    <cellStyle name="Normal" xfId="0" builtinId="0"/>
    <cellStyle name="Normal 3" xfId="8" xr:uid="{22EA46C2-A1B6-4A78-AF09-AE8D114F9004}"/>
    <cellStyle name="Note" xfId="7" builtinId="10"/>
    <cellStyle name="Output" xfId="6" builtinId="21" customBuiltin="1"/>
    <cellStyle name="Percent" xfId="1" builtinId="5"/>
    <cellStyle name="Title" xfId="2" builtinId="15"/>
  </cellStyles>
  <dxfs count="541">
    <dxf>
      <numFmt numFmtId="0" formatCode="General"/>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name val="Calibri"/>
        <scheme val="minor"/>
      </font>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1"/>
        </top>
      </border>
    </dxf>
    <dxf>
      <font>
        <b/>
        <i val="0"/>
        <strike val="0"/>
        <condense val="0"/>
        <extend val="0"/>
        <outline val="0"/>
        <shadow val="0"/>
        <u val="none"/>
        <vertAlign val="baseline"/>
        <sz val="11"/>
        <color theme="1"/>
        <name val="Calibri"/>
        <family val="2"/>
        <scheme val="minor"/>
      </font>
    </dxf>
    <dxf>
      <alignment horizont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rgb="FFFFFF00"/>
        </patternFill>
      </fill>
    </dxf>
    <dxf>
      <border outline="0">
        <top style="thin">
          <color theme="1"/>
        </top>
      </border>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indexed="64"/>
          <bgColor rgb="FFFFFF00"/>
        </patternFill>
      </fill>
    </dxf>
    <dxf>
      <border outline="0">
        <top style="thin">
          <color theme="1"/>
        </top>
      </border>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numFmt numFmtId="0" formatCode="General"/>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top style="thin">
          <color theme="1"/>
        </top>
      </border>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0" formatCode="General"/>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name val="Calibri"/>
        <scheme val="minor"/>
      </font>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dxf>
    <dxf>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name val="Calibri"/>
        <scheme val="minor"/>
      </font>
    </dxf>
    <dxf>
      <fill>
        <patternFill>
          <bgColor rgb="FF0070C0"/>
        </patternFill>
      </fill>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border outline="0">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numFmt numFmtId="2" formatCode="0.00"/>
    </dxf>
    <dxf>
      <numFmt numFmtId="165" formatCode="0.000"/>
    </dxf>
    <dxf>
      <numFmt numFmtId="165" formatCode="0.000"/>
    </dxf>
    <dxf>
      <numFmt numFmtId="164" formatCode="0.0"/>
    </dxf>
    <dxf>
      <numFmt numFmtId="164" formatCode="0.0"/>
    </dxf>
    <dxf>
      <font>
        <b/>
        <i val="0"/>
        <strike val="0"/>
        <condense val="0"/>
        <extend val="0"/>
        <outline val="0"/>
        <shadow val="0"/>
        <u val="none"/>
        <vertAlign val="baseline"/>
        <sz val="11"/>
        <color theme="1"/>
        <name val="Calibri"/>
        <family val="2"/>
        <scheme val="minor"/>
      </font>
    </dxf>
    <dxf>
      <border outline="0">
        <top style="thin">
          <color theme="1"/>
        </top>
      </border>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166" formatCode="0.00000"/>
    </dxf>
    <dxf>
      <numFmt numFmtId="166" formatCode="0.00000"/>
    </dxf>
    <dxf>
      <numFmt numFmtId="0" formatCode="General"/>
    </dxf>
    <dxf>
      <numFmt numFmtId="166" formatCode="0.00000"/>
    </dxf>
    <dxf>
      <numFmt numFmtId="0" formatCode="General"/>
    </dxf>
    <dxf>
      <font>
        <b/>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numFmt numFmtId="0" formatCode="General"/>
    </dxf>
    <dxf>
      <numFmt numFmtId="164" formatCode="0.0"/>
    </dxf>
    <dxf>
      <numFmt numFmtId="164" formatCode="0.0"/>
    </dxf>
    <dxf>
      <numFmt numFmtId="164" formatCode="0.0"/>
    </dxf>
    <dxf>
      <numFmt numFmtId="164" formatCode="0.0"/>
    </dxf>
    <dxf>
      <numFmt numFmtId="164" formatCode="0.0"/>
    </dxf>
    <dxf>
      <numFmt numFmtId="164" formatCode="0.0"/>
    </dxf>
    <dxf>
      <numFmt numFmtId="166" formatCode="0.00000"/>
    </dxf>
    <dxf>
      <numFmt numFmtId="164" formatCode="0.0"/>
    </dxf>
    <dxf>
      <numFmt numFmtId="164" formatCode="0.0"/>
    </dxf>
    <dxf>
      <numFmt numFmtId="0" formatCode="General"/>
    </dxf>
    <dxf>
      <numFmt numFmtId="164" formatCode="0.0"/>
    </dxf>
    <dxf>
      <numFmt numFmtId="0" formatCode="General"/>
    </dxf>
    <dxf>
      <numFmt numFmtId="1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fill>
        <patternFill patternType="solid">
          <fgColor indexed="64"/>
          <bgColor theme="9" tint="0.59999389629810485"/>
        </patternFill>
      </fill>
    </dxf>
    <dxf>
      <numFmt numFmtId="0" formatCode="General"/>
      <fill>
        <patternFill patternType="solid">
          <fgColor indexed="64"/>
          <bgColor theme="9" tint="0.59999389629810485"/>
        </patternFill>
      </fill>
    </dxf>
    <dxf>
      <numFmt numFmtId="0" formatCode="General"/>
      <fill>
        <patternFill patternType="solid">
          <fgColor indexed="64"/>
          <bgColor theme="9" tint="0.59999389629810485"/>
        </patternFill>
      </fill>
    </dxf>
    <dxf>
      <numFmt numFmtId="0" formatCode="General"/>
      <fill>
        <patternFill patternType="solid">
          <fgColor indexed="64"/>
          <bgColor theme="9" tint="0.59999389629810485"/>
        </patternFill>
      </fill>
    </dxf>
    <dxf>
      <numFmt numFmtId="0" formatCode="General"/>
      <fill>
        <patternFill patternType="solid">
          <fgColor indexed="64"/>
          <bgColor theme="9" tint="0.59999389629810485"/>
        </patternFill>
      </fill>
    </dxf>
    <dxf>
      <numFmt numFmtId="166" formatCode="0.00000"/>
      <fill>
        <patternFill patternType="solid">
          <fgColor indexed="64"/>
          <bgColor theme="9" tint="0.59999389629810485"/>
        </patternFill>
      </fill>
    </dxf>
    <dxf>
      <numFmt numFmtId="166" formatCode="0.00000"/>
      <fill>
        <patternFill patternType="solid">
          <fgColor indexed="64"/>
          <bgColor theme="9" tint="0.59999389629810485"/>
        </patternFill>
      </fill>
    </dxf>
    <dxf>
      <numFmt numFmtId="166" formatCode="0.00000"/>
      <fill>
        <patternFill patternType="solid">
          <fgColor indexed="64"/>
          <bgColor theme="9" tint="0.59999389629810485"/>
        </patternFill>
      </fill>
    </dxf>
    <dxf>
      <numFmt numFmtId="166" formatCode="0.00000"/>
      <fill>
        <patternFill patternType="solid">
          <fgColor indexed="64"/>
          <bgColor theme="9" tint="0.59999389629810485"/>
        </patternFill>
      </fill>
    </dxf>
    <dxf>
      <numFmt numFmtId="166" formatCode="0.00000"/>
      <fill>
        <patternFill patternType="solid">
          <fgColor indexed="64"/>
          <bgColor theme="5" tint="0.59999389629810485"/>
        </patternFill>
      </fill>
    </dxf>
    <dxf>
      <numFmt numFmtId="166" formatCode="0.00000"/>
      <fill>
        <patternFill patternType="solid">
          <fgColor indexed="64"/>
          <bgColor theme="5" tint="0.59999389629810485"/>
        </patternFill>
      </fill>
    </dxf>
    <dxf>
      <numFmt numFmtId="166" formatCode="0.00000"/>
      <fill>
        <patternFill patternType="solid">
          <fgColor indexed="64"/>
          <bgColor theme="5" tint="0.59999389629810485"/>
        </patternFill>
      </fill>
    </dxf>
    <dxf>
      <numFmt numFmtId="0" formatCode="General"/>
      <fill>
        <patternFill patternType="solid">
          <fgColor indexed="64"/>
          <bgColor theme="5" tint="0.59999389629810485"/>
        </patternFill>
      </fill>
    </dxf>
    <dxf>
      <numFmt numFmtId="0" formatCode="General"/>
      <fill>
        <patternFill patternType="solid">
          <fgColor indexed="64"/>
          <bgColor theme="5" tint="0.59999389629810485"/>
        </patternFill>
      </fill>
    </dxf>
    <dxf>
      <numFmt numFmtId="0" formatCode="General"/>
      <fill>
        <patternFill patternType="solid">
          <fgColor indexed="64"/>
          <bgColor theme="5" tint="0.59999389629810485"/>
        </patternFill>
      </fill>
    </dxf>
    <dxf>
      <numFmt numFmtId="0" formatCode="General"/>
      <fill>
        <patternFill patternType="solid">
          <fgColor indexed="64"/>
          <bgColor theme="5" tint="0.59999389629810485"/>
        </patternFill>
      </fill>
    </dxf>
    <dxf>
      <numFmt numFmtId="164" formatCode="0.0"/>
      <fill>
        <patternFill patternType="solid">
          <fgColor indexed="64"/>
          <bgColor theme="5" tint="0.59999389629810485"/>
        </patternFill>
      </fill>
    </dxf>
    <dxf>
      <numFmt numFmtId="164" formatCode="0.0"/>
      <fill>
        <patternFill patternType="solid">
          <fgColor indexed="64"/>
          <bgColor theme="5" tint="0.59999389629810485"/>
        </patternFill>
      </fill>
    </dxf>
    <dxf>
      <numFmt numFmtId="166" formatCode="0.00000"/>
      <fill>
        <patternFill patternType="solid">
          <fgColor indexed="64"/>
          <bgColor theme="5" tint="0.59999389629810485"/>
        </patternFill>
      </fill>
    </dxf>
    <dxf>
      <numFmt numFmtId="166" formatCode="0.00000"/>
      <fill>
        <patternFill patternType="none">
          <fgColor indexed="64"/>
          <bgColor theme="4" tint="0.39997558519241921"/>
        </patternFill>
      </fill>
    </dxf>
    <dxf>
      <numFmt numFmtId="166" formatCode="0.00000"/>
      <fill>
        <patternFill patternType="none">
          <fgColor indexed="64"/>
          <bgColor theme="4" tint="0.39997558519241921"/>
        </patternFill>
      </fill>
    </dxf>
    <dxf>
      <numFmt numFmtId="166" formatCode="0.00000"/>
      <fill>
        <patternFill>
          <fgColor indexed="64"/>
          <bgColor theme="4" tint="0.39997558519241921"/>
        </patternFill>
      </fill>
    </dxf>
    <dxf>
      <numFmt numFmtId="0" formatCode="General"/>
      <fill>
        <patternFill>
          <fgColor indexed="64"/>
          <bgColor theme="4" tint="0.39997558519241921"/>
        </patternFill>
      </fill>
    </dxf>
    <dxf>
      <numFmt numFmtId="0" formatCode="General"/>
      <fill>
        <patternFill>
          <fgColor indexed="64"/>
          <bgColor theme="4" tint="0.39997558519241921"/>
        </patternFill>
      </fill>
    </dxf>
    <dxf>
      <numFmt numFmtId="0" formatCode="General"/>
      <fill>
        <patternFill>
          <fgColor indexed="64"/>
          <bgColor theme="4" tint="0.39997558519241921"/>
        </patternFill>
      </fill>
    </dxf>
    <dxf>
      <numFmt numFmtId="0" formatCode="General"/>
      <fill>
        <patternFill patternType="none">
          <fgColor indexed="64"/>
          <bgColor theme="4" tint="0.39997558519241921"/>
        </patternFill>
      </fill>
    </dxf>
    <dxf>
      <numFmt numFmtId="164" formatCode="0.0"/>
      <fill>
        <patternFill>
          <fgColor indexed="64"/>
          <bgColor theme="4" tint="0.39997558519241921"/>
        </patternFill>
      </fill>
    </dxf>
    <dxf>
      <numFmt numFmtId="164" formatCode="0.0"/>
      <fill>
        <patternFill>
          <fgColor indexed="64"/>
          <bgColor theme="4" tint="0.39997558519241921"/>
        </patternFill>
      </fill>
    </dxf>
    <dxf>
      <numFmt numFmtId="0" formatCode="General"/>
      <fill>
        <patternFill patternType="solid">
          <fgColor indexed="64"/>
          <bgColor theme="4" tint="0.39997558519241921"/>
        </patternFill>
      </fill>
    </dxf>
    <dxf>
      <numFmt numFmtId="164" formatCode="0.0"/>
    </dxf>
    <dxf>
      <numFmt numFmtId="164" formatCode="0.0"/>
    </dxf>
    <dxf>
      <numFmt numFmtId="0" formatCode="General"/>
    </dxf>
    <dxf>
      <numFmt numFmtId="0" formatCode="General"/>
    </dxf>
    <dxf>
      <numFmt numFmtId="167" formatCode="0.0000"/>
    </dxf>
    <dxf>
      <numFmt numFmtId="0" formatCode="General"/>
    </dxf>
    <dxf>
      <numFmt numFmtId="0" formatCode="General"/>
    </dxf>
    <dxf>
      <numFmt numFmtId="0" formatCode="General"/>
      <fill>
        <patternFill patternType="none">
          <fgColor indexed="64"/>
          <bgColor auto="1"/>
        </patternFill>
      </fill>
    </dxf>
    <dxf>
      <numFmt numFmtId="0" formatCode="General"/>
      <fill>
        <patternFill patternType="none">
          <fgColor indexed="64"/>
          <bgColor auto="1"/>
        </patternFill>
      </fill>
    </dxf>
    <dxf>
      <font>
        <b/>
      </font>
      <numFmt numFmtId="0" formatCode="General"/>
      <fill>
        <patternFill patternType="none">
          <fgColor indexed="64"/>
          <bgColor auto="1"/>
        </patternFill>
      </fill>
    </dxf>
    <dxf>
      <font>
        <b/>
        <i val="0"/>
        <strike val="0"/>
        <condense val="0"/>
        <extend val="0"/>
        <outline val="0"/>
        <shadow val="0"/>
        <u val="none"/>
        <vertAlign val="baseline"/>
        <sz val="11"/>
        <color theme="1"/>
        <name val="Calibri"/>
        <family val="2"/>
        <scheme val="minor"/>
      </font>
    </dxf>
    <dxf>
      <numFmt numFmtId="0" formatCode="General"/>
    </dxf>
    <dxf>
      <font>
        <b/>
        <i val="0"/>
        <strike val="0"/>
        <condense val="0"/>
        <extend val="0"/>
        <outline val="0"/>
        <shadow val="0"/>
        <u val="none"/>
        <vertAlign val="baseline"/>
        <sz val="11"/>
        <color theme="1"/>
        <name val="Calibri"/>
        <family val="2"/>
        <scheme val="minor"/>
      </font>
    </dxf>
    <dxf>
      <numFmt numFmtId="0" formatCode="Genera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numFmt numFmtId="0" formatCode="General"/>
    </dxf>
    <dxf>
      <numFmt numFmtId="2" formatCode="0.00"/>
      <fill>
        <patternFill patternType="none">
          <fgColor indexed="64"/>
          <bgColor indexed="65"/>
        </patternFill>
      </fill>
    </dxf>
    <dxf>
      <numFmt numFmtId="2" formatCode="0.00"/>
    </dxf>
    <dxf>
      <numFmt numFmtId="2" formatCode="0.00"/>
      <fill>
        <patternFill patternType="none">
          <fgColor indexed="64"/>
          <bgColor auto="1"/>
        </patternFill>
      </fill>
    </dxf>
    <dxf>
      <numFmt numFmtId="2" formatCode="0.00"/>
    </dxf>
    <dxf>
      <numFmt numFmtId="2" formatCode="0.00"/>
      <fill>
        <patternFill patternType="solid">
          <fgColor indexed="64"/>
          <bgColor theme="5" tint="0.79998168889431442"/>
        </patternFill>
      </fill>
    </dxf>
    <dxf>
      <numFmt numFmtId="2" formatCode="0.00"/>
    </dxf>
    <dxf>
      <numFmt numFmtId="2" formatCode="0.00"/>
      <fill>
        <patternFill patternType="none">
          <fgColor indexed="64"/>
          <bgColor auto="1"/>
        </patternFill>
      </fill>
    </dxf>
    <dxf>
      <numFmt numFmtId="164" formatCode="0.0"/>
    </dxf>
    <dxf>
      <numFmt numFmtId="164" formatCode="0.0"/>
      <fill>
        <patternFill patternType="none">
          <fgColor indexed="64"/>
          <bgColor auto="1"/>
        </patternFill>
      </fill>
    </dxf>
    <dxf>
      <numFmt numFmtId="164" formatCode="0.0"/>
    </dxf>
    <dxf>
      <numFmt numFmtId="164" formatCode="0.0"/>
      <fill>
        <patternFill patternType="none">
          <fgColor indexed="64"/>
          <bgColor auto="1"/>
        </patternFill>
      </fill>
    </dxf>
    <dxf>
      <numFmt numFmtId="164" formatCode="0.0"/>
    </dxf>
    <dxf>
      <numFmt numFmtId="164" formatCode="0.0"/>
      <fill>
        <patternFill patternType="solid">
          <fgColor indexed="64"/>
          <bgColor theme="5" tint="0.79998168889431442"/>
        </patternFill>
      </fill>
    </dxf>
    <dxf>
      <numFmt numFmtId="164" formatCode="0.0"/>
    </dxf>
    <dxf>
      <numFmt numFmtId="164" formatCode="0.0"/>
      <fill>
        <patternFill patternType="solid">
          <fgColor indexed="64"/>
          <bgColor theme="5" tint="0.79998168889431442"/>
        </patternFill>
      </fill>
    </dxf>
    <dxf>
      <numFmt numFmtId="164" formatCode="0.0"/>
    </dxf>
    <dxf>
      <numFmt numFmtId="164" formatCode="0.0"/>
      <fill>
        <patternFill patternType="none">
          <fgColor indexed="64"/>
          <bgColor indexed="65"/>
        </patternFill>
      </fill>
    </dxf>
    <dxf>
      <numFmt numFmtId="164" formatCode="0.0"/>
    </dxf>
    <dxf>
      <numFmt numFmtId="164" formatCode="0.0"/>
    </dxf>
    <dxf>
      <numFmt numFmtId="164" formatCode="0.0"/>
    </dxf>
    <dxf>
      <numFmt numFmtId="164" formatCode="0.0"/>
      <fill>
        <patternFill patternType="none">
          <fgColor indexed="64"/>
          <bgColor indexed="65"/>
        </patternFill>
      </fill>
    </dxf>
    <dxf>
      <fill>
        <patternFill patternType="solid">
          <fgColor indexed="64"/>
          <bgColor theme="5" tint="0.79998168889431442"/>
        </patternFill>
      </fill>
    </dxf>
    <dxf>
      <numFmt numFmtId="164" formatCode="0.0"/>
    </dxf>
    <dxf>
      <numFmt numFmtId="164" formatCode="0.0"/>
    </dxf>
    <dxf>
      <numFmt numFmtId="1" formatCode="0"/>
    </dxf>
    <dxf>
      <numFmt numFmtId="1" formatCode="0"/>
      <fill>
        <patternFill patternType="none">
          <fgColor indexed="64"/>
          <bgColor indexed="65"/>
        </patternFill>
      </fill>
    </dxf>
    <dxf>
      <numFmt numFmtId="0" formatCode="General"/>
      <fill>
        <patternFill patternType="none">
          <fgColor indexed="64"/>
          <bgColor indexed="65"/>
        </patternFill>
      </fill>
    </dxf>
    <dxf>
      <numFmt numFmtId="2" formatCode="0.00"/>
    </dxf>
    <dxf>
      <numFmt numFmtId="2" formatCode="0.00"/>
      <fill>
        <patternFill patternType="solid">
          <fgColor indexed="64"/>
          <bgColor theme="5" tint="0.79998168889431442"/>
        </patternFill>
      </fill>
    </dxf>
    <dxf>
      <numFmt numFmtId="2" formatCode="0.00"/>
    </dxf>
    <dxf>
      <numFmt numFmtId="2" formatCode="0.00"/>
    </dxf>
    <dxf>
      <numFmt numFmtId="1" formatCode="0"/>
    </dxf>
    <dxf>
      <numFmt numFmtId="1" formatCode="0"/>
      <fill>
        <patternFill patternType="none">
          <fgColor indexed="64"/>
          <bgColor indexed="65"/>
        </patternFill>
      </fill>
    </dxf>
    <dxf>
      <numFmt numFmtId="164" formatCode="0.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numFmt numFmtId="164" formatCode="0.0"/>
    </dxf>
    <dxf>
      <fill>
        <patternFill patternType="solid">
          <fgColor indexed="64"/>
          <bgColor theme="5" tint="0.79998168889431442"/>
        </patternFill>
      </fill>
    </dxf>
    <dxf>
      <numFmt numFmtId="0" formatCode="General"/>
    </dxf>
    <dxf>
      <font>
        <b val="0"/>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numFmt numFmtId="0" formatCode="General"/>
    </dxf>
    <dxf>
      <numFmt numFmtId="0" formatCode="General"/>
    </dxf>
    <dxf>
      <numFmt numFmtId="0" formatCode="General"/>
      <fill>
        <patternFill patternType="solid">
          <fgColor indexed="64"/>
          <bgColor rgb="FFFF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rgb="FFFF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0.000"/>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none"/>
      </font>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fill>
        <patternFill patternType="solid">
          <fgColor indexed="64"/>
          <bgColor rgb="FFFF0000"/>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0.000"/>
      <alignment horizontal="center" vertical="bottom" textRotation="0" wrapText="0" indent="0" justifyLastLine="0" shrinkToFit="0" readingOrder="0"/>
    </dxf>
    <dxf>
      <numFmt numFmtId="165" formatCode="0.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theme="0"/>
      </font>
      <fill>
        <patternFill>
          <bgColor rgb="FFFF0000"/>
        </patternFill>
      </fill>
    </dxf>
    <dxf>
      <font>
        <b/>
        <i val="0"/>
        <strike val="0"/>
        <condense val="0"/>
        <extend val="0"/>
        <outline val="0"/>
        <shadow val="0"/>
        <u val="none"/>
        <vertAlign val="baseline"/>
        <sz val="11"/>
        <color rgb="FF3F3F3F"/>
        <name val="Calibri"/>
        <family val="2"/>
        <scheme val="minor"/>
      </font>
      <numFmt numFmtId="0" formatCode="General"/>
      <fill>
        <patternFill patternType="solid">
          <fgColor indexed="64"/>
          <bgColor rgb="FFF2F2F2"/>
        </patternFill>
      </fill>
      <alignment horizontal="center" vertical="bottom" textRotation="0" wrapText="0" indent="0" justifyLastLine="0" shrinkToFit="0" readingOrder="0"/>
      <border diagonalUp="0" diagonalDown="0" outline="0">
        <left style="thin">
          <color rgb="FF3F3F3F"/>
        </left>
        <right style="thin">
          <color rgb="FF3F3F3F"/>
        </right>
        <top/>
        <bottom style="thin">
          <color rgb="FF3F3F3F"/>
        </bottom>
      </border>
      <protection locked="1" hidden="0"/>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3F3F3F"/>
        <name val="Calibri"/>
        <family val="2"/>
        <scheme val="minor"/>
      </font>
      <fill>
        <patternFill patternType="solid">
          <fgColor indexed="64"/>
          <bgColor rgb="FFF2F2F2"/>
        </patternFill>
      </fill>
      <alignment horizontal="center" vertical="bottom" textRotation="0" wrapText="0" indent="0" justifyLastLine="0" shrinkToFit="0" readingOrder="0"/>
      <border diagonalUp="0" diagonalDown="0" outline="0">
        <left style="thin">
          <color rgb="FF3F3F3F"/>
        </left>
        <right style="thin">
          <color rgb="FF3F3F3F"/>
        </right>
        <top style="thin">
          <color rgb="FF3F3F3F"/>
        </top>
        <bottom style="thin">
          <color rgb="FF3F3F3F"/>
        </bottom>
      </border>
      <protection locked="1" hidden="0"/>
    </dxf>
    <dxf>
      <numFmt numFmtId="165" formatCode="0.000"/>
      <alignment horizontal="center" vertical="bottom" textRotation="0" wrapText="0" indent="0" justifyLastLine="0" shrinkToFit="0" readingOrder="0"/>
    </dxf>
    <dxf>
      <fill>
        <patternFill patternType="solid">
          <fgColor indexed="64"/>
          <bgColor theme="0"/>
        </patternFill>
      </fill>
      <border diagonalUp="0" diagonalDown="0" outline="0">
        <left/>
        <right style="thin">
          <color indexed="64"/>
        </right>
        <top style="thin">
          <color indexed="64"/>
        </top>
        <bottom/>
      </border>
    </dxf>
    <dxf>
      <font>
        <b/>
      </font>
      <fill>
        <patternFill patternType="solid">
          <fgColor indexed="64"/>
          <bgColor theme="0"/>
        </patternFill>
      </fill>
      <border diagonalUp="0" diagonalDown="0" outline="0">
        <left/>
        <right style="thin">
          <color indexed="64"/>
        </right>
        <top style="thin">
          <color indexed="64"/>
        </top>
        <bottom style="thin">
          <color indexed="64"/>
        </bottom>
      </border>
    </dxf>
    <dxf>
      <border>
        <top style="thin">
          <color indexed="64"/>
        </top>
      </border>
    </dxf>
    <dxf>
      <fill>
        <patternFill patternType="solid">
          <fgColor indexed="64"/>
          <bgColor theme="0"/>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ill>
        <patternFill patternType="solid">
          <fgColor indexed="64"/>
          <bgColor theme="0"/>
        </patternFill>
      </fill>
      <border diagonalUp="0" diagonalDown="0">
        <left style="thin">
          <color indexed="64"/>
        </left>
        <right style="thin">
          <color indexed="64"/>
        </right>
        <top/>
        <bottom/>
        <vertical style="thin">
          <color indexed="64"/>
        </vertical>
        <horizontal style="thin">
          <color indexed="64"/>
        </horizontal>
      </border>
    </dxf>
    <dxf>
      <numFmt numFmtId="167" formatCode="0.0000"/>
      <border diagonalUp="0" diagonalDown="0" outline="0">
        <left style="thin">
          <color rgb="FF3F3F3F"/>
        </left>
        <right style="thin">
          <color rgb="FF3F3F3F"/>
        </right>
        <top style="thin">
          <color rgb="FF3F3F3F"/>
        </top>
        <bottom/>
      </border>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0" formatCode="General"/>
      <alignment horizontal="center" vertical="bottom" textRotation="0" wrapText="0" indent="0" justifyLastLine="0" shrinkToFit="0" readingOrder="0"/>
      <border diagonalUp="0" diagonalDown="0" outline="0">
        <left style="thin">
          <color rgb="FF3F3F3F"/>
        </left>
        <right style="thin">
          <color rgb="FF3F3F3F"/>
        </right>
        <top/>
        <bottom style="thin">
          <color rgb="FF3F3F3F"/>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numFmt numFmtId="165" formatCode="0.000"/>
      <alignment horizontal="center" vertical="bottom" textRotation="0" wrapText="0" indent="0" justifyLastLine="0" shrinkToFit="0" readingOrder="0"/>
    </dxf>
    <dxf>
      <fill>
        <patternFill patternType="solid">
          <fgColor indexed="64"/>
          <bgColor theme="0"/>
        </patternFill>
      </fill>
      <border diagonalUp="0" diagonalDown="0" outline="0">
        <left/>
        <right style="thin">
          <color indexed="64"/>
        </right>
        <top style="thin">
          <color indexed="64"/>
        </top>
        <bottom/>
      </border>
    </dxf>
    <dxf>
      <font>
        <b/>
      </font>
      <fill>
        <patternFill patternType="solid">
          <fgColor indexed="64"/>
          <bgColor theme="0"/>
        </patternFill>
      </fill>
      <border diagonalUp="0" diagonalDown="0" outline="0">
        <left/>
        <right style="thin">
          <color indexed="64"/>
        </right>
        <top style="thin">
          <color indexed="64"/>
        </top>
        <bottom style="thin">
          <color indexed="64"/>
        </bottom>
      </border>
    </dxf>
    <dxf>
      <border>
        <top style="thin">
          <color indexed="64"/>
        </top>
      </border>
    </dxf>
    <dxf>
      <fill>
        <patternFill patternType="solid">
          <fgColor indexed="64"/>
          <bgColor theme="0"/>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ill>
        <patternFill patternType="solid">
          <fgColor indexed="64"/>
          <bgColor theme="0"/>
        </patternFill>
      </fill>
      <border diagonalUp="0" diagonalDown="0">
        <left style="thin">
          <color indexed="64"/>
        </left>
        <right style="thin">
          <color indexed="64"/>
        </right>
        <top/>
        <bottom/>
        <vertical style="thin">
          <color indexed="64"/>
        </vertical>
        <horizontal style="thin">
          <color indexed="64"/>
        </horizontal>
      </border>
    </dxf>
    <dxf>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dxf>
    <dxf>
      <fill>
        <patternFill patternType="solid">
          <fgColor indexed="64"/>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right/>
        <top/>
        <bottom/>
        <vertical/>
        <horizontal/>
      </border>
    </dxf>
    <dxf>
      <font>
        <strike val="0"/>
        <outline val="0"/>
        <shadow val="0"/>
        <u val="none"/>
        <vertAlign val="baseline"/>
        <sz val="11"/>
        <color theme="0"/>
        <name val="Calibri"/>
        <family val="2"/>
        <scheme val="minor"/>
      </font>
      <numFmt numFmtId="165" formatCode="0.000"/>
      <fill>
        <patternFill patternType="solid">
          <fgColor indexed="64"/>
          <bgColor theme="0"/>
        </patternFill>
      </fill>
      <alignment horizontal="center" vertical="bottom" textRotation="0" wrapText="1" indent="0" justifyLastLine="0" shrinkToFit="0" readingOrder="0"/>
    </dxf>
    <dxf>
      <font>
        <strike val="0"/>
        <outline val="0"/>
        <shadow val="0"/>
        <u val="none"/>
        <vertAlign val="baseline"/>
        <sz val="11"/>
        <color theme="0"/>
        <name val="Calibri"/>
        <family val="2"/>
        <scheme val="minor"/>
      </font>
      <numFmt numFmtId="165" formatCode="0.000"/>
      <fill>
        <patternFill patternType="solid">
          <fgColor indexed="64"/>
          <bgColor theme="0"/>
        </patternFill>
      </fill>
      <alignment horizontal="center" vertical="bottom" textRotation="0" wrapText="1"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0"/>
        </patternFill>
      </fill>
      <border diagonalUp="0" diagonalDown="0" outline="0">
        <left style="thin">
          <color indexed="64"/>
        </left>
        <right style="thin">
          <color indexed="64"/>
        </right>
        <top/>
        <bottom/>
      </border>
    </dxf>
    <dxf>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bottom style="thin">
          <color auto="1"/>
        </bottom>
      </border>
    </dxf>
    <dxf>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bottom style="thin">
          <color auto="1"/>
        </bottom>
      </border>
    </dxf>
    <dxf>
      <numFmt numFmtId="0" formatCode="General"/>
      <fill>
        <patternFill patternType="solid">
          <fgColor indexed="64"/>
          <bgColor theme="0"/>
        </patternFill>
      </fill>
      <alignment horizontal="left" vertical="center" textRotation="0" wrapText="1" indent="0" justifyLastLine="0" shrinkToFit="0" readingOrder="0"/>
      <border diagonalUp="0" diagonalDown="0">
        <left/>
        <right style="thin">
          <color rgb="FF3F3F3F"/>
        </right>
        <top style="thin">
          <color indexed="64"/>
        </top>
        <bottom/>
      </border>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indexed="64"/>
        </right>
        <top/>
        <bottom style="thin">
          <color indexed="64"/>
        </bottom>
      </border>
    </dxf>
    <dxf>
      <border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dxf>
    <dxf>
      <border outline="0">
        <bottom style="thin">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bottom/>
      </border>
    </dxf>
    <dxf>
      <numFmt numFmtId="0" formatCode="General"/>
      <alignment horizontal="center" vertical="center" textRotation="0" wrapText="1" indent="0" justifyLastLine="0" shrinkToFit="0" readingOrder="0"/>
      <border>
        <left style="thin">
          <color rgb="FF3F3F3F"/>
        </left>
        <right style="thin">
          <color rgb="FF3F3F3F"/>
        </right>
      </border>
    </dxf>
    <dxf>
      <numFmt numFmtId="165" formatCode="0.000"/>
      <fill>
        <patternFill patternType="solid">
          <fgColor indexed="64"/>
          <bgColor theme="0"/>
        </patternFill>
      </fill>
      <alignment horizontal="center" vertical="center" textRotation="0" wrapText="1" indent="0" justifyLastLine="0" shrinkToFit="0" readingOrder="0"/>
      <border diagonalUp="0" diagonalDown="0">
        <left style="thin">
          <color rgb="FF3F3F3F"/>
        </left>
        <right style="thin">
          <color rgb="FF3F3F3F"/>
        </right>
        <top style="thin">
          <color rgb="FF3F3F3F"/>
        </top>
        <bottom style="thin">
          <color rgb="FF3F3F3F"/>
        </bottom>
      </border>
    </dxf>
    <dxf>
      <numFmt numFmtId="0" formatCode="General"/>
      <alignment horizontal="left" vertical="center" textRotation="0" wrapText="1" indent="0" justifyLastLine="0" shrinkToFit="0" readingOrder="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vertical="center" textRotation="0" wrapText="1" indent="0" justifyLastLine="0" shrinkToFit="0" readingOrder="0"/>
    </dxf>
    <dxf>
      <border>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patternFill>
      </fill>
      <border diagonalUp="0" diagonalDown="0">
        <left style="thin">
          <color indexed="64"/>
        </left>
        <right style="thin">
          <color indexed="64"/>
        </right>
        <top/>
        <bottom/>
        <vertical style="thin">
          <color indexed="64"/>
        </vertical>
        <horizontal style="thin">
          <color indexed="64"/>
        </horizontal>
      </border>
    </dxf>
    <dxf>
      <fill>
        <patternFill>
          <bgColor theme="5" tint="0.39994506668294322"/>
        </patternFill>
      </fill>
    </dxf>
    <dxf>
      <fill>
        <patternFill>
          <bgColor theme="8" tint="0.39994506668294322"/>
        </patternFill>
      </fill>
    </dxf>
    <dxf>
      <font>
        <color theme="0"/>
      </font>
      <fill>
        <patternFill>
          <bgColor rgb="FFFF0000"/>
        </patternFill>
      </fill>
    </dxf>
    <dxf>
      <font>
        <b/>
        <i val="0"/>
        <strike val="0"/>
        <condense val="0"/>
        <extend val="0"/>
        <outline val="0"/>
        <shadow val="0"/>
        <u val="none"/>
        <vertAlign val="baseline"/>
        <sz val="11"/>
        <color rgb="FF3F3F3F"/>
        <name val="Calibri"/>
        <family val="2"/>
        <scheme val="minor"/>
      </font>
      <numFmt numFmtId="165" formatCode="0.000"/>
      <fill>
        <patternFill patternType="solid">
          <fgColor indexed="64"/>
          <bgColor rgb="FFF2F2F2"/>
        </patternFill>
      </fill>
      <alignment horizontal="center" vertical="bottom" textRotation="0" wrapText="0" indent="0" justifyLastLine="0" shrinkToFit="0" readingOrder="0"/>
      <border diagonalUp="0" diagonalDown="0" outline="0">
        <left style="thin">
          <color rgb="FF3F3F3F"/>
        </left>
        <right style="thin">
          <color rgb="FF3F3F3F"/>
        </right>
        <top style="thin">
          <color rgb="FF3F3F3F"/>
        </top>
        <bottom/>
      </border>
      <protection locked="1" hidden="0"/>
    </dxf>
    <dxf>
      <numFmt numFmtId="165" formatCode="0.000"/>
      <alignment horizontal="center" vertical="bottom" textRotation="0" wrapText="0" indent="0" justifyLastLine="0" shrinkToFit="0" readingOrder="0"/>
      <border>
        <left style="thin">
          <color rgb="FF3F3F3F"/>
        </left>
      </border>
    </dxf>
    <dxf>
      <font>
        <b/>
        <i val="0"/>
        <strike val="0"/>
        <condense val="0"/>
        <extend val="0"/>
        <outline val="0"/>
        <shadow val="0"/>
        <u val="none"/>
        <vertAlign val="baseline"/>
        <sz val="11"/>
        <color rgb="FF3F3F3F"/>
        <name val="Calibri"/>
        <family val="2"/>
        <scheme val="minor"/>
      </font>
      <numFmt numFmtId="0" formatCode="General"/>
      <fill>
        <patternFill patternType="solid">
          <fgColor indexed="64"/>
          <bgColor rgb="FFF2F2F2"/>
        </patternFill>
      </fill>
      <alignment horizontal="center" vertical="bottom" textRotation="0" wrapText="0" indent="0" justifyLastLine="0" shrinkToFit="0" readingOrder="0"/>
      <border diagonalUp="0" diagonalDown="0" outline="0">
        <left style="thin">
          <color rgb="FF3F3F3F"/>
        </left>
        <right style="thin">
          <color rgb="FF3F3F3F"/>
        </right>
        <top style="thin">
          <color rgb="FF3F3F3F"/>
        </top>
        <bottom/>
      </border>
      <protection locked="1" hidden="0"/>
    </dxf>
    <dxf>
      <numFmt numFmtId="0" formatCode="General"/>
      <alignment horizontal="center" vertical="bottom" textRotation="0" wrapText="0" indent="0" justifyLastLine="0" shrinkToFit="0" readingOrder="0"/>
      <border>
        <right style="thin">
          <color rgb="FF3F3F3F"/>
        </right>
      </border>
    </dxf>
    <dxf>
      <font>
        <b/>
        <i val="0"/>
        <strike val="0"/>
        <condense val="0"/>
        <extend val="0"/>
        <outline val="0"/>
        <shadow val="0"/>
        <u val="none"/>
        <vertAlign val="baseline"/>
        <sz val="11"/>
        <color rgb="FF3F3F3F"/>
        <name val="Calibri"/>
        <family val="2"/>
        <scheme val="minor"/>
      </font>
      <numFmt numFmtId="0" formatCode="General"/>
      <fill>
        <patternFill patternType="solid">
          <fgColor indexed="64"/>
          <bgColor rgb="FFF2F2F2"/>
        </patternFill>
      </fill>
      <alignment horizontal="general" vertical="bottom" textRotation="0" wrapText="1" indent="0" justifyLastLine="0" shrinkToFit="0" readingOrder="0"/>
      <border diagonalUp="0" diagonalDown="0" outline="0">
        <left style="thin">
          <color rgb="FF3F3F3F"/>
        </left>
        <right style="thin">
          <color rgb="FF3F3F3F"/>
        </right>
        <top style="thin">
          <color rgb="FF3F3F3F"/>
        </top>
        <bottom/>
      </border>
      <protection locked="1" hidden="0"/>
    </dxf>
    <dxf>
      <numFmt numFmtId="0" formatCode="General"/>
      <alignment horizontal="general" vertical="bottom" textRotation="0" wrapText="1" indent="0" justifyLastLine="0" shrinkToFit="0" readingOrder="0"/>
      <border>
        <right style="thin">
          <color rgb="FF3F3F3F"/>
        </right>
      </border>
    </dxf>
    <dxf>
      <font>
        <b/>
        <i val="0"/>
        <strike val="0"/>
        <condense val="0"/>
        <extend val="0"/>
        <outline val="0"/>
        <shadow val="0"/>
        <u val="none"/>
        <vertAlign val="baseline"/>
        <sz val="11"/>
        <color rgb="FF3F3F3F"/>
        <name val="Calibri"/>
        <family val="2"/>
        <scheme val="minor"/>
      </font>
      <numFmt numFmtId="0" formatCode="General"/>
      <fill>
        <patternFill patternType="solid">
          <fgColor indexed="64"/>
          <bgColor rgb="FFF2F2F2"/>
        </patternFill>
      </fill>
      <border diagonalUp="0" diagonalDown="0" outline="0">
        <left style="thin">
          <color rgb="FF3F3F3F"/>
        </left>
        <right style="thin">
          <color rgb="FF3F3F3F"/>
        </right>
        <top style="thin">
          <color rgb="FF3F3F3F"/>
        </top>
        <bottom/>
      </border>
      <protection locked="1" hidden="0"/>
    </dxf>
    <dxf>
      <numFmt numFmtId="0" formatCode="General"/>
    </dxf>
    <dxf>
      <border outline="0">
        <top style="thin">
          <color rgb="FF3F3F3F"/>
        </top>
      </border>
    </dxf>
    <dxf>
      <font>
        <b/>
        <i val="0"/>
        <strike val="0"/>
        <condense val="0"/>
        <extend val="0"/>
        <outline val="0"/>
        <shadow val="0"/>
        <u val="none"/>
        <vertAlign val="baseline"/>
        <sz val="11"/>
        <color rgb="FF3F3F3F"/>
        <name val="Calibri"/>
        <family val="2"/>
        <scheme val="minor"/>
      </font>
      <numFmt numFmtId="165" formatCode="0.000"/>
      <fill>
        <patternFill patternType="solid">
          <fgColor indexed="64"/>
          <bgColor rgb="FFF2F2F2"/>
        </patternFill>
      </fill>
      <alignment horizontal="center" vertical="bottom" textRotation="0" wrapText="0" indent="0" justifyLastLine="0" shrinkToFit="0" readingOrder="0"/>
      <border diagonalUp="0" diagonalDown="0" outline="0">
        <left style="thin">
          <color rgb="FF3F3F3F"/>
        </left>
        <right style="thin">
          <color rgb="FF3F3F3F"/>
        </right>
        <top style="thin">
          <color rgb="FF3F3F3F"/>
        </top>
        <bottom style="thin">
          <color rgb="FF3F3F3F"/>
        </bottom>
      </border>
    </dxf>
    <dxf>
      <numFmt numFmtId="165" formatCode="0.000"/>
      <alignment horizontal="center" vertical="bottom" textRotation="0" wrapText="0" indent="0" justifyLastLine="0" shrinkToFit="0" readingOrder="0"/>
    </dxf>
    <dxf>
      <font>
        <b/>
        <i val="0"/>
        <strike val="0"/>
        <condense val="0"/>
        <extend val="0"/>
        <outline val="0"/>
        <shadow val="0"/>
        <u val="none"/>
        <vertAlign val="baseline"/>
        <sz val="11"/>
        <color rgb="FF3F3F3F"/>
        <name val="Calibri"/>
        <family val="2"/>
        <scheme val="minor"/>
      </font>
      <numFmt numFmtId="165" formatCode="0.000"/>
      <fill>
        <patternFill patternType="solid">
          <fgColor indexed="64"/>
          <bgColor rgb="FFF2F2F2"/>
        </patternFill>
      </fill>
      <alignment horizontal="right" vertical="bottom" textRotation="0" wrapText="0" indent="0" justifyLastLine="0" shrinkToFit="0" readingOrder="0"/>
      <border diagonalUp="0" diagonalDown="0" outline="0">
        <left style="thin">
          <color rgb="FF3F3F3F"/>
        </left>
        <right style="thin">
          <color rgb="FF3F3F3F"/>
        </right>
        <top style="thin">
          <color rgb="FF3F3F3F"/>
        </top>
        <bottom style="thin">
          <color rgb="FF3F3F3F"/>
        </bottom>
      </border>
    </dxf>
    <dxf>
      <numFmt numFmtId="165" formatCode="0.000"/>
      <alignment horizontal="center" vertical="bottom" textRotation="0" wrapText="0" indent="0" justifyLastLine="0" shrinkToFit="0" readingOrder="0"/>
    </dxf>
    <dxf>
      <font>
        <b/>
        <i val="0"/>
        <strike val="0"/>
        <condense val="0"/>
        <extend val="0"/>
        <outline val="0"/>
        <shadow val="0"/>
        <u val="none"/>
        <vertAlign val="baseline"/>
        <sz val="11"/>
        <color rgb="FF3F3F3F"/>
        <name val="Calibri"/>
        <family val="2"/>
        <scheme val="minor"/>
      </font>
      <numFmt numFmtId="165" formatCode="0.000"/>
      <fill>
        <patternFill patternType="solid">
          <fgColor indexed="64"/>
          <bgColor rgb="FFF2F2F2"/>
        </patternFill>
      </fill>
      <alignment horizontal="center" vertical="bottom" textRotation="0" wrapText="0" indent="0" justifyLastLine="0" shrinkToFit="0" readingOrder="0"/>
      <border diagonalUp="0" diagonalDown="0" outline="0">
        <left/>
        <right style="thin">
          <color rgb="FF3F3F3F"/>
        </right>
        <top style="thin">
          <color rgb="FF3F3F3F"/>
        </top>
        <bottom style="thin">
          <color rgb="FF3F3F3F"/>
        </bottom>
      </border>
    </dxf>
    <dxf>
      <numFmt numFmtId="165" formatCode="0.000"/>
      <alignment horizontal="center" vertical="bottom" textRotation="0" wrapText="0" indent="0" justifyLastLine="0" shrinkToFit="0" readingOrder="0"/>
    </dxf>
    <dxf>
      <font>
        <b/>
        <i val="0"/>
        <strike val="0"/>
        <condense val="0"/>
        <extend val="0"/>
        <outline val="0"/>
        <shadow val="0"/>
        <u val="none"/>
        <vertAlign val="baseline"/>
        <sz val="11"/>
        <color rgb="FF3F3F3F"/>
        <name val="Calibri"/>
        <family val="2"/>
        <scheme val="minor"/>
      </font>
      <fill>
        <patternFill patternType="solid">
          <fgColor indexed="64"/>
          <bgColor rgb="FFF2F2F2"/>
        </patternFill>
      </fill>
      <border diagonalUp="0" diagonalDown="0" outline="0">
        <left style="thin">
          <color rgb="FF3F3F3F"/>
        </left>
        <right/>
        <top style="thin">
          <color rgb="FF3F3F3F"/>
        </top>
        <bottom style="thin">
          <color rgb="FF3F3F3F"/>
        </bottom>
      </border>
    </dxf>
    <dxf>
      <numFmt numFmtId="0" formatCode="General"/>
    </dxf>
    <dxf>
      <font>
        <b/>
        <i val="0"/>
        <strike val="0"/>
        <condense val="0"/>
        <extend val="0"/>
        <outline val="0"/>
        <shadow val="0"/>
        <u val="none"/>
        <vertAlign val="baseline"/>
        <sz val="11"/>
        <color rgb="FF3F3F3F"/>
        <name val="Calibri"/>
        <family val="2"/>
        <scheme val="minor"/>
      </font>
      <numFmt numFmtId="165" formatCode="0.000"/>
      <fill>
        <patternFill patternType="solid">
          <fgColor indexed="64"/>
          <bgColor rgb="FFF2F2F2"/>
        </patternFill>
      </fill>
      <alignment horizontal="center" vertical="bottom" textRotation="0" wrapText="0" indent="0" justifyLastLine="0" shrinkToFit="0" readingOrder="0"/>
      <border diagonalUp="0" diagonalDown="0" outline="0">
        <left style="thin">
          <color rgb="FF3F3F3F"/>
        </left>
        <right style="thin">
          <color rgb="FF3F3F3F"/>
        </right>
        <top style="thin">
          <color rgb="FF3F3F3F"/>
        </top>
        <bottom style="thin">
          <color rgb="FF3F3F3F"/>
        </bottom>
      </border>
    </dxf>
    <dxf>
      <numFmt numFmtId="165" formatCode="0.000"/>
      <alignment horizontal="center" vertical="bottom" textRotation="0" wrapText="1" indent="0" justifyLastLine="0" shrinkToFit="0" readingOrder="0"/>
    </dxf>
    <dxf>
      <font>
        <b/>
        <i val="0"/>
        <strike val="0"/>
        <condense val="0"/>
        <extend val="0"/>
        <outline val="0"/>
        <shadow val="0"/>
        <u val="none"/>
        <vertAlign val="baseline"/>
        <sz val="11"/>
        <color rgb="FF3F3F3F"/>
        <name val="Calibri"/>
        <family val="2"/>
        <scheme val="minor"/>
      </font>
      <numFmt numFmtId="165" formatCode="0.000"/>
      <fill>
        <patternFill patternType="solid">
          <fgColor indexed="64"/>
          <bgColor rgb="FFF2F2F2"/>
        </patternFill>
      </fill>
      <alignment horizontal="right" vertical="bottom" textRotation="0" wrapText="0" indent="0" justifyLastLine="0" shrinkToFit="0" readingOrder="0"/>
      <border diagonalUp="0" diagonalDown="0" outline="0">
        <left style="thin">
          <color rgb="FF3F3F3F"/>
        </left>
        <right style="thin">
          <color rgb="FF3F3F3F"/>
        </right>
        <top style="thin">
          <color rgb="FF3F3F3F"/>
        </top>
        <bottom style="thin">
          <color rgb="FF3F3F3F"/>
        </bottom>
      </border>
    </dxf>
    <dxf>
      <numFmt numFmtId="0" formatCode="General"/>
      <alignment horizontal="center" vertical="bottom" textRotation="0" wrapText="1" indent="0" justifyLastLine="0" shrinkToFit="0" readingOrder="0"/>
    </dxf>
    <dxf>
      <font>
        <b/>
        <i val="0"/>
        <strike val="0"/>
        <condense val="0"/>
        <extend val="0"/>
        <outline val="0"/>
        <shadow val="0"/>
        <u val="none"/>
        <vertAlign val="baseline"/>
        <sz val="11"/>
        <color rgb="FF3F3F3F"/>
        <name val="Calibri"/>
        <family val="2"/>
        <scheme val="minor"/>
      </font>
      <numFmt numFmtId="165" formatCode="0.000"/>
      <fill>
        <patternFill patternType="solid">
          <fgColor indexed="64"/>
          <bgColor rgb="FFF2F2F2"/>
        </patternFill>
      </fill>
      <alignment horizontal="center" vertical="bottom" textRotation="0" wrapText="0" indent="0" justifyLastLine="0" shrinkToFit="0" readingOrder="0"/>
      <border diagonalUp="0" diagonalDown="0" outline="0">
        <left/>
        <right style="thin">
          <color rgb="FF3F3F3F"/>
        </right>
        <top style="thin">
          <color rgb="FF3F3F3F"/>
        </top>
        <bottom style="thin">
          <color rgb="FF3F3F3F"/>
        </bottom>
      </border>
    </dxf>
    <dxf>
      <numFmt numFmtId="165" formatCode="0.000"/>
      <alignment horizontal="left" vertical="bottom" textRotation="0" wrapText="1" indent="0" justifyLastLine="0" shrinkToFit="0" readingOrder="0"/>
    </dxf>
    <dxf>
      <font>
        <b/>
        <i val="0"/>
        <strike val="0"/>
        <condense val="0"/>
        <extend val="0"/>
        <outline val="0"/>
        <shadow val="0"/>
        <u val="none"/>
        <vertAlign val="baseline"/>
        <sz val="11"/>
        <color rgb="FF3F3F3F"/>
        <name val="Calibri"/>
        <family val="2"/>
        <scheme val="minor"/>
      </font>
      <fill>
        <patternFill patternType="solid">
          <fgColor indexed="64"/>
          <bgColor rgb="FFF2F2F2"/>
        </patternFill>
      </fill>
      <border diagonalUp="0" diagonalDown="0" outline="0">
        <left style="thin">
          <color rgb="FF3F3F3F"/>
        </left>
        <right/>
        <top style="thin">
          <color rgb="FF3F3F3F"/>
        </top>
        <bottom style="thin">
          <color rgb="FF3F3F3F"/>
        </bottom>
      </border>
    </dxf>
    <dxf>
      <numFmt numFmtId="0" formatCode="General"/>
    </dxf>
    <dxf>
      <font>
        <color theme="0"/>
      </font>
      <fill>
        <patternFill>
          <bgColor theme="0"/>
        </patternFill>
      </fill>
      <border>
        <left/>
        <right/>
        <bottom/>
      </border>
    </dxf>
    <dxf>
      <font>
        <color theme="0"/>
      </font>
      <fill>
        <patternFill>
          <bgColor theme="0"/>
        </patternFill>
      </fill>
      <border>
        <left/>
        <right/>
        <top/>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rder>
    </dxf>
    <dxf>
      <numFmt numFmtId="1" formatCode="0"/>
    </dxf>
    <dxf>
      <numFmt numFmtId="1" formatCode="0"/>
    </dxf>
    <dxf>
      <font>
        <color theme="0"/>
      </font>
      <fill>
        <patternFill>
          <bgColor rgb="FFFF0000"/>
        </patternFill>
      </fill>
    </dxf>
    <dxf>
      <alignment horizontal="center" vertical="center" textRotation="0" indent="0" justifyLastLine="0" shrinkToFit="0" readingOrder="0"/>
      <border outline="0">
        <left style="thin">
          <color rgb="FF3F3F3F"/>
        </left>
      </border>
    </dxf>
    <dxf>
      <alignment horizontal="center" vertical="center" textRotation="0" indent="0" justifyLastLine="0" shrinkToFit="0" readingOrder="0"/>
      <border outline="0">
        <left style="thin">
          <color rgb="FF3F3F3F"/>
        </left>
        <right style="thin">
          <color rgb="FF3F3F3F"/>
        </right>
      </border>
    </dxf>
    <dxf>
      <alignment horizontal="center" vertical="center" textRotation="0" wrapText="1" indent="0" justifyLastLine="0" shrinkToFit="0" readingOrder="0"/>
      <border outline="0">
        <left style="thin">
          <color rgb="FF3F3F3F"/>
        </left>
        <right style="thin">
          <color rgb="FF3F3F3F"/>
        </right>
      </border>
    </dxf>
    <dxf>
      <alignment horizontal="center" vertical="center" textRotation="0" indent="0" justifyLastLine="0" shrinkToFit="0" readingOrder="0"/>
      <border outline="0">
        <left style="thin">
          <color rgb="FF3F3F3F"/>
        </left>
        <right style="thin">
          <color rgb="FF3F3F3F"/>
        </right>
      </border>
    </dxf>
    <dxf>
      <alignment horizontal="left" vertical="center" textRotation="0" wrapText="0" indent="0" justifyLastLine="0" shrinkToFit="0" readingOrder="0"/>
      <border outline="0">
        <right style="thin">
          <color rgb="FF3F3F3F"/>
        </right>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top/>
        <bottom/>
      </border>
      <protection locked="1" hidden="1"/>
    </dxf>
    <dxf>
      <font>
        <strike val="0"/>
        <outline val="0"/>
        <shadow val="0"/>
        <u val="none"/>
        <sz val="11"/>
        <name val="Calibri"/>
      </font>
      <fill>
        <patternFill patternType="none">
          <fgColor indexed="64"/>
          <bgColor auto="1"/>
        </patternFill>
      </fill>
      <border diagonalUp="0" diagonalDown="0" outline="0">
        <left/>
        <right style="thin">
          <color indexed="64"/>
        </right>
        <top/>
        <bottom/>
      </border>
      <protection locked="1" hidden="1"/>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sz val="11"/>
        <name val="Calibri"/>
      </font>
      <fill>
        <patternFill patternType="none">
          <fgColor indexed="64"/>
          <bgColor auto="1"/>
        </patternFill>
      </fill>
      <protection locked="1" hidden="1"/>
    </dxf>
    <dxf>
      <border outline="0">
        <bottom style="thin">
          <color indexed="64"/>
        </bottom>
      </border>
    </dxf>
    <dxf>
      <font>
        <strike val="0"/>
        <outline val="0"/>
        <shadow val="0"/>
        <u val="none"/>
        <sz val="11"/>
        <name val="Calibri"/>
      </font>
      <protection locked="1" hidden="1"/>
    </dxf>
    <dxf>
      <fill>
        <patternFill patternType="none">
          <bgColor auto="1"/>
        </patternFill>
      </fill>
      <alignment horizontal="center" vertical="bottom" textRotation="0" wrapText="0" indent="0" justifyLastLine="0" shrinkToFit="0" readingOrder="0"/>
      <border diagonalUp="0" diagonalDown="0" outline="0">
        <left style="thin">
          <color auto="1"/>
        </left>
        <right/>
        <top/>
        <bottom/>
      </border>
    </dxf>
    <dxf>
      <fill>
        <patternFill patternType="none">
          <bgColor auto="1"/>
        </patternFill>
      </fill>
      <alignment horizontal="center" vertical="bottom" textRotation="0" wrapText="0" indent="0" justifyLastLine="0" shrinkToFit="0" readingOrder="0"/>
      <border diagonalUp="0" diagonalDown="0" outline="0">
        <left style="thin">
          <color auto="1"/>
        </left>
        <right style="thin">
          <color auto="1"/>
        </right>
        <top/>
        <bottom/>
      </border>
    </dxf>
    <dxf>
      <fill>
        <patternFill patternType="none">
          <bgColor auto="1"/>
        </patternFill>
      </fill>
      <alignment horizontal="center" vertical="bottom" textRotation="0" wrapText="0" indent="0" justifyLastLine="0" shrinkToFit="0" readingOrder="0"/>
      <border diagonalUp="0" diagonalDown="0" outline="0">
        <left style="thin">
          <color auto="1"/>
        </left>
        <right style="thin">
          <color auto="1"/>
        </right>
        <top/>
        <bottom/>
      </border>
    </dxf>
    <dxf>
      <numFmt numFmtId="2" formatCode="0.00"/>
      <fill>
        <patternFill patternType="none">
          <bgColor auto="1"/>
        </patternFill>
      </fill>
      <alignment horizontal="center" vertical="bottom" textRotation="0" wrapText="0" indent="0" justifyLastLine="0" shrinkToFit="0" readingOrder="0"/>
      <border diagonalUp="0" diagonalDown="0" outline="0">
        <left style="thin">
          <color auto="1"/>
        </left>
        <right style="thin">
          <color auto="1"/>
        </right>
        <top/>
        <bottom/>
      </border>
    </dxf>
    <dxf>
      <fill>
        <patternFill patternType="none">
          <bgColor auto="1"/>
        </patternFill>
      </fill>
      <alignment horizontal="center" vertical="bottom" textRotation="0" wrapText="0" indent="0" justifyLastLine="0" shrinkToFit="0" readingOrder="0"/>
      <border diagonalUp="0" diagonalDown="0" outline="0">
        <left/>
        <right style="thin">
          <color indexed="64"/>
        </right>
        <top/>
        <bottom/>
      </border>
    </dxf>
    <dxf>
      <fill>
        <patternFill patternType="none">
          <bgColor auto="1"/>
        </patternFill>
      </fill>
    </dxf>
    <dxf>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auto="1"/>
        </right>
        <top/>
        <bottom/>
        <vertical/>
        <horizontal/>
      </border>
    </dxf>
    <dxf>
      <fill>
        <patternFill patternType="none">
          <fgColor indexed="64"/>
          <bgColor indexed="65"/>
        </patternFill>
      </fill>
      <alignment horizontal="general" vertical="center" textRotation="0" wrapText="1" indent="0" justifyLastLine="0" shrinkToFit="0" readingOrder="0"/>
      <border diagonalUp="0" diagonalDown="0" outline="0">
        <left/>
        <right style="thin">
          <color indexed="64"/>
        </right>
        <top/>
        <bottom/>
      </border>
    </dxf>
    <dxf>
      <fill>
        <patternFill patternType="none">
          <bgColor auto="1"/>
        </patternFill>
      </fill>
      <alignment horizontal="general" vertical="center" textRotation="0" wrapText="1" indent="0" justifyLastLine="0" shrinkToFit="0" readingOrder="0"/>
      <border diagonalUp="0" diagonalDown="0" outline="0">
        <left/>
        <right style="thin">
          <color indexed="64"/>
        </right>
        <top/>
        <bottom/>
      </border>
    </dxf>
    <dxf>
      <border outline="0">
        <right style="thin">
          <color auto="1"/>
        </right>
      </border>
    </dxf>
    <dxf>
      <fill>
        <patternFill patternType="none">
          <bgColor auto="1"/>
        </patternFill>
      </fill>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solid">
          <fgColor indexed="64"/>
          <bgColor theme="0"/>
        </patternFill>
      </fill>
      <border diagonalUp="0" diagonalDown="0">
        <left/>
        <right style="thin">
          <color indexed="64"/>
        </right>
        <top style="thin">
          <color indexed="64"/>
        </top>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sz val="11"/>
        <color theme="1"/>
        <name val="Calibri"/>
        <family val="2"/>
        <scheme val="minor"/>
      </font>
      <fill>
        <patternFill patternType="none">
          <fgColor indexed="64"/>
          <bgColor auto="1"/>
        </patternFill>
      </fill>
    </dxf>
    <dxf>
      <border>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left" textRotation="0" indent="0" justifyLastLine="0" shrinkToFit="0" readingOrder="0"/>
      <border diagonalUp="0" diagonalDown="0" outline="0">
        <left style="thin">
          <color indexed="64"/>
        </left>
        <right/>
        <top style="thin">
          <color indexed="64"/>
        </top>
        <bottom style="thin">
          <color indexed="64"/>
        </bottom>
      </border>
    </dxf>
    <dxf>
      <numFmt numFmtId="0" formatCode="General"/>
      <alignment horizontal="center" textRotation="0" indent="0" justifyLastLine="0" shrinkToFit="0" readingOrder="0"/>
      <border diagonalUp="0" diagonalDown="0" outline="0">
        <left style="thin">
          <color indexed="64"/>
        </left>
        <right style="thin">
          <color auto="1"/>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auto="1"/>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auto="1"/>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auto="1"/>
        </right>
        <top style="thin">
          <color indexed="64"/>
        </top>
        <bottom style="thin">
          <color indexed="64"/>
        </bottom>
      </border>
    </dxf>
    <dxf>
      <border diagonalUp="0" diagonalDown="0" outline="0">
        <left style="thin">
          <color indexed="64"/>
        </left>
        <right style="thin">
          <color auto="1"/>
        </right>
        <top style="thin">
          <color indexed="64"/>
        </top>
        <bottom style="thin">
          <color indexed="64"/>
        </bottom>
      </border>
    </dxf>
    <dxf>
      <numFmt numFmtId="0" formatCode="General"/>
      <border diagonalUp="0" diagonalDown="0">
        <left/>
        <right style="thin">
          <color indexed="64"/>
        </right>
        <top style="thin">
          <color indexed="64"/>
        </top>
        <bottom style="thin">
          <color indexed="64"/>
        </bottom>
        <vertical/>
        <horizontal/>
      </border>
    </dxf>
    <dxf>
      <fill>
        <patternFill patternType="solid">
          <fgColor indexed="64"/>
          <bgColor theme="0"/>
        </patternFill>
      </fill>
      <border diagonalUp="0" diagonalDown="0">
        <left/>
        <right style="thin">
          <color indexed="64"/>
        </right>
        <top style="thin">
          <color indexed="64"/>
        </top>
        <bottom style="thin">
          <color indexed="64"/>
        </bottom>
        <vertical/>
        <horizontal/>
      </border>
    </dxf>
    <dxf>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left style="thin">
          <color indexed="64"/>
        </left>
        <right style="thin">
          <color auto="1"/>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left style="thin">
          <color indexed="64"/>
        </left>
        <right style="thin">
          <color auto="1"/>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left style="thin">
          <color indexed="64"/>
        </left>
        <right style="thin">
          <color auto="1"/>
        </right>
        <top style="thin">
          <color indexed="64"/>
        </top>
        <bottom style="thin">
          <color indexed="64"/>
        </bottom>
      </border>
    </dxf>
    <dxf>
      <alignment horizontal="center" vertical="bottom" textRotation="0" indent="0" justifyLastLine="0" shrinkToFit="0" readingOrder="0"/>
      <border diagonalUp="0" diagonalDown="0" outline="0">
        <left style="thin">
          <color indexed="64"/>
        </left>
        <right style="thin">
          <color auto="1"/>
        </right>
        <top style="thin">
          <color indexed="64"/>
        </top>
        <bottom style="thin">
          <color indexed="64"/>
        </bottom>
      </border>
    </dxf>
    <dxf>
      <border diagonalUp="0" diagonalDown="0" outline="0">
        <left style="thin">
          <color indexed="64"/>
        </left>
        <right style="thin">
          <color auto="1"/>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sz val="11"/>
        <color theme="1"/>
        <name val="Calibri"/>
        <family val="2"/>
        <scheme val="minor"/>
      </font>
      <fill>
        <patternFill patternType="none">
          <fgColor indexed="64"/>
          <bgColor auto="1"/>
        </patternFill>
      </fill>
    </dxf>
    <dxf>
      <border>
        <bottom style="thin">
          <color indexed="64"/>
        </bottom>
      </border>
    </dxf>
    <dxf>
      <font>
        <strike val="0"/>
        <outline val="0"/>
        <shadow val="0"/>
        <u val="none"/>
        <sz val="11"/>
        <color theme="1"/>
        <name val="Calibri"/>
        <family val="2"/>
        <scheme val="minor"/>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
      <fill>
        <patternFill>
          <bgColor rgb="FFFF0000"/>
        </patternFill>
      </fill>
    </dxf>
    <dxf>
      <font>
        <b val="0"/>
        <i val="0"/>
        <strike val="0"/>
        <condense val="0"/>
        <extend val="0"/>
        <outline val="0"/>
        <shadow val="0"/>
        <u val="none"/>
        <vertAlign val="baseline"/>
        <sz val="11"/>
        <color theme="0"/>
        <name val="Calibri"/>
        <family val="2"/>
        <scheme val="minor"/>
      </font>
      <fill>
        <patternFill patternType="solid">
          <fgColor indexed="64"/>
          <bgColor theme="4" tint="-0.249977111117893"/>
        </patternFill>
      </fill>
      <border diagonalUp="0" diagonalDown="0" outline="0">
        <left style="thin">
          <color auto="1"/>
        </left>
        <right/>
        <top style="thin">
          <color auto="1"/>
        </top>
        <bottom/>
      </border>
      <protection locked="1" hidden="1"/>
    </dxf>
    <dxf>
      <numFmt numFmtId="165" formatCode="0.000"/>
      <alignment horizontal="center" vertical="center" textRotation="0" wrapText="0" indent="0" justifyLastLine="0" shrinkToFit="0" readingOrder="0"/>
      <border diagonalUp="0" diagonalDown="0">
        <left style="thin">
          <color indexed="64"/>
        </left>
        <right/>
        <vertical/>
      </border>
      <protection locked="1" hidden="1"/>
    </dxf>
    <dxf>
      <font>
        <b val="0"/>
        <i val="0"/>
        <strike val="0"/>
        <condense val="0"/>
        <extend val="0"/>
        <outline val="0"/>
        <shadow val="0"/>
        <u val="none"/>
        <vertAlign val="baseline"/>
        <sz val="11"/>
        <color theme="0"/>
        <name val="Calibri"/>
        <family val="2"/>
        <scheme val="minor"/>
      </font>
      <numFmt numFmtId="2" formatCode="0.00"/>
      <fill>
        <patternFill patternType="solid">
          <fgColor indexed="64"/>
          <bgColor theme="4" tint="-0.249977111117893"/>
        </patternFill>
      </fill>
      <alignment horizontal="left" vertical="bottom" textRotation="0" wrapText="0" indent="0" justifyLastLine="0" shrinkToFit="0" readingOrder="0"/>
      <border diagonalUp="0" diagonalDown="0" outline="0">
        <left style="thin">
          <color auto="1"/>
        </left>
        <right style="thin">
          <color auto="1"/>
        </right>
        <top style="thin">
          <color indexed="64"/>
        </top>
        <bottom/>
      </border>
      <protection locked="1" hidden="1"/>
    </dxf>
    <dxf>
      <font>
        <b val="0"/>
        <i val="0"/>
        <strike val="0"/>
        <condense val="0"/>
        <extend val="0"/>
        <outline val="0"/>
        <shadow val="0"/>
        <u val="none"/>
        <vertAlign val="baseline"/>
        <sz val="11"/>
        <color theme="0"/>
        <name val="Calibri"/>
        <family val="2"/>
        <scheme val="minor"/>
      </font>
      <numFmt numFmtId="2" formatCode="0.00"/>
      <fill>
        <patternFill patternType="solid">
          <fgColor indexed="64"/>
          <bgColor theme="4" tint="-0.249977111117893"/>
        </patternFill>
      </fill>
      <alignment horizontal="left" vertical="bottom" textRotation="0" wrapText="0" indent="0" justifyLastLine="0" shrinkToFit="0" readingOrder="0"/>
      <border diagonalUp="0" diagonalDown="0" outline="0">
        <left style="thin">
          <color auto="1"/>
        </left>
        <right style="thin">
          <color auto="1"/>
        </right>
        <top style="thin">
          <color indexed="64"/>
        </top>
        <bottom/>
      </border>
      <protection locked="1" hidden="1"/>
    </dxf>
    <dxf>
      <border diagonalUp="0" diagonalDown="0">
        <left style="thin">
          <color auto="1"/>
        </left>
        <right style="thin">
          <color auto="1"/>
        </right>
        <vertical/>
      </border>
      <protection locked="0" hidden="0"/>
    </dxf>
    <dxf>
      <font>
        <b val="0"/>
        <i val="0"/>
        <strike val="0"/>
        <condense val="0"/>
        <extend val="0"/>
        <outline val="0"/>
        <shadow val="0"/>
        <u val="none"/>
        <vertAlign val="baseline"/>
        <sz val="11"/>
        <color theme="0"/>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right/>
        <top style="thin">
          <color indexed="64"/>
        </top>
        <bottom/>
      </border>
      <protection locked="1" hidden="1"/>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4" tint="-0.249977111117893"/>
        </patternFill>
      </fill>
      <border diagonalUp="0" diagonalDown="0" outline="0">
        <left/>
        <right/>
        <top style="thin">
          <color indexed="64"/>
        </top>
        <bottom/>
      </border>
      <protection locked="1" hidden="1"/>
    </dxf>
    <dxf>
      <numFmt numFmtId="0" formatCode="General"/>
      <alignment horizontal="center" vertical="center" textRotation="0" wrapText="0" indent="0" justifyLastLine="0" shrinkToFit="0" readingOrder="0"/>
    </dxf>
    <dxf>
      <border>
        <top style="thin">
          <color indexed="64"/>
        </top>
      </border>
    </dxf>
    <dxf>
      <font>
        <strike val="0"/>
        <outline val="0"/>
        <shadow val="0"/>
        <u val="none"/>
        <vertAlign val="baseline"/>
        <sz val="11"/>
        <color theme="0"/>
        <name val="Calibri"/>
        <family val="2"/>
        <scheme val="minor"/>
      </font>
      <fill>
        <patternFill patternType="solid">
          <fgColor indexed="64"/>
          <bgColor theme="4" tint="-0.249977111117893"/>
        </patternFill>
      </fill>
      <protection locked="1" hidden="1"/>
    </dxf>
    <dxf>
      <font>
        <strike val="0"/>
        <outline val="0"/>
        <shadow val="0"/>
        <u val="none"/>
        <vertAlign val="baseline"/>
        <sz val="11"/>
        <color theme="0"/>
        <name val="Calibri"/>
        <family val="2"/>
        <scheme val="minor"/>
      </font>
      <fill>
        <patternFill patternType="solid">
          <fgColor indexed="64"/>
          <bgColor theme="9"/>
        </patternFill>
      </fill>
      <protection locked="1" hidden="1"/>
    </dxf>
    <dxf>
      <font>
        <color theme="0"/>
      </font>
      <fill>
        <patternFill>
          <bgColor theme="0"/>
        </patternFill>
      </fill>
      <border>
        <left/>
        <right/>
        <top/>
        <bottom/>
        <vertical/>
        <horizontal/>
      </border>
    </dxf>
    <dxf>
      <font>
        <color theme="0"/>
      </font>
      <fill>
        <patternFill>
          <bgColor theme="0"/>
        </patternFill>
      </fill>
      <border>
        <left/>
        <right/>
        <bottom/>
      </border>
    </dxf>
    <dxf>
      <font>
        <color theme="0"/>
      </font>
      <fill>
        <patternFill>
          <bgColor rgb="FFFF0000"/>
        </patternFill>
      </fill>
    </dxf>
    <dxf>
      <font>
        <color theme="0"/>
      </font>
      <fill>
        <patternFill>
          <bgColor theme="0"/>
        </patternFill>
      </fill>
      <border>
        <left/>
        <right/>
        <bottom/>
        <vertical/>
        <horizontal/>
      </border>
    </dxf>
    <dxf>
      <font>
        <color theme="0"/>
      </font>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colors>
    <mruColors>
      <color rgb="FF2F75B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CL" b="1"/>
              <a:t>Perfil de presión de vapor de agua</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0.11094824318776206"/>
          <c:y val="0.11593640280289877"/>
          <c:w val="0.85510192685265762"/>
          <c:h val="0.81262819571807798"/>
        </c:manualLayout>
      </c:layout>
      <c:barChart>
        <c:barDir val="bar"/>
        <c:grouping val="stacked"/>
        <c:varyColors val="0"/>
        <c:ser>
          <c:idx val="2"/>
          <c:order val="2"/>
          <c:tx>
            <c:strRef>
              <c:f>Cálculos!$EP$26</c:f>
              <c:strCache>
                <c:ptCount val="1"/>
                <c:pt idx="0">
                  <c:v>Capa 1: Capa 1</c:v>
                </c:pt>
              </c:strCache>
            </c:strRef>
          </c:tx>
          <c:spPr>
            <a:solidFill>
              <a:schemeClr val="lt1"/>
            </a:solidFill>
            <a:ln w="12700" cap="flat" cmpd="sng" algn="ctr">
              <a:solidFill>
                <a:sysClr val="windowText" lastClr="000000"/>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Cálculos!$EV$26</c:f>
              <c:numCache>
                <c:formatCode>General</c:formatCode>
                <c:ptCount val="1"/>
                <c:pt idx="0">
                  <c:v>0</c:v>
                </c:pt>
              </c:numCache>
            </c:numRef>
          </c:val>
          <c:extLst>
            <c:ext xmlns:c16="http://schemas.microsoft.com/office/drawing/2014/chart" uri="{C3380CC4-5D6E-409C-BE32-E72D297353CC}">
              <c16:uniqueId val="{00000000-2BA3-4ACA-818C-072AA9876189}"/>
            </c:ext>
          </c:extLst>
        </c:ser>
        <c:ser>
          <c:idx val="3"/>
          <c:order val="3"/>
          <c:tx>
            <c:strRef>
              <c:f>Cálculos!$EP$27</c:f>
              <c:strCache>
                <c:ptCount val="1"/>
                <c:pt idx="0">
                  <c:v>Capa 2: Capa 2</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Cálculos!$EV$27</c:f>
              <c:numCache>
                <c:formatCode>General</c:formatCode>
                <c:ptCount val="1"/>
                <c:pt idx="0">
                  <c:v>0</c:v>
                </c:pt>
              </c:numCache>
            </c:numRef>
          </c:val>
          <c:extLst>
            <c:ext xmlns:c16="http://schemas.microsoft.com/office/drawing/2014/chart" uri="{C3380CC4-5D6E-409C-BE32-E72D297353CC}">
              <c16:uniqueId val="{00000001-2BA3-4ACA-818C-072AA9876189}"/>
            </c:ext>
          </c:extLst>
        </c:ser>
        <c:ser>
          <c:idx val="4"/>
          <c:order val="4"/>
          <c:tx>
            <c:strRef>
              <c:f>Cálculos!$EP$28</c:f>
              <c:strCache>
                <c:ptCount val="1"/>
                <c:pt idx="0">
                  <c:v>Capa 3: Capa 3</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Cálculos!$EV$28</c:f>
              <c:numCache>
                <c:formatCode>General</c:formatCode>
                <c:ptCount val="1"/>
                <c:pt idx="0">
                  <c:v>0</c:v>
                </c:pt>
              </c:numCache>
            </c:numRef>
          </c:val>
          <c:extLst>
            <c:ext xmlns:c16="http://schemas.microsoft.com/office/drawing/2014/chart" uri="{C3380CC4-5D6E-409C-BE32-E72D297353CC}">
              <c16:uniqueId val="{00000002-2BA3-4ACA-818C-072AA9876189}"/>
            </c:ext>
          </c:extLst>
        </c:ser>
        <c:ser>
          <c:idx val="5"/>
          <c:order val="5"/>
          <c:tx>
            <c:strRef>
              <c:f>Cálculos!$EP$29</c:f>
              <c:strCache>
                <c:ptCount val="1"/>
                <c:pt idx="0">
                  <c:v>Capa 4: Capa 4</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Cálculos!$EV$29</c:f>
              <c:numCache>
                <c:formatCode>General</c:formatCode>
                <c:ptCount val="1"/>
                <c:pt idx="0">
                  <c:v>0</c:v>
                </c:pt>
              </c:numCache>
            </c:numRef>
          </c:val>
          <c:extLst>
            <c:ext xmlns:c16="http://schemas.microsoft.com/office/drawing/2014/chart" uri="{C3380CC4-5D6E-409C-BE32-E72D297353CC}">
              <c16:uniqueId val="{00000003-2BA3-4ACA-818C-072AA9876189}"/>
            </c:ext>
          </c:extLst>
        </c:ser>
        <c:ser>
          <c:idx val="10"/>
          <c:order val="6"/>
          <c:tx>
            <c:strRef>
              <c:f>Cálculos!$EP$30</c:f>
              <c:strCache>
                <c:ptCount val="1"/>
                <c:pt idx="0">
                  <c:v>Capa 5: Capa 5</c:v>
                </c:pt>
              </c:strCache>
            </c:strRef>
          </c:tx>
          <c:spPr>
            <a:solidFill>
              <a:schemeClr val="accent5">
                <a:lumMod val="60000"/>
              </a:schemeClr>
            </a:solidFill>
            <a:ln>
              <a:noFill/>
            </a:ln>
            <a:effectLst/>
          </c:spPr>
          <c:invertIfNegative val="0"/>
          <c:dPt>
            <c:idx val="0"/>
            <c:invertIfNegative val="0"/>
            <c:bubble3D val="0"/>
            <c:spPr>
              <a:solidFill>
                <a:schemeClr val="lt1"/>
              </a:solidFill>
              <a:ln w="12700" cap="flat" cmpd="sng" algn="ctr">
                <a:solidFill>
                  <a:schemeClr val="dk1"/>
                </a:solidFill>
                <a:prstDash val="solid"/>
                <a:miter lim="800000"/>
              </a:ln>
              <a:effectLst/>
            </c:spPr>
            <c:extLst>
              <c:ext xmlns:c16="http://schemas.microsoft.com/office/drawing/2014/chart" uri="{C3380CC4-5D6E-409C-BE32-E72D297353CC}">
                <c16:uniqueId val="{00000005-2BA3-4ACA-818C-072AA9876189}"/>
              </c:ext>
            </c:extLst>
          </c:dPt>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Cálculos!$EV$30</c:f>
              <c:numCache>
                <c:formatCode>General</c:formatCode>
                <c:ptCount val="1"/>
                <c:pt idx="0">
                  <c:v>0</c:v>
                </c:pt>
              </c:numCache>
            </c:numRef>
          </c:val>
          <c:extLst>
            <c:ext xmlns:c16="http://schemas.microsoft.com/office/drawing/2014/chart" uri="{C3380CC4-5D6E-409C-BE32-E72D297353CC}">
              <c16:uniqueId val="{00000006-2BA3-4ACA-818C-072AA9876189}"/>
            </c:ext>
          </c:extLst>
        </c:ser>
        <c:ser>
          <c:idx val="11"/>
          <c:order val="7"/>
          <c:tx>
            <c:strRef>
              <c:f>Cálculos!$EP$31</c:f>
              <c:strCache>
                <c:ptCount val="1"/>
                <c:pt idx="0">
                  <c:v>Capa 6: Capa 6</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Cálculos!$EV$31</c:f>
              <c:numCache>
                <c:formatCode>General</c:formatCode>
                <c:ptCount val="1"/>
                <c:pt idx="0">
                  <c:v>0</c:v>
                </c:pt>
              </c:numCache>
            </c:numRef>
          </c:val>
          <c:extLst>
            <c:ext xmlns:c16="http://schemas.microsoft.com/office/drawing/2014/chart" uri="{C3380CC4-5D6E-409C-BE32-E72D297353CC}">
              <c16:uniqueId val="{00000007-2BA3-4ACA-818C-072AA9876189}"/>
            </c:ext>
          </c:extLst>
        </c:ser>
        <c:ser>
          <c:idx val="12"/>
          <c:order val="8"/>
          <c:tx>
            <c:strRef>
              <c:f>Cálculos!$EP$32</c:f>
              <c:strCache>
                <c:ptCount val="1"/>
                <c:pt idx="0">
                  <c:v>Capa 7: Capa 7</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Cálculos!$EV$32</c:f>
              <c:numCache>
                <c:formatCode>General</c:formatCode>
                <c:ptCount val="1"/>
                <c:pt idx="0">
                  <c:v>0</c:v>
                </c:pt>
              </c:numCache>
            </c:numRef>
          </c:val>
          <c:extLst>
            <c:ext xmlns:c16="http://schemas.microsoft.com/office/drawing/2014/chart" uri="{C3380CC4-5D6E-409C-BE32-E72D297353CC}">
              <c16:uniqueId val="{00000008-2BA3-4ACA-818C-072AA9876189}"/>
            </c:ext>
          </c:extLst>
        </c:ser>
        <c:ser>
          <c:idx val="13"/>
          <c:order val="9"/>
          <c:tx>
            <c:strRef>
              <c:f>Cálculos!$EP$33</c:f>
              <c:strCache>
                <c:ptCount val="1"/>
                <c:pt idx="0">
                  <c:v>Capa 8: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Cálculos!$EV$33</c:f>
              <c:numCache>
                <c:formatCode>General</c:formatCode>
                <c:ptCount val="1"/>
                <c:pt idx="0">
                  <c:v>#N/A</c:v>
                </c:pt>
              </c:numCache>
            </c:numRef>
          </c:val>
          <c:extLst>
            <c:ext xmlns:c16="http://schemas.microsoft.com/office/drawing/2014/chart" uri="{C3380CC4-5D6E-409C-BE32-E72D297353CC}">
              <c16:uniqueId val="{00000009-2BA3-4ACA-818C-072AA9876189}"/>
            </c:ext>
          </c:extLst>
        </c:ser>
        <c:ser>
          <c:idx val="14"/>
          <c:order val="10"/>
          <c:tx>
            <c:strRef>
              <c:f>Cálculos!$EP$34</c:f>
              <c:strCache>
                <c:ptCount val="1"/>
                <c:pt idx="0">
                  <c:v>Capa 9: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Cálculos!$EV$34</c:f>
              <c:numCache>
                <c:formatCode>General</c:formatCode>
                <c:ptCount val="1"/>
                <c:pt idx="0">
                  <c:v>#N/A</c:v>
                </c:pt>
              </c:numCache>
            </c:numRef>
          </c:val>
          <c:extLst>
            <c:ext xmlns:c16="http://schemas.microsoft.com/office/drawing/2014/chart" uri="{C3380CC4-5D6E-409C-BE32-E72D297353CC}">
              <c16:uniqueId val="{0000000A-2BA3-4ACA-818C-072AA9876189}"/>
            </c:ext>
          </c:extLst>
        </c:ser>
        <c:ser>
          <c:idx val="15"/>
          <c:order val="11"/>
          <c:tx>
            <c:strRef>
              <c:f>Cálculos!$EP$35</c:f>
              <c:strCache>
                <c:ptCount val="1"/>
                <c:pt idx="0">
                  <c:v>Capa 10: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Cálculos!$EV$35</c:f>
              <c:numCache>
                <c:formatCode>General</c:formatCode>
                <c:ptCount val="1"/>
                <c:pt idx="0">
                  <c:v>#N/A</c:v>
                </c:pt>
              </c:numCache>
            </c:numRef>
          </c:val>
          <c:extLst>
            <c:ext xmlns:c16="http://schemas.microsoft.com/office/drawing/2014/chart" uri="{C3380CC4-5D6E-409C-BE32-E72D297353CC}">
              <c16:uniqueId val="{0000000B-2BA3-4ACA-818C-072AA9876189}"/>
            </c:ext>
          </c:extLst>
        </c:ser>
        <c:ser>
          <c:idx val="16"/>
          <c:order val="12"/>
          <c:tx>
            <c:strRef>
              <c:f>Cálculos!$EP$36</c:f>
              <c:strCache>
                <c:ptCount val="1"/>
                <c:pt idx="0">
                  <c:v>Capa 11: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Cálculos!$EV$36</c:f>
              <c:numCache>
                <c:formatCode>General</c:formatCode>
                <c:ptCount val="1"/>
                <c:pt idx="0">
                  <c:v>#N/A</c:v>
                </c:pt>
              </c:numCache>
            </c:numRef>
          </c:val>
          <c:extLst>
            <c:ext xmlns:c16="http://schemas.microsoft.com/office/drawing/2014/chart" uri="{C3380CC4-5D6E-409C-BE32-E72D297353CC}">
              <c16:uniqueId val="{0000000C-2BA3-4ACA-818C-072AA9876189}"/>
            </c:ext>
          </c:extLst>
        </c:ser>
        <c:ser>
          <c:idx val="17"/>
          <c:order val="13"/>
          <c:tx>
            <c:strRef>
              <c:f>Cálculos!$EP$37</c:f>
              <c:strCache>
                <c:ptCount val="1"/>
                <c:pt idx="0">
                  <c:v>Capa 12: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Cálculos!$EV$37</c:f>
              <c:numCache>
                <c:formatCode>General</c:formatCode>
                <c:ptCount val="1"/>
                <c:pt idx="0">
                  <c:v>#N/A</c:v>
                </c:pt>
              </c:numCache>
            </c:numRef>
          </c:val>
          <c:extLst>
            <c:ext xmlns:c16="http://schemas.microsoft.com/office/drawing/2014/chart" uri="{C3380CC4-5D6E-409C-BE32-E72D297353CC}">
              <c16:uniqueId val="{0000000D-2BA3-4ACA-818C-072AA9876189}"/>
            </c:ext>
          </c:extLst>
        </c:ser>
        <c:ser>
          <c:idx val="18"/>
          <c:order val="14"/>
          <c:tx>
            <c:strRef>
              <c:f>Cálculos!$EP$38</c:f>
              <c:strCache>
                <c:ptCount val="1"/>
                <c:pt idx="0">
                  <c:v>Capa 13: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Cálculos!$EV$38</c:f>
              <c:numCache>
                <c:formatCode>General</c:formatCode>
                <c:ptCount val="1"/>
                <c:pt idx="0">
                  <c:v>#N/A</c:v>
                </c:pt>
              </c:numCache>
            </c:numRef>
          </c:val>
          <c:extLst>
            <c:ext xmlns:c16="http://schemas.microsoft.com/office/drawing/2014/chart" uri="{C3380CC4-5D6E-409C-BE32-E72D297353CC}">
              <c16:uniqueId val="{0000000E-2BA3-4ACA-818C-072AA9876189}"/>
            </c:ext>
          </c:extLst>
        </c:ser>
        <c:ser>
          <c:idx val="19"/>
          <c:order val="15"/>
          <c:tx>
            <c:strRef>
              <c:f>Cálculos!$EP$39</c:f>
              <c:strCache>
                <c:ptCount val="1"/>
                <c:pt idx="0">
                  <c:v>Capa 14: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Cálculos!$EV$39</c:f>
              <c:numCache>
                <c:formatCode>General</c:formatCode>
                <c:ptCount val="1"/>
                <c:pt idx="0">
                  <c:v>#N/A</c:v>
                </c:pt>
              </c:numCache>
            </c:numRef>
          </c:val>
          <c:extLst>
            <c:ext xmlns:c16="http://schemas.microsoft.com/office/drawing/2014/chart" uri="{C3380CC4-5D6E-409C-BE32-E72D297353CC}">
              <c16:uniqueId val="{0000000F-2BA3-4ACA-818C-072AA9876189}"/>
            </c:ext>
          </c:extLst>
        </c:ser>
        <c:ser>
          <c:idx val="20"/>
          <c:order val="16"/>
          <c:tx>
            <c:strRef>
              <c:f>Cálculos!$EP$40</c:f>
              <c:strCache>
                <c:ptCount val="1"/>
                <c:pt idx="0">
                  <c:v>Capa 15: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Cálculos!$EV$40</c:f>
              <c:numCache>
                <c:formatCode>General</c:formatCode>
                <c:ptCount val="1"/>
                <c:pt idx="0">
                  <c:v>#N/A</c:v>
                </c:pt>
              </c:numCache>
            </c:numRef>
          </c:val>
          <c:extLst>
            <c:ext xmlns:c16="http://schemas.microsoft.com/office/drawing/2014/chart" uri="{C3380CC4-5D6E-409C-BE32-E72D297353CC}">
              <c16:uniqueId val="{00000010-2BA3-4ACA-818C-072AA9876189}"/>
            </c:ext>
          </c:extLst>
        </c:ser>
        <c:ser>
          <c:idx val="21"/>
          <c:order val="17"/>
          <c:tx>
            <c:strRef>
              <c:f>Cálculos!$EP$41</c:f>
              <c:strCache>
                <c:ptCount val="1"/>
                <c:pt idx="0">
                  <c:v>Capa 16: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Cálculos!$EV$41</c:f>
              <c:numCache>
                <c:formatCode>General</c:formatCode>
                <c:ptCount val="1"/>
                <c:pt idx="0">
                  <c:v>#N/A</c:v>
                </c:pt>
              </c:numCache>
            </c:numRef>
          </c:val>
          <c:extLst>
            <c:ext xmlns:c16="http://schemas.microsoft.com/office/drawing/2014/chart" uri="{C3380CC4-5D6E-409C-BE32-E72D297353CC}">
              <c16:uniqueId val="{00000011-2BA3-4ACA-818C-072AA9876189}"/>
            </c:ext>
          </c:extLst>
        </c:ser>
        <c:ser>
          <c:idx val="22"/>
          <c:order val="18"/>
          <c:tx>
            <c:strRef>
              <c:f>Cálculos!$EP$42</c:f>
              <c:strCache>
                <c:ptCount val="1"/>
                <c:pt idx="0">
                  <c:v>Capa 17: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Cálculos!$EV$42</c:f>
              <c:numCache>
                <c:formatCode>General</c:formatCode>
                <c:ptCount val="1"/>
                <c:pt idx="0">
                  <c:v>#N/A</c:v>
                </c:pt>
              </c:numCache>
            </c:numRef>
          </c:val>
          <c:extLst>
            <c:ext xmlns:c16="http://schemas.microsoft.com/office/drawing/2014/chart" uri="{C3380CC4-5D6E-409C-BE32-E72D297353CC}">
              <c16:uniqueId val="{00000012-2BA3-4ACA-818C-072AA9876189}"/>
            </c:ext>
          </c:extLst>
        </c:ser>
        <c:ser>
          <c:idx val="23"/>
          <c:order val="19"/>
          <c:tx>
            <c:strRef>
              <c:f>Cálculos!$EP$43</c:f>
              <c:strCache>
                <c:ptCount val="1"/>
                <c:pt idx="0">
                  <c:v>Capa 18: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Cálculos!$EV$43</c:f>
              <c:numCache>
                <c:formatCode>General</c:formatCode>
                <c:ptCount val="1"/>
                <c:pt idx="0">
                  <c:v>#N/A</c:v>
                </c:pt>
              </c:numCache>
            </c:numRef>
          </c:val>
          <c:extLst>
            <c:ext xmlns:c16="http://schemas.microsoft.com/office/drawing/2014/chart" uri="{C3380CC4-5D6E-409C-BE32-E72D297353CC}">
              <c16:uniqueId val="{00000013-2BA3-4ACA-818C-072AA9876189}"/>
            </c:ext>
          </c:extLst>
        </c:ser>
        <c:ser>
          <c:idx val="24"/>
          <c:order val="20"/>
          <c:tx>
            <c:strRef>
              <c:f>Cálculos!$EP$44</c:f>
              <c:strCache>
                <c:ptCount val="1"/>
                <c:pt idx="0">
                  <c:v>Capa 19: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Cálculos!$EV$44</c:f>
              <c:numCache>
                <c:formatCode>General</c:formatCode>
                <c:ptCount val="1"/>
                <c:pt idx="0">
                  <c:v>#N/A</c:v>
                </c:pt>
              </c:numCache>
            </c:numRef>
          </c:val>
          <c:extLst>
            <c:ext xmlns:c16="http://schemas.microsoft.com/office/drawing/2014/chart" uri="{C3380CC4-5D6E-409C-BE32-E72D297353CC}">
              <c16:uniqueId val="{00000014-2BA3-4ACA-818C-072AA9876189}"/>
            </c:ext>
          </c:extLst>
        </c:ser>
        <c:ser>
          <c:idx val="25"/>
          <c:order val="21"/>
          <c:tx>
            <c:strRef>
              <c:f>Cálculos!$EP$45</c:f>
              <c:strCache>
                <c:ptCount val="1"/>
                <c:pt idx="0">
                  <c:v>Capa 20: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Cálculos!$EV$45</c:f>
              <c:numCache>
                <c:formatCode>General</c:formatCode>
                <c:ptCount val="1"/>
                <c:pt idx="0">
                  <c:v>#N/A</c:v>
                </c:pt>
              </c:numCache>
            </c:numRef>
          </c:val>
          <c:extLst>
            <c:ext xmlns:c16="http://schemas.microsoft.com/office/drawing/2014/chart" uri="{C3380CC4-5D6E-409C-BE32-E72D297353CC}">
              <c16:uniqueId val="{00000015-2BA3-4ACA-818C-072AA9876189}"/>
            </c:ext>
          </c:extLst>
        </c:ser>
        <c:dLbls>
          <c:showLegendKey val="0"/>
          <c:showVal val="0"/>
          <c:showCatName val="0"/>
          <c:showSerName val="0"/>
          <c:showPercent val="0"/>
          <c:showBubbleSize val="0"/>
        </c:dLbls>
        <c:gapWidth val="0"/>
        <c:overlap val="100"/>
        <c:axId val="1123328239"/>
        <c:axId val="1123343599"/>
      </c:barChart>
      <c:scatterChart>
        <c:scatterStyle val="smoothMarker"/>
        <c:varyColors val="0"/>
        <c:ser>
          <c:idx val="0"/>
          <c:order val="0"/>
          <c:tx>
            <c:strRef>
              <c:f>Cálculos!$EY$24</c:f>
              <c:strCache>
                <c:ptCount val="1"/>
                <c:pt idx="0">
                  <c:v>Psat</c:v>
                </c:pt>
              </c:strCache>
            </c:strRef>
          </c:tx>
          <c:spPr>
            <a:ln w="28575" cap="rnd">
              <a:solidFill>
                <a:schemeClr val="tx1"/>
              </a:solidFill>
              <a:round/>
            </a:ln>
            <a:effectLst/>
          </c:spPr>
          <c:marker>
            <c:symbol val="circle"/>
            <c:size val="5"/>
            <c:spPr>
              <a:noFill/>
              <a:ln w="9525">
                <a:noFill/>
              </a:ln>
              <a:effectLst/>
            </c:spPr>
          </c:marker>
          <c:xVal>
            <c:numRef>
              <c:f>Cálculos!$EW$25:$EW$45</c:f>
              <c:numCache>
                <c:formatCode>0.0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Cálculos!$EY$25:$EY$45</c:f>
              <c:numCache>
                <c:formatCode>0.0</c:formatCode>
                <c:ptCount val="21"/>
                <c:pt idx="0">
                  <c:v>784.68408753927326</c:v>
                </c:pt>
                <c:pt idx="1">
                  <c:v>1011.4936324284752</c:v>
                </c:pt>
                <c:pt idx="2">
                  <c:v>1011.4936324284752</c:v>
                </c:pt>
                <c:pt idx="3">
                  <c:v>1011.4936324284752</c:v>
                </c:pt>
                <c:pt idx="4">
                  <c:v>1011.4936324284752</c:v>
                </c:pt>
                <c:pt idx="5">
                  <c:v>1011.4936324284752</c:v>
                </c:pt>
                <c:pt idx="6">
                  <c:v>1011.4936324284752</c:v>
                </c:pt>
                <c:pt idx="7">
                  <c:v>1011.4936324284752</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0"/>
          <c:extLst>
            <c:ext xmlns:c16="http://schemas.microsoft.com/office/drawing/2014/chart" uri="{C3380CC4-5D6E-409C-BE32-E72D297353CC}">
              <c16:uniqueId val="{00000016-2BA3-4ACA-818C-072AA9876189}"/>
            </c:ext>
          </c:extLst>
        </c:ser>
        <c:ser>
          <c:idx val="1"/>
          <c:order val="1"/>
          <c:tx>
            <c:strRef>
              <c:f>Cálculos!$FE$24</c:f>
              <c:strCache>
                <c:ptCount val="1"/>
                <c:pt idx="0">
                  <c:v>Pn_gráf</c:v>
                </c:pt>
              </c:strCache>
            </c:strRef>
          </c:tx>
          <c:spPr>
            <a:ln w="28575" cap="rnd">
              <a:solidFill>
                <a:schemeClr val="accent1"/>
              </a:solidFill>
              <a:prstDash val="sysDash"/>
              <a:round/>
            </a:ln>
            <a:effectLst/>
          </c:spPr>
          <c:marker>
            <c:symbol val="circle"/>
            <c:size val="5"/>
            <c:spPr>
              <a:noFill/>
              <a:ln w="9525">
                <a:noFill/>
                <a:prstDash val="sysDash"/>
              </a:ln>
              <a:effectLst/>
            </c:spPr>
          </c:marker>
          <c:xVal>
            <c:numRef>
              <c:f>Cálculos!$EW$25:$EW$45</c:f>
              <c:numCache>
                <c:formatCode>0.0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Cálculos!$FE$25:$FE$45</c:f>
              <c:numCache>
                <c:formatCode>0.0</c:formatCode>
                <c:ptCount val="21"/>
                <c:pt idx="0">
                  <c:v>745.44988316230956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0"/>
          <c:extLst>
            <c:ext xmlns:c16="http://schemas.microsoft.com/office/drawing/2014/chart" uri="{C3380CC4-5D6E-409C-BE32-E72D297353CC}">
              <c16:uniqueId val="{00000017-2BA3-4ACA-818C-072AA9876189}"/>
            </c:ext>
          </c:extLst>
        </c:ser>
        <c:ser>
          <c:idx val="32"/>
          <c:order val="22"/>
          <c:tx>
            <c:v>Interfaces</c:v>
          </c:tx>
          <c:spPr>
            <a:ln w="28575" cap="rnd">
              <a:noFill/>
              <a:round/>
            </a:ln>
            <a:effectLst/>
          </c:spPr>
          <c:marker>
            <c:symbol val="x"/>
            <c:size val="10"/>
            <c:spPr>
              <a:noFill/>
              <a:ln w="9525">
                <a:solidFill>
                  <a:srgbClr val="FF0000"/>
                </a:solidFill>
              </a:ln>
              <a:effectLst/>
            </c:spPr>
          </c:marker>
          <c:xVal>
            <c:numRef>
              <c:f>Cálculos!$EW$25:$EW$45</c:f>
              <c:numCache>
                <c:formatCode>0.0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Cálculos!$FC$25:$FC$45</c:f>
              <c:numCache>
                <c:formatCode>0.0</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1"/>
          <c:extLst>
            <c:ext xmlns:c16="http://schemas.microsoft.com/office/drawing/2014/chart" uri="{C3380CC4-5D6E-409C-BE32-E72D297353CC}">
              <c16:uniqueId val="{00000018-2BA3-4ACA-818C-072AA9876189}"/>
            </c:ext>
          </c:extLst>
        </c:ser>
        <c:dLbls>
          <c:showLegendKey val="0"/>
          <c:showVal val="0"/>
          <c:showCatName val="0"/>
          <c:showSerName val="0"/>
          <c:showPercent val="0"/>
          <c:showBubbleSize val="0"/>
        </c:dLbls>
        <c:axId val="1505139663"/>
        <c:axId val="1505148303"/>
      </c:scatterChart>
      <c:valAx>
        <c:axId val="1505139663"/>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Espesor de capa de aire equivalente, Sd, [m]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0.0" sourceLinked="1"/>
        <c:majorTickMark val="out"/>
        <c:minorTickMark val="none"/>
        <c:tickLblPos val="nextTo"/>
        <c:crossAx val="1505148303"/>
        <c:crosses val="autoZero"/>
        <c:crossBetween val="midCat"/>
        <c:majorUnit val="5.000000000000001E-2"/>
      </c:valAx>
      <c:valAx>
        <c:axId val="1505148303"/>
        <c:scaling>
          <c:orientation val="minMax"/>
          <c:max val="3200"/>
          <c:min val="0"/>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505139663"/>
        <c:crosses val="autoZero"/>
        <c:crossBetween val="midCat"/>
      </c:valAx>
      <c:valAx>
        <c:axId val="1123343599"/>
        <c:scaling>
          <c:orientation val="minMax"/>
        </c:scaling>
        <c:delete val="1"/>
        <c:axPos val="t"/>
        <c:numFmt formatCode="General" sourceLinked="1"/>
        <c:majorTickMark val="out"/>
        <c:minorTickMark val="none"/>
        <c:tickLblPos val="nextTo"/>
        <c:crossAx val="1123328239"/>
        <c:crosses val="max"/>
        <c:crossBetween val="between"/>
        <c:majorUnit val="5.000000000000001E-2"/>
      </c:valAx>
      <c:catAx>
        <c:axId val="1123328239"/>
        <c:scaling>
          <c:orientation val="minMax"/>
        </c:scaling>
        <c:delete val="1"/>
        <c:axPos val="r"/>
        <c:majorTickMark val="out"/>
        <c:minorTickMark val="none"/>
        <c:tickLblPos val="nextTo"/>
        <c:crossAx val="1123343599"/>
        <c:crosses val="max"/>
        <c:auto val="1"/>
        <c:lblAlgn val="ctr"/>
        <c:lblOffset val="100"/>
        <c:noMultiLvlLbl val="0"/>
      </c:catAx>
      <c:spPr>
        <a:solidFill>
          <a:schemeClr val="bg1"/>
        </a:solidFill>
        <a:ln w="12700">
          <a:solidFill>
            <a:sysClr val="windowText" lastClr="000000"/>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CL" b="1"/>
              <a:t>Perfil de temperatura</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7.0537367039646359E-2"/>
          <c:y val="0.11593640280289877"/>
          <c:w val="0.88859858018662385"/>
          <c:h val="0.81262819571807798"/>
        </c:manualLayout>
      </c:layout>
      <c:barChart>
        <c:barDir val="bar"/>
        <c:grouping val="percentStacked"/>
        <c:varyColors val="0"/>
        <c:ser>
          <c:idx val="2"/>
          <c:order val="2"/>
          <c:tx>
            <c:strRef>
              <c:f>Cálculos!$EP$26</c:f>
              <c:strCache>
                <c:ptCount val="1"/>
                <c:pt idx="0">
                  <c:v>Capa 1: Capa 1</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Cálculos!$EQ$26</c:f>
              <c:numCache>
                <c:formatCode>General</c:formatCode>
                <c:ptCount val="1"/>
                <c:pt idx="0">
                  <c:v>0</c:v>
                </c:pt>
              </c:numCache>
            </c:numRef>
          </c:val>
          <c:extLst>
            <c:ext xmlns:c16="http://schemas.microsoft.com/office/drawing/2014/chart" uri="{C3380CC4-5D6E-409C-BE32-E72D297353CC}">
              <c16:uniqueId val="{00000000-94A8-4959-910A-0C2523DEBE2A}"/>
            </c:ext>
          </c:extLst>
        </c:ser>
        <c:ser>
          <c:idx val="3"/>
          <c:order val="3"/>
          <c:tx>
            <c:strRef>
              <c:f>Cálculos!$EP$27</c:f>
              <c:strCache>
                <c:ptCount val="1"/>
                <c:pt idx="0">
                  <c:v>Capa 2: Capa 2</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Cálculos!$EQ$27</c:f>
              <c:numCache>
                <c:formatCode>General</c:formatCode>
                <c:ptCount val="1"/>
                <c:pt idx="0">
                  <c:v>0</c:v>
                </c:pt>
              </c:numCache>
            </c:numRef>
          </c:val>
          <c:extLst>
            <c:ext xmlns:c16="http://schemas.microsoft.com/office/drawing/2014/chart" uri="{C3380CC4-5D6E-409C-BE32-E72D297353CC}">
              <c16:uniqueId val="{00000001-94A8-4959-910A-0C2523DEBE2A}"/>
            </c:ext>
          </c:extLst>
        </c:ser>
        <c:ser>
          <c:idx val="4"/>
          <c:order val="4"/>
          <c:tx>
            <c:strRef>
              <c:f>Cálculos!$EP$28</c:f>
              <c:strCache>
                <c:ptCount val="1"/>
                <c:pt idx="0">
                  <c:v>Capa 3: Capa 3</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Cálculos!$EQ$28</c:f>
              <c:numCache>
                <c:formatCode>General</c:formatCode>
                <c:ptCount val="1"/>
                <c:pt idx="0">
                  <c:v>0</c:v>
                </c:pt>
              </c:numCache>
            </c:numRef>
          </c:val>
          <c:extLst>
            <c:ext xmlns:c16="http://schemas.microsoft.com/office/drawing/2014/chart" uri="{C3380CC4-5D6E-409C-BE32-E72D297353CC}">
              <c16:uniqueId val="{00000002-94A8-4959-910A-0C2523DEBE2A}"/>
            </c:ext>
          </c:extLst>
        </c:ser>
        <c:ser>
          <c:idx val="5"/>
          <c:order val="5"/>
          <c:tx>
            <c:strRef>
              <c:f>Cálculos!$EP$29</c:f>
              <c:strCache>
                <c:ptCount val="1"/>
                <c:pt idx="0">
                  <c:v>Capa 4: Capa 4</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Cálculos!$EQ$29</c:f>
              <c:numCache>
                <c:formatCode>General</c:formatCode>
                <c:ptCount val="1"/>
                <c:pt idx="0">
                  <c:v>0</c:v>
                </c:pt>
              </c:numCache>
            </c:numRef>
          </c:val>
          <c:extLst>
            <c:ext xmlns:c16="http://schemas.microsoft.com/office/drawing/2014/chart" uri="{C3380CC4-5D6E-409C-BE32-E72D297353CC}">
              <c16:uniqueId val="{00000003-94A8-4959-910A-0C2523DEBE2A}"/>
            </c:ext>
          </c:extLst>
        </c:ser>
        <c:ser>
          <c:idx val="10"/>
          <c:order val="6"/>
          <c:tx>
            <c:strRef>
              <c:f>Cálculos!$EP$30</c:f>
              <c:strCache>
                <c:ptCount val="1"/>
                <c:pt idx="0">
                  <c:v>Capa 5: Capa 5</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Cálculos!$EQ$30</c:f>
              <c:numCache>
                <c:formatCode>General</c:formatCode>
                <c:ptCount val="1"/>
                <c:pt idx="0">
                  <c:v>0</c:v>
                </c:pt>
              </c:numCache>
            </c:numRef>
          </c:val>
          <c:extLst>
            <c:ext xmlns:c16="http://schemas.microsoft.com/office/drawing/2014/chart" uri="{C3380CC4-5D6E-409C-BE32-E72D297353CC}">
              <c16:uniqueId val="{00000006-94A8-4959-910A-0C2523DEBE2A}"/>
            </c:ext>
          </c:extLst>
        </c:ser>
        <c:ser>
          <c:idx val="11"/>
          <c:order val="7"/>
          <c:tx>
            <c:strRef>
              <c:f>Cálculos!$EP$31</c:f>
              <c:strCache>
                <c:ptCount val="1"/>
                <c:pt idx="0">
                  <c:v>Capa 6: Capa 6</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Cálculos!$EQ$31</c:f>
              <c:numCache>
                <c:formatCode>General</c:formatCode>
                <c:ptCount val="1"/>
                <c:pt idx="0">
                  <c:v>0</c:v>
                </c:pt>
              </c:numCache>
            </c:numRef>
          </c:val>
          <c:extLst>
            <c:ext xmlns:c16="http://schemas.microsoft.com/office/drawing/2014/chart" uri="{C3380CC4-5D6E-409C-BE32-E72D297353CC}">
              <c16:uniqueId val="{00000007-94A8-4959-910A-0C2523DEBE2A}"/>
            </c:ext>
          </c:extLst>
        </c:ser>
        <c:ser>
          <c:idx val="12"/>
          <c:order val="8"/>
          <c:tx>
            <c:strRef>
              <c:f>Cálculos!$EP$32</c:f>
              <c:strCache>
                <c:ptCount val="1"/>
                <c:pt idx="0">
                  <c:v>Capa 7: Capa 7</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Cálculos!$EQ$32</c:f>
              <c:numCache>
                <c:formatCode>General</c:formatCode>
                <c:ptCount val="1"/>
                <c:pt idx="0">
                  <c:v>0</c:v>
                </c:pt>
              </c:numCache>
            </c:numRef>
          </c:val>
          <c:extLst>
            <c:ext xmlns:c16="http://schemas.microsoft.com/office/drawing/2014/chart" uri="{C3380CC4-5D6E-409C-BE32-E72D297353CC}">
              <c16:uniqueId val="{00000008-94A8-4959-910A-0C2523DEBE2A}"/>
            </c:ext>
          </c:extLst>
        </c:ser>
        <c:ser>
          <c:idx val="13"/>
          <c:order val="9"/>
          <c:tx>
            <c:strRef>
              <c:f>Cálculos!$EP$33</c:f>
              <c:strCache>
                <c:ptCount val="1"/>
                <c:pt idx="0">
                  <c:v>Capa 8: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Cálculos!$EQ$33</c:f>
              <c:numCache>
                <c:formatCode>General</c:formatCode>
                <c:ptCount val="1"/>
                <c:pt idx="0">
                  <c:v>#N/A</c:v>
                </c:pt>
              </c:numCache>
            </c:numRef>
          </c:val>
          <c:extLst>
            <c:ext xmlns:c16="http://schemas.microsoft.com/office/drawing/2014/chart" uri="{C3380CC4-5D6E-409C-BE32-E72D297353CC}">
              <c16:uniqueId val="{00000009-94A8-4959-910A-0C2523DEBE2A}"/>
            </c:ext>
          </c:extLst>
        </c:ser>
        <c:ser>
          <c:idx val="14"/>
          <c:order val="10"/>
          <c:tx>
            <c:strRef>
              <c:f>Cálculos!$EP$34</c:f>
              <c:strCache>
                <c:ptCount val="1"/>
                <c:pt idx="0">
                  <c:v>Capa 9: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Cálculos!$EQ$34</c:f>
              <c:numCache>
                <c:formatCode>General</c:formatCode>
                <c:ptCount val="1"/>
                <c:pt idx="0">
                  <c:v>#N/A</c:v>
                </c:pt>
              </c:numCache>
            </c:numRef>
          </c:val>
          <c:extLst>
            <c:ext xmlns:c16="http://schemas.microsoft.com/office/drawing/2014/chart" uri="{C3380CC4-5D6E-409C-BE32-E72D297353CC}">
              <c16:uniqueId val="{0000000A-94A8-4959-910A-0C2523DEBE2A}"/>
            </c:ext>
          </c:extLst>
        </c:ser>
        <c:ser>
          <c:idx val="15"/>
          <c:order val="11"/>
          <c:tx>
            <c:strRef>
              <c:f>Cálculos!$EP$35</c:f>
              <c:strCache>
                <c:ptCount val="1"/>
                <c:pt idx="0">
                  <c:v>Capa 10: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Cálculos!$EQ$35</c:f>
              <c:numCache>
                <c:formatCode>General</c:formatCode>
                <c:ptCount val="1"/>
                <c:pt idx="0">
                  <c:v>#N/A</c:v>
                </c:pt>
              </c:numCache>
            </c:numRef>
          </c:val>
          <c:extLst>
            <c:ext xmlns:c16="http://schemas.microsoft.com/office/drawing/2014/chart" uri="{C3380CC4-5D6E-409C-BE32-E72D297353CC}">
              <c16:uniqueId val="{0000000B-94A8-4959-910A-0C2523DEBE2A}"/>
            </c:ext>
          </c:extLst>
        </c:ser>
        <c:ser>
          <c:idx val="16"/>
          <c:order val="12"/>
          <c:tx>
            <c:strRef>
              <c:f>Cálculos!$EP$36</c:f>
              <c:strCache>
                <c:ptCount val="1"/>
                <c:pt idx="0">
                  <c:v>Capa 11: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Cálculos!$EQ$36</c:f>
              <c:numCache>
                <c:formatCode>General</c:formatCode>
                <c:ptCount val="1"/>
                <c:pt idx="0">
                  <c:v>#N/A</c:v>
                </c:pt>
              </c:numCache>
            </c:numRef>
          </c:val>
          <c:extLst>
            <c:ext xmlns:c16="http://schemas.microsoft.com/office/drawing/2014/chart" uri="{C3380CC4-5D6E-409C-BE32-E72D297353CC}">
              <c16:uniqueId val="{0000000C-94A8-4959-910A-0C2523DEBE2A}"/>
            </c:ext>
          </c:extLst>
        </c:ser>
        <c:ser>
          <c:idx val="17"/>
          <c:order val="13"/>
          <c:tx>
            <c:strRef>
              <c:f>Cálculos!$EP$37</c:f>
              <c:strCache>
                <c:ptCount val="1"/>
                <c:pt idx="0">
                  <c:v>Capa 12: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Cálculos!$EQ$37</c:f>
              <c:numCache>
                <c:formatCode>General</c:formatCode>
                <c:ptCount val="1"/>
                <c:pt idx="0">
                  <c:v>#N/A</c:v>
                </c:pt>
              </c:numCache>
            </c:numRef>
          </c:val>
          <c:extLst>
            <c:ext xmlns:c16="http://schemas.microsoft.com/office/drawing/2014/chart" uri="{C3380CC4-5D6E-409C-BE32-E72D297353CC}">
              <c16:uniqueId val="{0000000D-94A8-4959-910A-0C2523DEBE2A}"/>
            </c:ext>
          </c:extLst>
        </c:ser>
        <c:ser>
          <c:idx val="18"/>
          <c:order val="14"/>
          <c:tx>
            <c:strRef>
              <c:f>Cálculos!$EP$38</c:f>
              <c:strCache>
                <c:ptCount val="1"/>
                <c:pt idx="0">
                  <c:v>Capa 13: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Cálculos!$EQ$38</c:f>
              <c:numCache>
                <c:formatCode>General</c:formatCode>
                <c:ptCount val="1"/>
                <c:pt idx="0">
                  <c:v>#N/A</c:v>
                </c:pt>
              </c:numCache>
            </c:numRef>
          </c:val>
          <c:extLst>
            <c:ext xmlns:c16="http://schemas.microsoft.com/office/drawing/2014/chart" uri="{C3380CC4-5D6E-409C-BE32-E72D297353CC}">
              <c16:uniqueId val="{0000000E-94A8-4959-910A-0C2523DEBE2A}"/>
            </c:ext>
          </c:extLst>
        </c:ser>
        <c:ser>
          <c:idx val="19"/>
          <c:order val="15"/>
          <c:tx>
            <c:strRef>
              <c:f>Cálculos!$EP$39</c:f>
              <c:strCache>
                <c:ptCount val="1"/>
                <c:pt idx="0">
                  <c:v>Capa 14: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Cálculos!$EQ$39</c:f>
              <c:numCache>
                <c:formatCode>General</c:formatCode>
                <c:ptCount val="1"/>
                <c:pt idx="0">
                  <c:v>#N/A</c:v>
                </c:pt>
              </c:numCache>
            </c:numRef>
          </c:val>
          <c:extLst>
            <c:ext xmlns:c16="http://schemas.microsoft.com/office/drawing/2014/chart" uri="{C3380CC4-5D6E-409C-BE32-E72D297353CC}">
              <c16:uniqueId val="{0000000F-94A8-4959-910A-0C2523DEBE2A}"/>
            </c:ext>
          </c:extLst>
        </c:ser>
        <c:ser>
          <c:idx val="20"/>
          <c:order val="16"/>
          <c:tx>
            <c:strRef>
              <c:f>Cálculos!$EP$40</c:f>
              <c:strCache>
                <c:ptCount val="1"/>
                <c:pt idx="0">
                  <c:v>Capa 15: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Cálculos!$EQ$40</c:f>
              <c:numCache>
                <c:formatCode>General</c:formatCode>
                <c:ptCount val="1"/>
                <c:pt idx="0">
                  <c:v>#N/A</c:v>
                </c:pt>
              </c:numCache>
            </c:numRef>
          </c:val>
          <c:extLst>
            <c:ext xmlns:c16="http://schemas.microsoft.com/office/drawing/2014/chart" uri="{C3380CC4-5D6E-409C-BE32-E72D297353CC}">
              <c16:uniqueId val="{00000010-94A8-4959-910A-0C2523DEBE2A}"/>
            </c:ext>
          </c:extLst>
        </c:ser>
        <c:ser>
          <c:idx val="21"/>
          <c:order val="17"/>
          <c:tx>
            <c:strRef>
              <c:f>Cálculos!$EP$41</c:f>
              <c:strCache>
                <c:ptCount val="1"/>
                <c:pt idx="0">
                  <c:v>Capa 16: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Cálculos!$EQ$41</c:f>
              <c:numCache>
                <c:formatCode>General</c:formatCode>
                <c:ptCount val="1"/>
                <c:pt idx="0">
                  <c:v>#N/A</c:v>
                </c:pt>
              </c:numCache>
            </c:numRef>
          </c:val>
          <c:extLst>
            <c:ext xmlns:c16="http://schemas.microsoft.com/office/drawing/2014/chart" uri="{C3380CC4-5D6E-409C-BE32-E72D297353CC}">
              <c16:uniqueId val="{00000011-94A8-4959-910A-0C2523DEBE2A}"/>
            </c:ext>
          </c:extLst>
        </c:ser>
        <c:ser>
          <c:idx val="22"/>
          <c:order val="18"/>
          <c:tx>
            <c:strRef>
              <c:f>Cálculos!$EP$42</c:f>
              <c:strCache>
                <c:ptCount val="1"/>
                <c:pt idx="0">
                  <c:v>Capa 17: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Cálculos!$EQ$42</c:f>
              <c:numCache>
                <c:formatCode>General</c:formatCode>
                <c:ptCount val="1"/>
                <c:pt idx="0">
                  <c:v>#N/A</c:v>
                </c:pt>
              </c:numCache>
            </c:numRef>
          </c:val>
          <c:extLst>
            <c:ext xmlns:c16="http://schemas.microsoft.com/office/drawing/2014/chart" uri="{C3380CC4-5D6E-409C-BE32-E72D297353CC}">
              <c16:uniqueId val="{00000012-94A8-4959-910A-0C2523DEBE2A}"/>
            </c:ext>
          </c:extLst>
        </c:ser>
        <c:ser>
          <c:idx val="23"/>
          <c:order val="19"/>
          <c:tx>
            <c:strRef>
              <c:f>Cálculos!$EP$43</c:f>
              <c:strCache>
                <c:ptCount val="1"/>
                <c:pt idx="0">
                  <c:v>Capa 18: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Cálculos!$EQ$43</c:f>
              <c:numCache>
                <c:formatCode>General</c:formatCode>
                <c:ptCount val="1"/>
                <c:pt idx="0">
                  <c:v>#N/A</c:v>
                </c:pt>
              </c:numCache>
            </c:numRef>
          </c:val>
          <c:extLst>
            <c:ext xmlns:c16="http://schemas.microsoft.com/office/drawing/2014/chart" uri="{C3380CC4-5D6E-409C-BE32-E72D297353CC}">
              <c16:uniqueId val="{00000013-94A8-4959-910A-0C2523DEBE2A}"/>
            </c:ext>
          </c:extLst>
        </c:ser>
        <c:ser>
          <c:idx val="24"/>
          <c:order val="20"/>
          <c:tx>
            <c:strRef>
              <c:f>Cálculos!$EP$44</c:f>
              <c:strCache>
                <c:ptCount val="1"/>
                <c:pt idx="0">
                  <c:v>Capa 19: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Cálculos!$EQ$44</c:f>
              <c:numCache>
                <c:formatCode>General</c:formatCode>
                <c:ptCount val="1"/>
                <c:pt idx="0">
                  <c:v>#N/A</c:v>
                </c:pt>
              </c:numCache>
            </c:numRef>
          </c:val>
          <c:extLst>
            <c:ext xmlns:c16="http://schemas.microsoft.com/office/drawing/2014/chart" uri="{C3380CC4-5D6E-409C-BE32-E72D297353CC}">
              <c16:uniqueId val="{00000014-94A8-4959-910A-0C2523DEBE2A}"/>
            </c:ext>
          </c:extLst>
        </c:ser>
        <c:ser>
          <c:idx val="25"/>
          <c:order val="21"/>
          <c:tx>
            <c:strRef>
              <c:f>Cálculos!$EP$45</c:f>
              <c:strCache>
                <c:ptCount val="1"/>
                <c:pt idx="0">
                  <c:v>Capa 20: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Cálculos!$EQ$45</c:f>
              <c:numCache>
                <c:formatCode>General</c:formatCode>
                <c:ptCount val="1"/>
                <c:pt idx="0">
                  <c:v>#N/A</c:v>
                </c:pt>
              </c:numCache>
            </c:numRef>
          </c:val>
          <c:extLst>
            <c:ext xmlns:c16="http://schemas.microsoft.com/office/drawing/2014/chart" uri="{C3380CC4-5D6E-409C-BE32-E72D297353CC}">
              <c16:uniqueId val="{00000015-94A8-4959-910A-0C2523DEBE2A}"/>
            </c:ext>
          </c:extLst>
        </c:ser>
        <c:dLbls>
          <c:showLegendKey val="0"/>
          <c:showVal val="0"/>
          <c:showCatName val="0"/>
          <c:showSerName val="0"/>
          <c:showPercent val="0"/>
          <c:showBubbleSize val="0"/>
        </c:dLbls>
        <c:gapWidth val="0"/>
        <c:overlap val="100"/>
        <c:axId val="1123328239"/>
        <c:axId val="1123343599"/>
      </c:barChart>
      <c:scatterChart>
        <c:scatterStyle val="smoothMarker"/>
        <c:varyColors val="0"/>
        <c:ser>
          <c:idx val="0"/>
          <c:order val="0"/>
          <c:tx>
            <c:strRef>
              <c:f>Cálculos!$EU$24</c:f>
              <c:strCache>
                <c:ptCount val="1"/>
                <c:pt idx="0">
                  <c:v>ϴn rocío</c:v>
                </c:pt>
              </c:strCache>
            </c:strRef>
          </c:tx>
          <c:spPr>
            <a:ln w="28575" cap="rnd">
              <a:solidFill>
                <a:sysClr val="windowText" lastClr="000000"/>
              </a:solidFill>
              <a:round/>
            </a:ln>
            <a:effectLst/>
          </c:spPr>
          <c:marker>
            <c:symbol val="circle"/>
            <c:size val="5"/>
            <c:spPr>
              <a:noFill/>
              <a:ln w="9525">
                <a:solidFill>
                  <a:sysClr val="windowText" lastClr="000000"/>
                </a:solidFill>
              </a:ln>
              <a:effectLst/>
            </c:spPr>
          </c:marker>
          <c:xVal>
            <c:numRef>
              <c:f>Cálculos!$ES$25:$ES$45</c:f>
              <c:numCache>
                <c:formatCode>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Cálculos!$EU$25:$EU$45</c:f>
              <c:numCache>
                <c:formatCode>0.0</c:formatCode>
                <c:ptCount val="21"/>
                <c:pt idx="0">
                  <c:v>2.7651282592554716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0"/>
          <c:extLst xmlns:c15="http://schemas.microsoft.com/office/drawing/2012/chart">
            <c:ext xmlns:c16="http://schemas.microsoft.com/office/drawing/2014/chart" uri="{C3380CC4-5D6E-409C-BE32-E72D297353CC}">
              <c16:uniqueId val="{00000016-94A8-4959-910A-0C2523DEBE2A}"/>
            </c:ext>
          </c:extLst>
        </c:ser>
        <c:ser>
          <c:idx val="1"/>
          <c:order val="1"/>
          <c:tx>
            <c:strRef>
              <c:f>Cálculos!$ET$24</c:f>
              <c:strCache>
                <c:ptCount val="1"/>
                <c:pt idx="0">
                  <c:v>ϴn</c:v>
                </c:pt>
              </c:strCache>
            </c:strRef>
          </c:tx>
          <c:spPr>
            <a:ln w="28575" cap="rnd">
              <a:solidFill>
                <a:srgbClr val="C00000"/>
              </a:solidFill>
              <a:prstDash val="sysDot"/>
              <a:round/>
            </a:ln>
            <a:effectLst/>
          </c:spPr>
          <c:marker>
            <c:symbol val="circle"/>
            <c:size val="5"/>
            <c:spPr>
              <a:noFill/>
              <a:ln w="9525">
                <a:solidFill>
                  <a:srgbClr val="C00000"/>
                </a:solidFill>
                <a:prstDash val="sysDot"/>
              </a:ln>
              <a:effectLst/>
            </c:spPr>
          </c:marker>
          <c:dLbls>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Cálculos!$ES$25:$ES$45</c:f>
              <c:numCache>
                <c:formatCode>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Cálculos!$ET$25:$ET$45</c:f>
              <c:numCache>
                <c:formatCode>General</c:formatCode>
                <c:ptCount val="21"/>
                <c:pt idx="0">
                  <c:v>7.1470588235294112</c:v>
                </c:pt>
                <c:pt idx="1">
                  <c:v>7.1470588235294112</c:v>
                </c:pt>
                <c:pt idx="2">
                  <c:v>7.1470588235294112</c:v>
                </c:pt>
                <c:pt idx="3">
                  <c:v>7.1470588235294112</c:v>
                </c:pt>
                <c:pt idx="4">
                  <c:v>7.1470588235294112</c:v>
                </c:pt>
                <c:pt idx="5">
                  <c:v>7.1470588235294112</c:v>
                </c:pt>
                <c:pt idx="6">
                  <c:v>7.1470588235294112</c:v>
                </c:pt>
                <c:pt idx="7">
                  <c:v>7.1470588235294112</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0"/>
          <c:extLst>
            <c:ext xmlns:c16="http://schemas.microsoft.com/office/drawing/2014/chart" uri="{C3380CC4-5D6E-409C-BE32-E72D297353CC}">
              <c16:uniqueId val="{00000017-94A8-4959-910A-0C2523DEBE2A}"/>
            </c:ext>
          </c:extLst>
        </c:ser>
        <c:ser>
          <c:idx val="32"/>
          <c:order val="22"/>
          <c:tx>
            <c:v>Interfaces</c:v>
          </c:tx>
          <c:spPr>
            <a:ln w="28575" cap="rnd">
              <a:noFill/>
              <a:round/>
            </a:ln>
            <a:effectLst/>
          </c:spPr>
          <c:marker>
            <c:symbol val="x"/>
            <c:size val="10"/>
            <c:spPr>
              <a:noFill/>
              <a:ln w="9525">
                <a:solidFill>
                  <a:srgbClr val="FF0000"/>
                </a:solidFill>
              </a:ln>
              <a:effectLst/>
            </c:spPr>
          </c:marker>
          <c:xVal>
            <c:numRef>
              <c:f>Cálculos!$ES$25:$ES$45</c:f>
              <c:numCache>
                <c:formatCode>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Cálculos!$FC$25:$FC$45</c:f>
              <c:numCache>
                <c:formatCode>0.0</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1"/>
          <c:extLst>
            <c:ext xmlns:c16="http://schemas.microsoft.com/office/drawing/2014/chart" uri="{C3380CC4-5D6E-409C-BE32-E72D297353CC}">
              <c16:uniqueId val="{00000018-94A8-4959-910A-0C2523DEBE2A}"/>
            </c:ext>
          </c:extLst>
        </c:ser>
        <c:dLbls>
          <c:showLegendKey val="0"/>
          <c:showVal val="0"/>
          <c:showCatName val="0"/>
          <c:showSerName val="0"/>
          <c:showPercent val="0"/>
          <c:showBubbleSize val="0"/>
        </c:dLbls>
        <c:axId val="1505139663"/>
        <c:axId val="1505148303"/>
        <c:extLst/>
      </c:scatterChart>
      <c:valAx>
        <c:axId val="1505139663"/>
        <c:scaling>
          <c:orientation val="minMax"/>
          <c:max val="1"/>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Espesor, d, [m]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0%" sourceLinked="1"/>
        <c:majorTickMark val="out"/>
        <c:minorTickMark val="none"/>
        <c:tickLblPos val="nextTo"/>
        <c:crossAx val="1505148303"/>
        <c:crosses val="autoZero"/>
        <c:crossBetween val="midCat"/>
      </c:valAx>
      <c:valAx>
        <c:axId val="1505148303"/>
        <c:scaling>
          <c:orientation val="minMax"/>
          <c:max val="30"/>
        </c:scaling>
        <c:delete val="1"/>
        <c:axPos val="l"/>
        <c:numFmt formatCode="0.0" sourceLinked="1"/>
        <c:majorTickMark val="out"/>
        <c:minorTickMark val="none"/>
        <c:tickLblPos val="nextTo"/>
        <c:crossAx val="1505139663"/>
        <c:crosses val="autoZero"/>
        <c:crossBetween val="midCat"/>
      </c:valAx>
      <c:valAx>
        <c:axId val="1123343599"/>
        <c:scaling>
          <c:orientation val="minMax"/>
        </c:scaling>
        <c:delete val="1"/>
        <c:axPos val="t"/>
        <c:numFmt formatCode="0%" sourceLinked="1"/>
        <c:majorTickMark val="out"/>
        <c:minorTickMark val="none"/>
        <c:tickLblPos val="nextTo"/>
        <c:crossAx val="1123328239"/>
        <c:crosses val="max"/>
        <c:crossBetween val="between"/>
        <c:majorUnit val="5.000000000000001E-2"/>
      </c:valAx>
      <c:catAx>
        <c:axId val="1123328239"/>
        <c:scaling>
          <c:orientation val="minMax"/>
        </c:scaling>
        <c:delete val="1"/>
        <c:axPos val="r"/>
        <c:majorTickMark val="out"/>
        <c:minorTickMark val="none"/>
        <c:tickLblPos val="nextTo"/>
        <c:crossAx val="1123343599"/>
        <c:crosses val="max"/>
        <c:auto val="1"/>
        <c:lblAlgn val="ctr"/>
        <c:lblOffset val="100"/>
        <c:noMultiLvlLbl val="0"/>
      </c:catAx>
      <c:dTable>
        <c:showHorzBorder val="1"/>
        <c:showVertBorder val="1"/>
        <c:showOutline val="1"/>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dTable>
      <c:spPr>
        <a:solidFill>
          <a:schemeClr val="bg1"/>
        </a:solidFill>
        <a:ln w="12700">
          <a:solidFill>
            <a:sysClr val="windowText" lastClr="000000"/>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537367039646359E-2"/>
          <c:y val="4.7520298800923989E-2"/>
          <c:w val="0.91191876187890308"/>
          <c:h val="0.89814814814814814"/>
        </c:manualLayout>
      </c:layout>
      <c:barChart>
        <c:barDir val="bar"/>
        <c:grouping val="stacked"/>
        <c:varyColors val="0"/>
        <c:ser>
          <c:idx val="2"/>
          <c:order val="2"/>
          <c:tx>
            <c:strRef>
              <c:f>Cálculos!$EP$26</c:f>
              <c:strCache>
                <c:ptCount val="1"/>
                <c:pt idx="0">
                  <c:v>Capa 1: Capa 1</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Cálculos!$EV$26</c:f>
              <c:numCache>
                <c:formatCode>General</c:formatCode>
                <c:ptCount val="1"/>
                <c:pt idx="0">
                  <c:v>0</c:v>
                </c:pt>
              </c:numCache>
            </c:numRef>
          </c:val>
          <c:extLst>
            <c:ext xmlns:c16="http://schemas.microsoft.com/office/drawing/2014/chart" uri="{C3380CC4-5D6E-409C-BE32-E72D297353CC}">
              <c16:uniqueId val="{00000001-B2AF-48BE-82CF-734C6B628EE0}"/>
            </c:ext>
          </c:extLst>
        </c:ser>
        <c:ser>
          <c:idx val="3"/>
          <c:order val="3"/>
          <c:tx>
            <c:strRef>
              <c:f>Cálculos!$EP$27</c:f>
              <c:strCache>
                <c:ptCount val="1"/>
                <c:pt idx="0">
                  <c:v>Capa 2: Capa 2</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Cálculos!$EV$27</c:f>
              <c:numCache>
                <c:formatCode>General</c:formatCode>
                <c:ptCount val="1"/>
                <c:pt idx="0">
                  <c:v>0</c:v>
                </c:pt>
              </c:numCache>
            </c:numRef>
          </c:val>
          <c:extLst>
            <c:ext xmlns:c16="http://schemas.microsoft.com/office/drawing/2014/chart" uri="{C3380CC4-5D6E-409C-BE32-E72D297353CC}">
              <c16:uniqueId val="{00000002-B2AF-48BE-82CF-734C6B628EE0}"/>
            </c:ext>
          </c:extLst>
        </c:ser>
        <c:ser>
          <c:idx val="4"/>
          <c:order val="4"/>
          <c:tx>
            <c:strRef>
              <c:f>Cálculos!$EP$28</c:f>
              <c:strCache>
                <c:ptCount val="1"/>
                <c:pt idx="0">
                  <c:v>Capa 3: Capa 3</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Cálculos!$EV$28</c:f>
              <c:numCache>
                <c:formatCode>General</c:formatCode>
                <c:ptCount val="1"/>
                <c:pt idx="0">
                  <c:v>0</c:v>
                </c:pt>
              </c:numCache>
            </c:numRef>
          </c:val>
          <c:extLst>
            <c:ext xmlns:c16="http://schemas.microsoft.com/office/drawing/2014/chart" uri="{C3380CC4-5D6E-409C-BE32-E72D297353CC}">
              <c16:uniqueId val="{00000003-B2AF-48BE-82CF-734C6B628EE0}"/>
            </c:ext>
          </c:extLst>
        </c:ser>
        <c:ser>
          <c:idx val="5"/>
          <c:order val="5"/>
          <c:tx>
            <c:strRef>
              <c:f>Cálculos!$EP$29</c:f>
              <c:strCache>
                <c:ptCount val="1"/>
                <c:pt idx="0">
                  <c:v>Capa 4: Capa 4</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Cálculos!$EV$29</c:f>
              <c:numCache>
                <c:formatCode>General</c:formatCode>
                <c:ptCount val="1"/>
                <c:pt idx="0">
                  <c:v>0</c:v>
                </c:pt>
              </c:numCache>
            </c:numRef>
          </c:val>
          <c:extLst>
            <c:ext xmlns:c16="http://schemas.microsoft.com/office/drawing/2014/chart" uri="{C3380CC4-5D6E-409C-BE32-E72D297353CC}">
              <c16:uniqueId val="{00000004-B2AF-48BE-82CF-734C6B628EE0}"/>
            </c:ext>
          </c:extLst>
        </c:ser>
        <c:ser>
          <c:idx val="10"/>
          <c:order val="6"/>
          <c:tx>
            <c:strRef>
              <c:f>Cálculos!$EP$30</c:f>
              <c:strCache>
                <c:ptCount val="1"/>
                <c:pt idx="0">
                  <c:v>Capa 5: Capa 5</c:v>
                </c:pt>
              </c:strCache>
            </c:strRef>
          </c:tx>
          <c:spPr>
            <a:solidFill>
              <a:schemeClr val="accent5">
                <a:lumMod val="60000"/>
              </a:schemeClr>
            </a:solidFill>
            <a:ln>
              <a:noFill/>
            </a:ln>
            <a:effectLst/>
          </c:spPr>
          <c:invertIfNegative val="0"/>
          <c:dPt>
            <c:idx val="0"/>
            <c:invertIfNegative val="0"/>
            <c:bubble3D val="0"/>
            <c:spPr>
              <a:solidFill>
                <a:schemeClr val="lt1"/>
              </a:solidFill>
              <a:ln w="12700" cap="flat" cmpd="sng" algn="ctr">
                <a:solidFill>
                  <a:schemeClr val="dk1"/>
                </a:solidFill>
                <a:prstDash val="solid"/>
                <a:miter lim="800000"/>
              </a:ln>
              <a:effectLst/>
            </c:spPr>
            <c:extLst>
              <c:ext xmlns:c16="http://schemas.microsoft.com/office/drawing/2014/chart" uri="{C3380CC4-5D6E-409C-BE32-E72D297353CC}">
                <c16:uniqueId val="{00000010-B2AF-48BE-82CF-734C6B628EE0}"/>
              </c:ext>
            </c:extLst>
          </c:dPt>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Cálculos!$EV$30</c:f>
              <c:numCache>
                <c:formatCode>General</c:formatCode>
                <c:ptCount val="1"/>
                <c:pt idx="0">
                  <c:v>0</c:v>
                </c:pt>
              </c:numCache>
            </c:numRef>
          </c:val>
          <c:extLst>
            <c:ext xmlns:c16="http://schemas.microsoft.com/office/drawing/2014/chart" uri="{C3380CC4-5D6E-409C-BE32-E72D297353CC}">
              <c16:uniqueId val="{0000000A-B2AF-48BE-82CF-734C6B628EE0}"/>
            </c:ext>
          </c:extLst>
        </c:ser>
        <c:ser>
          <c:idx val="11"/>
          <c:order val="7"/>
          <c:tx>
            <c:strRef>
              <c:f>Cálculos!$EP$31</c:f>
              <c:strCache>
                <c:ptCount val="1"/>
                <c:pt idx="0">
                  <c:v>Capa 6: Capa 6</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Cálculos!$EV$31</c:f>
              <c:numCache>
                <c:formatCode>General</c:formatCode>
                <c:ptCount val="1"/>
                <c:pt idx="0">
                  <c:v>0</c:v>
                </c:pt>
              </c:numCache>
            </c:numRef>
          </c:val>
          <c:extLst>
            <c:ext xmlns:c16="http://schemas.microsoft.com/office/drawing/2014/chart" uri="{C3380CC4-5D6E-409C-BE32-E72D297353CC}">
              <c16:uniqueId val="{0000000B-B2AF-48BE-82CF-734C6B628EE0}"/>
            </c:ext>
          </c:extLst>
        </c:ser>
        <c:ser>
          <c:idx val="12"/>
          <c:order val="8"/>
          <c:tx>
            <c:strRef>
              <c:f>Cálculos!$EP$32</c:f>
              <c:strCache>
                <c:ptCount val="1"/>
                <c:pt idx="0">
                  <c:v>Capa 7: Capa 7</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Cálculos!$EV$32</c:f>
              <c:numCache>
                <c:formatCode>General</c:formatCode>
                <c:ptCount val="1"/>
                <c:pt idx="0">
                  <c:v>0</c:v>
                </c:pt>
              </c:numCache>
            </c:numRef>
          </c:val>
          <c:extLst>
            <c:ext xmlns:c16="http://schemas.microsoft.com/office/drawing/2014/chart" uri="{C3380CC4-5D6E-409C-BE32-E72D297353CC}">
              <c16:uniqueId val="{0000000C-B2AF-48BE-82CF-734C6B628EE0}"/>
            </c:ext>
          </c:extLst>
        </c:ser>
        <c:ser>
          <c:idx val="13"/>
          <c:order val="9"/>
          <c:tx>
            <c:strRef>
              <c:f>Cálculos!$EP$33</c:f>
              <c:strCache>
                <c:ptCount val="1"/>
                <c:pt idx="0">
                  <c:v>Capa 8: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Cálculos!$EV$33</c:f>
              <c:numCache>
                <c:formatCode>General</c:formatCode>
                <c:ptCount val="1"/>
                <c:pt idx="0">
                  <c:v>#N/A</c:v>
                </c:pt>
              </c:numCache>
            </c:numRef>
          </c:val>
          <c:extLst>
            <c:ext xmlns:c16="http://schemas.microsoft.com/office/drawing/2014/chart" uri="{C3380CC4-5D6E-409C-BE32-E72D297353CC}">
              <c16:uniqueId val="{0000000D-B2AF-48BE-82CF-734C6B628EE0}"/>
            </c:ext>
          </c:extLst>
        </c:ser>
        <c:ser>
          <c:idx val="14"/>
          <c:order val="10"/>
          <c:tx>
            <c:strRef>
              <c:f>Cálculos!$EP$34</c:f>
              <c:strCache>
                <c:ptCount val="1"/>
                <c:pt idx="0">
                  <c:v>Capa 9: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Cálculos!$EV$34</c:f>
              <c:numCache>
                <c:formatCode>General</c:formatCode>
                <c:ptCount val="1"/>
                <c:pt idx="0">
                  <c:v>#N/A</c:v>
                </c:pt>
              </c:numCache>
            </c:numRef>
          </c:val>
          <c:extLst>
            <c:ext xmlns:c16="http://schemas.microsoft.com/office/drawing/2014/chart" uri="{C3380CC4-5D6E-409C-BE32-E72D297353CC}">
              <c16:uniqueId val="{0000000E-B2AF-48BE-82CF-734C6B628EE0}"/>
            </c:ext>
          </c:extLst>
        </c:ser>
        <c:ser>
          <c:idx val="15"/>
          <c:order val="11"/>
          <c:tx>
            <c:strRef>
              <c:f>Cálculos!$EP$35</c:f>
              <c:strCache>
                <c:ptCount val="1"/>
                <c:pt idx="0">
                  <c:v>Capa 10: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Cálculos!$EV$35</c:f>
              <c:numCache>
                <c:formatCode>General</c:formatCode>
                <c:ptCount val="1"/>
                <c:pt idx="0">
                  <c:v>#N/A</c:v>
                </c:pt>
              </c:numCache>
            </c:numRef>
          </c:val>
          <c:extLst>
            <c:ext xmlns:c16="http://schemas.microsoft.com/office/drawing/2014/chart" uri="{C3380CC4-5D6E-409C-BE32-E72D297353CC}">
              <c16:uniqueId val="{0000000F-B2AF-48BE-82CF-734C6B628EE0}"/>
            </c:ext>
          </c:extLst>
        </c:ser>
        <c:ser>
          <c:idx val="16"/>
          <c:order val="12"/>
          <c:tx>
            <c:strRef>
              <c:f>Cálculos!$EP$36</c:f>
              <c:strCache>
                <c:ptCount val="1"/>
                <c:pt idx="0">
                  <c:v>Capa 11: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Cálculos!$EV$36</c:f>
              <c:numCache>
                <c:formatCode>General</c:formatCode>
                <c:ptCount val="1"/>
                <c:pt idx="0">
                  <c:v>#N/A</c:v>
                </c:pt>
              </c:numCache>
            </c:numRef>
          </c:val>
          <c:extLst>
            <c:ext xmlns:c16="http://schemas.microsoft.com/office/drawing/2014/chart" uri="{C3380CC4-5D6E-409C-BE32-E72D297353CC}">
              <c16:uniqueId val="{00000012-B2AF-48BE-82CF-734C6B628EE0}"/>
            </c:ext>
          </c:extLst>
        </c:ser>
        <c:ser>
          <c:idx val="17"/>
          <c:order val="13"/>
          <c:tx>
            <c:strRef>
              <c:f>Cálculos!$EP$37</c:f>
              <c:strCache>
                <c:ptCount val="1"/>
                <c:pt idx="0">
                  <c:v>Capa 12: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Cálculos!$EV$37</c:f>
              <c:numCache>
                <c:formatCode>General</c:formatCode>
                <c:ptCount val="1"/>
                <c:pt idx="0">
                  <c:v>#N/A</c:v>
                </c:pt>
              </c:numCache>
            </c:numRef>
          </c:val>
          <c:extLst>
            <c:ext xmlns:c16="http://schemas.microsoft.com/office/drawing/2014/chart" uri="{C3380CC4-5D6E-409C-BE32-E72D297353CC}">
              <c16:uniqueId val="{00000013-B2AF-48BE-82CF-734C6B628EE0}"/>
            </c:ext>
          </c:extLst>
        </c:ser>
        <c:ser>
          <c:idx val="18"/>
          <c:order val="14"/>
          <c:tx>
            <c:strRef>
              <c:f>Cálculos!$EP$38</c:f>
              <c:strCache>
                <c:ptCount val="1"/>
                <c:pt idx="0">
                  <c:v>Capa 13: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Cálculos!$EV$38</c:f>
              <c:numCache>
                <c:formatCode>General</c:formatCode>
                <c:ptCount val="1"/>
                <c:pt idx="0">
                  <c:v>#N/A</c:v>
                </c:pt>
              </c:numCache>
            </c:numRef>
          </c:val>
          <c:extLst>
            <c:ext xmlns:c16="http://schemas.microsoft.com/office/drawing/2014/chart" uri="{C3380CC4-5D6E-409C-BE32-E72D297353CC}">
              <c16:uniqueId val="{00000014-B2AF-48BE-82CF-734C6B628EE0}"/>
            </c:ext>
          </c:extLst>
        </c:ser>
        <c:ser>
          <c:idx val="19"/>
          <c:order val="15"/>
          <c:tx>
            <c:strRef>
              <c:f>Cálculos!$EP$39</c:f>
              <c:strCache>
                <c:ptCount val="1"/>
                <c:pt idx="0">
                  <c:v>Capa 14: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Cálculos!$EV$39</c:f>
              <c:numCache>
                <c:formatCode>General</c:formatCode>
                <c:ptCount val="1"/>
                <c:pt idx="0">
                  <c:v>#N/A</c:v>
                </c:pt>
              </c:numCache>
            </c:numRef>
          </c:val>
          <c:extLst>
            <c:ext xmlns:c16="http://schemas.microsoft.com/office/drawing/2014/chart" uri="{C3380CC4-5D6E-409C-BE32-E72D297353CC}">
              <c16:uniqueId val="{00000015-B2AF-48BE-82CF-734C6B628EE0}"/>
            </c:ext>
          </c:extLst>
        </c:ser>
        <c:ser>
          <c:idx val="20"/>
          <c:order val="16"/>
          <c:tx>
            <c:strRef>
              <c:f>Cálculos!$EP$40</c:f>
              <c:strCache>
                <c:ptCount val="1"/>
                <c:pt idx="0">
                  <c:v>Capa 15: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Cálculos!$EV$40</c:f>
              <c:numCache>
                <c:formatCode>General</c:formatCode>
                <c:ptCount val="1"/>
                <c:pt idx="0">
                  <c:v>#N/A</c:v>
                </c:pt>
              </c:numCache>
            </c:numRef>
          </c:val>
          <c:extLst>
            <c:ext xmlns:c16="http://schemas.microsoft.com/office/drawing/2014/chart" uri="{C3380CC4-5D6E-409C-BE32-E72D297353CC}">
              <c16:uniqueId val="{00000016-B2AF-48BE-82CF-734C6B628EE0}"/>
            </c:ext>
          </c:extLst>
        </c:ser>
        <c:ser>
          <c:idx val="21"/>
          <c:order val="17"/>
          <c:tx>
            <c:strRef>
              <c:f>Cálculos!$EP$41</c:f>
              <c:strCache>
                <c:ptCount val="1"/>
                <c:pt idx="0">
                  <c:v>Capa 16: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Cálculos!$EV$41</c:f>
              <c:numCache>
                <c:formatCode>General</c:formatCode>
                <c:ptCount val="1"/>
                <c:pt idx="0">
                  <c:v>#N/A</c:v>
                </c:pt>
              </c:numCache>
            </c:numRef>
          </c:val>
          <c:extLst>
            <c:ext xmlns:c16="http://schemas.microsoft.com/office/drawing/2014/chart" uri="{C3380CC4-5D6E-409C-BE32-E72D297353CC}">
              <c16:uniqueId val="{00000017-B2AF-48BE-82CF-734C6B628EE0}"/>
            </c:ext>
          </c:extLst>
        </c:ser>
        <c:ser>
          <c:idx val="22"/>
          <c:order val="18"/>
          <c:tx>
            <c:strRef>
              <c:f>Cálculos!$EP$42</c:f>
              <c:strCache>
                <c:ptCount val="1"/>
                <c:pt idx="0">
                  <c:v>Capa 17: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Cálculos!$EV$42</c:f>
              <c:numCache>
                <c:formatCode>General</c:formatCode>
                <c:ptCount val="1"/>
                <c:pt idx="0">
                  <c:v>#N/A</c:v>
                </c:pt>
              </c:numCache>
            </c:numRef>
          </c:val>
          <c:extLst>
            <c:ext xmlns:c16="http://schemas.microsoft.com/office/drawing/2014/chart" uri="{C3380CC4-5D6E-409C-BE32-E72D297353CC}">
              <c16:uniqueId val="{00000019-B2AF-48BE-82CF-734C6B628EE0}"/>
            </c:ext>
          </c:extLst>
        </c:ser>
        <c:ser>
          <c:idx val="23"/>
          <c:order val="19"/>
          <c:tx>
            <c:strRef>
              <c:f>Cálculos!$EP$43</c:f>
              <c:strCache>
                <c:ptCount val="1"/>
                <c:pt idx="0">
                  <c:v>Capa 18: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Cálculos!$EV$43</c:f>
              <c:numCache>
                <c:formatCode>General</c:formatCode>
                <c:ptCount val="1"/>
                <c:pt idx="0">
                  <c:v>#N/A</c:v>
                </c:pt>
              </c:numCache>
            </c:numRef>
          </c:val>
          <c:extLst>
            <c:ext xmlns:c16="http://schemas.microsoft.com/office/drawing/2014/chart" uri="{C3380CC4-5D6E-409C-BE32-E72D297353CC}">
              <c16:uniqueId val="{0000001A-B2AF-48BE-82CF-734C6B628EE0}"/>
            </c:ext>
          </c:extLst>
        </c:ser>
        <c:ser>
          <c:idx val="24"/>
          <c:order val="20"/>
          <c:tx>
            <c:strRef>
              <c:f>Cálculos!$EP$44</c:f>
              <c:strCache>
                <c:ptCount val="1"/>
                <c:pt idx="0">
                  <c:v>Capa 19: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Cálculos!$EV$44</c:f>
              <c:numCache>
                <c:formatCode>General</c:formatCode>
                <c:ptCount val="1"/>
                <c:pt idx="0">
                  <c:v>#N/A</c:v>
                </c:pt>
              </c:numCache>
            </c:numRef>
          </c:val>
          <c:extLst>
            <c:ext xmlns:c16="http://schemas.microsoft.com/office/drawing/2014/chart" uri="{C3380CC4-5D6E-409C-BE32-E72D297353CC}">
              <c16:uniqueId val="{0000001B-B2AF-48BE-82CF-734C6B628EE0}"/>
            </c:ext>
          </c:extLst>
        </c:ser>
        <c:ser>
          <c:idx val="25"/>
          <c:order val="21"/>
          <c:tx>
            <c:strRef>
              <c:f>Cálculos!$EP$45</c:f>
              <c:strCache>
                <c:ptCount val="1"/>
                <c:pt idx="0">
                  <c:v>Capa 20: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Cálculos!$EV$45</c:f>
              <c:numCache>
                <c:formatCode>General</c:formatCode>
                <c:ptCount val="1"/>
                <c:pt idx="0">
                  <c:v>#N/A</c:v>
                </c:pt>
              </c:numCache>
            </c:numRef>
          </c:val>
          <c:extLst>
            <c:ext xmlns:c16="http://schemas.microsoft.com/office/drawing/2014/chart" uri="{C3380CC4-5D6E-409C-BE32-E72D297353CC}">
              <c16:uniqueId val="{0000001C-B2AF-48BE-82CF-734C6B628EE0}"/>
            </c:ext>
          </c:extLst>
        </c:ser>
        <c:ser>
          <c:idx val="6"/>
          <c:order val="23"/>
          <c:tx>
            <c:strRef>
              <c:f>Cálculos!$EP$45</c:f>
              <c:strCache>
                <c:ptCount val="1"/>
                <c:pt idx="0">
                  <c:v>Capa 20: </c:v>
                </c:pt>
              </c:strCache>
            </c:strRef>
          </c:tx>
          <c:spPr>
            <a:solidFill>
              <a:schemeClr val="accent1">
                <a:lumMod val="60000"/>
              </a:schemeClr>
            </a:solidFill>
            <a:ln>
              <a:noFill/>
            </a:ln>
            <a:effectLst/>
          </c:spPr>
          <c:invertIfNegative val="0"/>
          <c:val>
            <c:numRef>
              <c:f>Cálculos!$EV$45</c:f>
              <c:numCache>
                <c:formatCode>General</c:formatCode>
                <c:ptCount val="1"/>
                <c:pt idx="0">
                  <c:v>#N/A</c:v>
                </c:pt>
              </c:numCache>
            </c:numRef>
          </c:val>
          <c:extLst>
            <c:ext xmlns:c16="http://schemas.microsoft.com/office/drawing/2014/chart" uri="{C3380CC4-5D6E-409C-BE32-E72D297353CC}">
              <c16:uniqueId val="{00000002-87BE-4C78-ADE4-376471973E86}"/>
            </c:ext>
          </c:extLst>
        </c:ser>
        <c:dLbls>
          <c:showLegendKey val="0"/>
          <c:showVal val="0"/>
          <c:showCatName val="0"/>
          <c:showSerName val="0"/>
          <c:showPercent val="0"/>
          <c:showBubbleSize val="0"/>
        </c:dLbls>
        <c:gapWidth val="0"/>
        <c:overlap val="100"/>
        <c:axId val="1123328239"/>
        <c:axId val="1123343599"/>
      </c:barChart>
      <c:scatterChart>
        <c:scatterStyle val="smoothMarker"/>
        <c:varyColors val="0"/>
        <c:ser>
          <c:idx val="0"/>
          <c:order val="0"/>
          <c:tx>
            <c:strRef>
              <c:f>Cálculos!$EY$24</c:f>
              <c:strCache>
                <c:ptCount val="1"/>
                <c:pt idx="0">
                  <c:v>Psat</c:v>
                </c:pt>
              </c:strCache>
            </c:strRef>
          </c:tx>
          <c:spPr>
            <a:ln w="28575" cap="rnd">
              <a:solidFill>
                <a:schemeClr val="tx1"/>
              </a:solidFill>
              <a:round/>
            </a:ln>
            <a:effectLst/>
          </c:spPr>
          <c:marker>
            <c:symbol val="circle"/>
            <c:size val="5"/>
            <c:spPr>
              <a:noFill/>
              <a:ln w="9525">
                <a:noFill/>
              </a:ln>
              <a:effectLst/>
            </c:spPr>
          </c:marker>
          <c:dLbls>
            <c:dLbl>
              <c:idx val="0"/>
              <c:layout>
                <c:manualLayout>
                  <c:x val="8.3501313799134759E-3"/>
                  <c:y val="3.076415346610625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1CB-4734-8567-17B3F8B3B8A4}"/>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Cálculos!$EW$25:$EW$45</c:f>
              <c:numCache>
                <c:formatCode>0.0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Cálculos!$EY$25:$EY$45</c:f>
              <c:numCache>
                <c:formatCode>0.0</c:formatCode>
                <c:ptCount val="21"/>
                <c:pt idx="0">
                  <c:v>784.68408753927326</c:v>
                </c:pt>
                <c:pt idx="1">
                  <c:v>1011.4936324284752</c:v>
                </c:pt>
                <c:pt idx="2">
                  <c:v>1011.4936324284752</c:v>
                </c:pt>
                <c:pt idx="3">
                  <c:v>1011.4936324284752</c:v>
                </c:pt>
                <c:pt idx="4">
                  <c:v>1011.4936324284752</c:v>
                </c:pt>
                <c:pt idx="5">
                  <c:v>1011.4936324284752</c:v>
                </c:pt>
                <c:pt idx="6">
                  <c:v>1011.4936324284752</c:v>
                </c:pt>
                <c:pt idx="7">
                  <c:v>1011.4936324284752</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0"/>
          <c:extLst>
            <c:ext xmlns:c16="http://schemas.microsoft.com/office/drawing/2014/chart" uri="{C3380CC4-5D6E-409C-BE32-E72D297353CC}">
              <c16:uniqueId val="{00000000-34E7-4546-96C8-17C701EB5E2F}"/>
            </c:ext>
          </c:extLst>
        </c:ser>
        <c:ser>
          <c:idx val="1"/>
          <c:order val="1"/>
          <c:tx>
            <c:strRef>
              <c:f>Cálculos!$FE$24</c:f>
              <c:strCache>
                <c:ptCount val="1"/>
                <c:pt idx="0">
                  <c:v>Pn_gráf</c:v>
                </c:pt>
              </c:strCache>
            </c:strRef>
          </c:tx>
          <c:spPr>
            <a:ln w="28575" cap="rnd">
              <a:solidFill>
                <a:schemeClr val="accent1"/>
              </a:solidFill>
              <a:prstDash val="sysDash"/>
              <a:round/>
            </a:ln>
            <a:effectLst/>
          </c:spPr>
          <c:marker>
            <c:symbol val="circle"/>
            <c:size val="5"/>
            <c:spPr>
              <a:noFill/>
              <a:ln w="9525">
                <a:noFill/>
                <a:prstDash val="sysDash"/>
              </a:ln>
              <a:effectLst/>
            </c:spPr>
          </c:marker>
          <c:xVal>
            <c:numRef>
              <c:f>Cálculos!$EW$25:$EW$45</c:f>
              <c:numCache>
                <c:formatCode>0.0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Cálculos!$FE$25:$FE$45</c:f>
              <c:numCache>
                <c:formatCode>0.0</c:formatCode>
                <c:ptCount val="21"/>
                <c:pt idx="0">
                  <c:v>745.44988316230956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0"/>
          <c:extLst>
            <c:ext xmlns:c16="http://schemas.microsoft.com/office/drawing/2014/chart" uri="{C3380CC4-5D6E-409C-BE32-E72D297353CC}">
              <c16:uniqueId val="{00000001-34E7-4546-96C8-17C701EB5E2F}"/>
            </c:ext>
          </c:extLst>
        </c:ser>
        <c:ser>
          <c:idx val="32"/>
          <c:order val="22"/>
          <c:tx>
            <c:v>Interfaces</c:v>
          </c:tx>
          <c:spPr>
            <a:ln w="28575" cap="rnd">
              <a:noFill/>
              <a:round/>
            </a:ln>
            <a:effectLst/>
          </c:spPr>
          <c:marker>
            <c:symbol val="circle"/>
            <c:size val="5"/>
            <c:spPr>
              <a:solidFill>
                <a:srgbClr val="FF0000"/>
              </a:solidFill>
              <a:ln w="9525">
                <a:solidFill>
                  <a:srgbClr val="FF0000"/>
                </a:solidFill>
              </a:ln>
              <a:effectLst/>
            </c:spPr>
          </c:marker>
          <c:xVal>
            <c:numRef>
              <c:f>Cálculos!$EW$25:$EW$45</c:f>
              <c:numCache>
                <c:formatCode>0.0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Cálculos!$FC$25:$FC$45</c:f>
              <c:numCache>
                <c:formatCode>0.0</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1"/>
          <c:extLst>
            <c:ext xmlns:c16="http://schemas.microsoft.com/office/drawing/2014/chart" uri="{C3380CC4-5D6E-409C-BE32-E72D297353CC}">
              <c16:uniqueId val="{00000024-B2AF-48BE-82CF-734C6B628EE0}"/>
            </c:ext>
          </c:extLst>
        </c:ser>
        <c:dLbls>
          <c:showLegendKey val="0"/>
          <c:showVal val="0"/>
          <c:showCatName val="0"/>
          <c:showSerName val="0"/>
          <c:showPercent val="0"/>
          <c:showBubbleSize val="0"/>
        </c:dLbls>
        <c:axId val="1505139663"/>
        <c:axId val="1505148303"/>
      </c:scatterChart>
      <c:valAx>
        <c:axId val="1505139663"/>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Espesor de capa de aire equivalente, Sd, [m]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0.0" sourceLinked="1"/>
        <c:majorTickMark val="out"/>
        <c:minorTickMark val="none"/>
        <c:tickLblPos val="nextTo"/>
        <c:crossAx val="1505148303"/>
        <c:crosses val="autoZero"/>
        <c:crossBetween val="midCat"/>
        <c:majorUnit val="0.5"/>
      </c:valAx>
      <c:valAx>
        <c:axId val="1505148303"/>
        <c:scaling>
          <c:orientation val="minMax"/>
        </c:scaling>
        <c:delete val="1"/>
        <c:axPos val="l"/>
        <c:numFmt formatCode="0.0" sourceLinked="1"/>
        <c:majorTickMark val="none"/>
        <c:minorTickMark val="none"/>
        <c:tickLblPos val="nextTo"/>
        <c:crossAx val="1505139663"/>
        <c:crosses val="autoZero"/>
        <c:crossBetween val="midCat"/>
      </c:valAx>
      <c:valAx>
        <c:axId val="1123343599"/>
        <c:scaling>
          <c:orientation val="minMax"/>
        </c:scaling>
        <c:delete val="1"/>
        <c:axPos val="t"/>
        <c:numFmt formatCode="General" sourceLinked="1"/>
        <c:majorTickMark val="out"/>
        <c:minorTickMark val="none"/>
        <c:tickLblPos val="nextTo"/>
        <c:crossAx val="1123328239"/>
        <c:crosses val="max"/>
        <c:crossBetween val="between"/>
      </c:valAx>
      <c:catAx>
        <c:axId val="1123328239"/>
        <c:scaling>
          <c:orientation val="minMax"/>
        </c:scaling>
        <c:delete val="1"/>
        <c:axPos val="l"/>
        <c:majorTickMark val="out"/>
        <c:minorTickMark val="none"/>
        <c:tickLblPos val="nextTo"/>
        <c:crossAx val="1123343599"/>
        <c:crosses val="autoZero"/>
        <c:auto val="1"/>
        <c:lblAlgn val="ctr"/>
        <c:lblOffset val="100"/>
        <c:noMultiLvlLbl val="0"/>
      </c:catAx>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lineChart>
        <c:grouping val="standard"/>
        <c:varyColors val="0"/>
        <c:ser>
          <c:idx val="0"/>
          <c:order val="0"/>
          <c:tx>
            <c:strRef>
              <c:f>Aux!$V$215</c:f>
              <c:strCache>
                <c:ptCount val="1"/>
                <c:pt idx="0">
                  <c:v>Zona térmica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Aux!$W$215:$AH$215</c:f>
              <c:numCache>
                <c:formatCode>0.0</c:formatCode>
                <c:ptCount val="12"/>
                <c:pt idx="0">
                  <c:v>25</c:v>
                </c:pt>
                <c:pt idx="1">
                  <c:v>25</c:v>
                </c:pt>
                <c:pt idx="2">
                  <c:v>24</c:v>
                </c:pt>
                <c:pt idx="3">
                  <c:v>23</c:v>
                </c:pt>
                <c:pt idx="4">
                  <c:v>23</c:v>
                </c:pt>
                <c:pt idx="5">
                  <c:v>22</c:v>
                </c:pt>
                <c:pt idx="6">
                  <c:v>22</c:v>
                </c:pt>
                <c:pt idx="7">
                  <c:v>22</c:v>
                </c:pt>
                <c:pt idx="8">
                  <c:v>22</c:v>
                </c:pt>
                <c:pt idx="9">
                  <c:v>23</c:v>
                </c:pt>
                <c:pt idx="10">
                  <c:v>23</c:v>
                </c:pt>
                <c:pt idx="11">
                  <c:v>24</c:v>
                </c:pt>
              </c:numCache>
            </c:numRef>
          </c:val>
          <c:smooth val="0"/>
          <c:extLst>
            <c:ext xmlns:c16="http://schemas.microsoft.com/office/drawing/2014/chart" uri="{C3380CC4-5D6E-409C-BE32-E72D297353CC}">
              <c16:uniqueId val="{00000000-4679-4D75-9E0F-7E73D5702999}"/>
            </c:ext>
          </c:extLst>
        </c:ser>
        <c:ser>
          <c:idx val="1"/>
          <c:order val="1"/>
          <c:tx>
            <c:strRef>
              <c:f>Aux!$V$216</c:f>
              <c:strCache>
                <c:ptCount val="1"/>
                <c:pt idx="0">
                  <c:v>Zona térmica A - Isla de Pascua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Aux!$W$216:$AH$216</c:f>
              <c:numCache>
                <c:formatCode>0.0</c:formatCode>
                <c:ptCount val="12"/>
                <c:pt idx="0">
                  <c:v>27</c:v>
                </c:pt>
                <c:pt idx="1">
                  <c:v>27</c:v>
                </c:pt>
                <c:pt idx="2">
                  <c:v>27</c:v>
                </c:pt>
                <c:pt idx="3">
                  <c:v>26</c:v>
                </c:pt>
                <c:pt idx="4">
                  <c:v>25</c:v>
                </c:pt>
                <c:pt idx="5">
                  <c:v>24</c:v>
                </c:pt>
                <c:pt idx="6">
                  <c:v>24</c:v>
                </c:pt>
                <c:pt idx="7">
                  <c:v>24</c:v>
                </c:pt>
                <c:pt idx="8">
                  <c:v>24</c:v>
                </c:pt>
                <c:pt idx="9">
                  <c:v>25</c:v>
                </c:pt>
                <c:pt idx="10">
                  <c:v>25</c:v>
                </c:pt>
                <c:pt idx="11">
                  <c:v>26</c:v>
                </c:pt>
              </c:numCache>
            </c:numRef>
          </c:val>
          <c:smooth val="0"/>
          <c:extLst>
            <c:ext xmlns:c16="http://schemas.microsoft.com/office/drawing/2014/chart" uri="{C3380CC4-5D6E-409C-BE32-E72D297353CC}">
              <c16:uniqueId val="{00000001-4679-4D75-9E0F-7E73D5702999}"/>
            </c:ext>
          </c:extLst>
        </c:ser>
        <c:ser>
          <c:idx val="2"/>
          <c:order val="2"/>
          <c:tx>
            <c:strRef>
              <c:f>Aux!$V$217</c:f>
              <c:strCache>
                <c:ptCount val="1"/>
                <c:pt idx="0">
                  <c:v>Zona térmica B</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Aux!$W$217:$AH$217</c:f>
              <c:numCache>
                <c:formatCode>0.0</c:formatCode>
                <c:ptCount val="12"/>
                <c:pt idx="0">
                  <c:v>25</c:v>
                </c:pt>
                <c:pt idx="1">
                  <c:v>25</c:v>
                </c:pt>
                <c:pt idx="2">
                  <c:v>24</c:v>
                </c:pt>
                <c:pt idx="3">
                  <c:v>23</c:v>
                </c:pt>
                <c:pt idx="4">
                  <c:v>22</c:v>
                </c:pt>
                <c:pt idx="5">
                  <c:v>21</c:v>
                </c:pt>
                <c:pt idx="6">
                  <c:v>21</c:v>
                </c:pt>
                <c:pt idx="7">
                  <c:v>21</c:v>
                </c:pt>
                <c:pt idx="8">
                  <c:v>22</c:v>
                </c:pt>
                <c:pt idx="9">
                  <c:v>22</c:v>
                </c:pt>
                <c:pt idx="10">
                  <c:v>23</c:v>
                </c:pt>
                <c:pt idx="11">
                  <c:v>24</c:v>
                </c:pt>
              </c:numCache>
            </c:numRef>
          </c:val>
          <c:smooth val="0"/>
          <c:extLst>
            <c:ext xmlns:c16="http://schemas.microsoft.com/office/drawing/2014/chart" uri="{C3380CC4-5D6E-409C-BE32-E72D297353CC}">
              <c16:uniqueId val="{00000002-4679-4D75-9E0F-7E73D5702999}"/>
            </c:ext>
          </c:extLst>
        </c:ser>
        <c:ser>
          <c:idx val="3"/>
          <c:order val="3"/>
          <c:tx>
            <c:strRef>
              <c:f>Aux!$V$218</c:f>
              <c:strCache>
                <c:ptCount val="1"/>
                <c:pt idx="0">
                  <c:v>Zona térmica B - Calama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Aux!$W$218:$AH$218</c:f>
              <c:numCache>
                <c:formatCode>0.0</c:formatCode>
                <c:ptCount val="12"/>
                <c:pt idx="0">
                  <c:v>23</c:v>
                </c:pt>
                <c:pt idx="1">
                  <c:v>22</c:v>
                </c:pt>
                <c:pt idx="2">
                  <c:v>22</c:v>
                </c:pt>
                <c:pt idx="3">
                  <c:v>21</c:v>
                </c:pt>
                <c:pt idx="4">
                  <c:v>20</c:v>
                </c:pt>
                <c:pt idx="5">
                  <c:v>19</c:v>
                </c:pt>
                <c:pt idx="6">
                  <c:v>19</c:v>
                </c:pt>
                <c:pt idx="7">
                  <c:v>20</c:v>
                </c:pt>
                <c:pt idx="8">
                  <c:v>21</c:v>
                </c:pt>
                <c:pt idx="9">
                  <c:v>21</c:v>
                </c:pt>
                <c:pt idx="10">
                  <c:v>22</c:v>
                </c:pt>
                <c:pt idx="11">
                  <c:v>22</c:v>
                </c:pt>
              </c:numCache>
            </c:numRef>
          </c:val>
          <c:smooth val="0"/>
          <c:extLst>
            <c:ext xmlns:c16="http://schemas.microsoft.com/office/drawing/2014/chart" uri="{C3380CC4-5D6E-409C-BE32-E72D297353CC}">
              <c16:uniqueId val="{00000003-4679-4D75-9E0F-7E73D5702999}"/>
            </c:ext>
          </c:extLst>
        </c:ser>
        <c:ser>
          <c:idx val="4"/>
          <c:order val="4"/>
          <c:tx>
            <c:strRef>
              <c:f>Aux!$V$219</c:f>
              <c:strCache>
                <c:ptCount val="1"/>
                <c:pt idx="0">
                  <c:v>Zona térmica C</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Aux!$W$219:$AH$219</c:f>
              <c:numCache>
                <c:formatCode>0.0</c:formatCode>
                <c:ptCount val="12"/>
                <c:pt idx="0">
                  <c:v>24</c:v>
                </c:pt>
                <c:pt idx="1">
                  <c:v>23</c:v>
                </c:pt>
                <c:pt idx="2">
                  <c:v>23</c:v>
                </c:pt>
                <c:pt idx="3">
                  <c:v>22</c:v>
                </c:pt>
                <c:pt idx="4">
                  <c:v>22</c:v>
                </c:pt>
                <c:pt idx="5">
                  <c:v>21</c:v>
                </c:pt>
                <c:pt idx="6">
                  <c:v>21</c:v>
                </c:pt>
                <c:pt idx="7">
                  <c:v>21</c:v>
                </c:pt>
                <c:pt idx="8">
                  <c:v>21</c:v>
                </c:pt>
                <c:pt idx="9">
                  <c:v>22</c:v>
                </c:pt>
                <c:pt idx="10">
                  <c:v>22</c:v>
                </c:pt>
                <c:pt idx="11">
                  <c:v>23</c:v>
                </c:pt>
              </c:numCache>
            </c:numRef>
          </c:val>
          <c:smooth val="0"/>
          <c:extLst>
            <c:ext xmlns:c16="http://schemas.microsoft.com/office/drawing/2014/chart" uri="{C3380CC4-5D6E-409C-BE32-E72D297353CC}">
              <c16:uniqueId val="{00000004-4679-4D75-9E0F-7E73D5702999}"/>
            </c:ext>
          </c:extLst>
        </c:ser>
        <c:ser>
          <c:idx val="5"/>
          <c:order val="5"/>
          <c:tx>
            <c:strRef>
              <c:f>Aux!$V$220</c:f>
              <c:strCache>
                <c:ptCount val="1"/>
                <c:pt idx="0">
                  <c:v>Zona térmica C - Isla Juan Fernández</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Aux!$W$220:$AH$220</c:f>
              <c:numCache>
                <c:formatCode>0.0</c:formatCode>
                <c:ptCount val="12"/>
                <c:pt idx="0">
                  <c:v>24</c:v>
                </c:pt>
                <c:pt idx="1">
                  <c:v>24</c:v>
                </c:pt>
                <c:pt idx="2">
                  <c:v>24</c:v>
                </c:pt>
                <c:pt idx="3">
                  <c:v>23</c:v>
                </c:pt>
                <c:pt idx="4">
                  <c:v>23</c:v>
                </c:pt>
                <c:pt idx="5">
                  <c:v>22</c:v>
                </c:pt>
                <c:pt idx="6">
                  <c:v>21</c:v>
                </c:pt>
                <c:pt idx="7">
                  <c:v>21</c:v>
                </c:pt>
                <c:pt idx="8">
                  <c:v>21</c:v>
                </c:pt>
                <c:pt idx="9">
                  <c:v>22</c:v>
                </c:pt>
                <c:pt idx="10">
                  <c:v>22</c:v>
                </c:pt>
                <c:pt idx="11">
                  <c:v>24</c:v>
                </c:pt>
              </c:numCache>
            </c:numRef>
          </c:val>
          <c:smooth val="0"/>
          <c:extLst>
            <c:ext xmlns:c16="http://schemas.microsoft.com/office/drawing/2014/chart" uri="{C3380CC4-5D6E-409C-BE32-E72D297353CC}">
              <c16:uniqueId val="{00000005-4679-4D75-9E0F-7E73D5702999}"/>
            </c:ext>
          </c:extLst>
        </c:ser>
        <c:ser>
          <c:idx val="6"/>
          <c:order val="6"/>
          <c:tx>
            <c:strRef>
              <c:f>Aux!$V$221</c:f>
              <c:strCache>
                <c:ptCount val="1"/>
                <c:pt idx="0">
                  <c:v>Zona térmica D</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Aux!$W$221:$AH$221</c:f>
              <c:numCache>
                <c:formatCode>0.0</c:formatCode>
                <c:ptCount val="12"/>
                <c:pt idx="0">
                  <c:v>25</c:v>
                </c:pt>
                <c:pt idx="1">
                  <c:v>24</c:v>
                </c:pt>
                <c:pt idx="2">
                  <c:v>23</c:v>
                </c:pt>
                <c:pt idx="3">
                  <c:v>21</c:v>
                </c:pt>
                <c:pt idx="4">
                  <c:v>20</c:v>
                </c:pt>
                <c:pt idx="5">
                  <c:v>19</c:v>
                </c:pt>
                <c:pt idx="6">
                  <c:v>19</c:v>
                </c:pt>
                <c:pt idx="7">
                  <c:v>19</c:v>
                </c:pt>
                <c:pt idx="8">
                  <c:v>20</c:v>
                </c:pt>
                <c:pt idx="9">
                  <c:v>22</c:v>
                </c:pt>
                <c:pt idx="10">
                  <c:v>23</c:v>
                </c:pt>
                <c:pt idx="11">
                  <c:v>24</c:v>
                </c:pt>
              </c:numCache>
            </c:numRef>
          </c:val>
          <c:smooth val="0"/>
          <c:extLst>
            <c:ext xmlns:c16="http://schemas.microsoft.com/office/drawing/2014/chart" uri="{C3380CC4-5D6E-409C-BE32-E72D297353CC}">
              <c16:uniqueId val="{00000006-4679-4D75-9E0F-7E73D5702999}"/>
            </c:ext>
          </c:extLst>
        </c:ser>
        <c:ser>
          <c:idx val="7"/>
          <c:order val="7"/>
          <c:tx>
            <c:strRef>
              <c:f>Aux!$V$222</c:f>
              <c:strCache>
                <c:ptCount val="1"/>
                <c:pt idx="0">
                  <c:v>Zona térmica E</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Aux!$W$222:$AH$222</c:f>
              <c:numCache>
                <c:formatCode>0.0</c:formatCode>
                <c:ptCount val="12"/>
                <c:pt idx="0">
                  <c:v>23</c:v>
                </c:pt>
                <c:pt idx="1">
                  <c:v>23</c:v>
                </c:pt>
                <c:pt idx="2">
                  <c:v>22</c:v>
                </c:pt>
                <c:pt idx="3">
                  <c:v>21</c:v>
                </c:pt>
                <c:pt idx="4">
                  <c:v>20</c:v>
                </c:pt>
                <c:pt idx="5">
                  <c:v>20</c:v>
                </c:pt>
                <c:pt idx="6">
                  <c:v>19</c:v>
                </c:pt>
                <c:pt idx="7">
                  <c:v>20</c:v>
                </c:pt>
                <c:pt idx="8">
                  <c:v>20</c:v>
                </c:pt>
                <c:pt idx="9">
                  <c:v>21</c:v>
                </c:pt>
                <c:pt idx="10">
                  <c:v>22</c:v>
                </c:pt>
                <c:pt idx="11">
                  <c:v>23</c:v>
                </c:pt>
              </c:numCache>
            </c:numRef>
          </c:val>
          <c:smooth val="0"/>
          <c:extLst>
            <c:ext xmlns:c16="http://schemas.microsoft.com/office/drawing/2014/chart" uri="{C3380CC4-5D6E-409C-BE32-E72D297353CC}">
              <c16:uniqueId val="{00000007-4679-4D75-9E0F-7E73D5702999}"/>
            </c:ext>
          </c:extLst>
        </c:ser>
        <c:ser>
          <c:idx val="8"/>
          <c:order val="8"/>
          <c:tx>
            <c:strRef>
              <c:f>Aux!$V$223</c:f>
              <c:strCache>
                <c:ptCount val="1"/>
                <c:pt idx="0">
                  <c:v>Zona térmica F</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Aux!$W$223:$AH$223</c:f>
              <c:numCache>
                <c:formatCode>0.0</c:formatCode>
                <c:ptCount val="12"/>
                <c:pt idx="0">
                  <c:v>23</c:v>
                </c:pt>
                <c:pt idx="1">
                  <c:v>23</c:v>
                </c:pt>
                <c:pt idx="2">
                  <c:v>22</c:v>
                </c:pt>
                <c:pt idx="3">
                  <c:v>21</c:v>
                </c:pt>
                <c:pt idx="4">
                  <c:v>20</c:v>
                </c:pt>
                <c:pt idx="5">
                  <c:v>19</c:v>
                </c:pt>
                <c:pt idx="6">
                  <c:v>19</c:v>
                </c:pt>
                <c:pt idx="7">
                  <c:v>19</c:v>
                </c:pt>
                <c:pt idx="8">
                  <c:v>19</c:v>
                </c:pt>
                <c:pt idx="9">
                  <c:v>20</c:v>
                </c:pt>
                <c:pt idx="10">
                  <c:v>21</c:v>
                </c:pt>
                <c:pt idx="11">
                  <c:v>22</c:v>
                </c:pt>
              </c:numCache>
            </c:numRef>
          </c:val>
          <c:smooth val="0"/>
          <c:extLst>
            <c:ext xmlns:c16="http://schemas.microsoft.com/office/drawing/2014/chart" uri="{C3380CC4-5D6E-409C-BE32-E72D297353CC}">
              <c16:uniqueId val="{00000008-4679-4D75-9E0F-7E73D5702999}"/>
            </c:ext>
          </c:extLst>
        </c:ser>
        <c:ser>
          <c:idx val="9"/>
          <c:order val="9"/>
          <c:tx>
            <c:strRef>
              <c:f>Aux!$V$224</c:f>
              <c:strCache>
                <c:ptCount val="1"/>
                <c:pt idx="0">
                  <c:v>Zona térmica G</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Aux!$W$224:$AH$224</c:f>
              <c:numCache>
                <c:formatCode>0.0</c:formatCode>
                <c:ptCount val="12"/>
                <c:pt idx="0">
                  <c:v>23</c:v>
                </c:pt>
                <c:pt idx="1">
                  <c:v>22</c:v>
                </c:pt>
                <c:pt idx="2">
                  <c:v>21</c:v>
                </c:pt>
                <c:pt idx="3">
                  <c:v>20</c:v>
                </c:pt>
                <c:pt idx="4">
                  <c:v>19</c:v>
                </c:pt>
                <c:pt idx="5">
                  <c:v>18</c:v>
                </c:pt>
                <c:pt idx="6">
                  <c:v>18</c:v>
                </c:pt>
                <c:pt idx="7">
                  <c:v>19</c:v>
                </c:pt>
                <c:pt idx="8">
                  <c:v>19</c:v>
                </c:pt>
                <c:pt idx="9">
                  <c:v>20</c:v>
                </c:pt>
                <c:pt idx="10">
                  <c:v>21</c:v>
                </c:pt>
                <c:pt idx="11">
                  <c:v>22</c:v>
                </c:pt>
              </c:numCache>
            </c:numRef>
          </c:val>
          <c:smooth val="0"/>
          <c:extLst>
            <c:ext xmlns:c16="http://schemas.microsoft.com/office/drawing/2014/chart" uri="{C3380CC4-5D6E-409C-BE32-E72D297353CC}">
              <c16:uniqueId val="{00000009-4679-4D75-9E0F-7E73D5702999}"/>
            </c:ext>
          </c:extLst>
        </c:ser>
        <c:ser>
          <c:idx val="10"/>
          <c:order val="10"/>
          <c:tx>
            <c:strRef>
              <c:f>Aux!$V$225</c:f>
              <c:strCache>
                <c:ptCount val="1"/>
                <c:pt idx="0">
                  <c:v>Zona térmica H</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Aux!$W$225:$AH$225</c:f>
              <c:numCache>
                <c:formatCode>0.0</c:formatCode>
                <c:ptCount val="12"/>
                <c:pt idx="0">
                  <c:v>23</c:v>
                </c:pt>
                <c:pt idx="1">
                  <c:v>23</c:v>
                </c:pt>
                <c:pt idx="2">
                  <c:v>22</c:v>
                </c:pt>
                <c:pt idx="3">
                  <c:v>21</c:v>
                </c:pt>
                <c:pt idx="4">
                  <c:v>19</c:v>
                </c:pt>
                <c:pt idx="5">
                  <c:v>18</c:v>
                </c:pt>
                <c:pt idx="6">
                  <c:v>17</c:v>
                </c:pt>
                <c:pt idx="7">
                  <c:v>18</c:v>
                </c:pt>
                <c:pt idx="8">
                  <c:v>19</c:v>
                </c:pt>
                <c:pt idx="9">
                  <c:v>20</c:v>
                </c:pt>
                <c:pt idx="10">
                  <c:v>21</c:v>
                </c:pt>
                <c:pt idx="11">
                  <c:v>22</c:v>
                </c:pt>
              </c:numCache>
            </c:numRef>
          </c:val>
          <c:smooth val="0"/>
          <c:extLst>
            <c:ext xmlns:c16="http://schemas.microsoft.com/office/drawing/2014/chart" uri="{C3380CC4-5D6E-409C-BE32-E72D297353CC}">
              <c16:uniqueId val="{0000000A-4679-4D75-9E0F-7E73D5702999}"/>
            </c:ext>
          </c:extLst>
        </c:ser>
        <c:ser>
          <c:idx val="11"/>
          <c:order val="11"/>
          <c:tx>
            <c:strRef>
              <c:f>Aux!$V$226</c:f>
              <c:strCache>
                <c:ptCount val="1"/>
                <c:pt idx="0">
                  <c:v>Zona térmica I</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Aux!$W$226:$AH$226</c:f>
              <c:numCache>
                <c:formatCode>0.0</c:formatCode>
                <c:ptCount val="12"/>
                <c:pt idx="0">
                  <c:v>20</c:v>
                </c:pt>
                <c:pt idx="1">
                  <c:v>20</c:v>
                </c:pt>
                <c:pt idx="2">
                  <c:v>19</c:v>
                </c:pt>
                <c:pt idx="3">
                  <c:v>18</c:v>
                </c:pt>
                <c:pt idx="4">
                  <c:v>17</c:v>
                </c:pt>
                <c:pt idx="5">
                  <c:v>16</c:v>
                </c:pt>
                <c:pt idx="6">
                  <c:v>16</c:v>
                </c:pt>
                <c:pt idx="7">
                  <c:v>16</c:v>
                </c:pt>
                <c:pt idx="8">
                  <c:v>17</c:v>
                </c:pt>
                <c:pt idx="9">
                  <c:v>18</c:v>
                </c:pt>
                <c:pt idx="10">
                  <c:v>19</c:v>
                </c:pt>
                <c:pt idx="11">
                  <c:v>20</c:v>
                </c:pt>
              </c:numCache>
            </c:numRef>
          </c:val>
          <c:smooth val="0"/>
          <c:extLst>
            <c:ext xmlns:c16="http://schemas.microsoft.com/office/drawing/2014/chart" uri="{C3380CC4-5D6E-409C-BE32-E72D297353CC}">
              <c16:uniqueId val="{0000000B-4679-4D75-9E0F-7E73D5702999}"/>
            </c:ext>
          </c:extLst>
        </c:ser>
        <c:ser>
          <c:idx val="12"/>
          <c:order val="12"/>
          <c:tx>
            <c:strRef>
              <c:f>Aux!$V$227</c:f>
              <c:strCache>
                <c:ptCount val="1"/>
                <c:pt idx="0">
                  <c:v>Zona Antártica</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Aux!$W$227:$AH$227</c:f>
              <c:numCache>
                <c:formatCode>0.0</c:formatCode>
                <c:ptCount val="12"/>
                <c:pt idx="0">
                  <c:v>15</c:v>
                </c:pt>
                <c:pt idx="1">
                  <c:v>15</c:v>
                </c:pt>
                <c:pt idx="2">
                  <c:v>14</c:v>
                </c:pt>
                <c:pt idx="3">
                  <c:v>13</c:v>
                </c:pt>
                <c:pt idx="4">
                  <c:v>12</c:v>
                </c:pt>
                <c:pt idx="5">
                  <c:v>11</c:v>
                </c:pt>
                <c:pt idx="6">
                  <c:v>11</c:v>
                </c:pt>
                <c:pt idx="7">
                  <c:v>11</c:v>
                </c:pt>
                <c:pt idx="8">
                  <c:v>12</c:v>
                </c:pt>
                <c:pt idx="9">
                  <c:v>13</c:v>
                </c:pt>
                <c:pt idx="10">
                  <c:v>14</c:v>
                </c:pt>
                <c:pt idx="11">
                  <c:v>15</c:v>
                </c:pt>
              </c:numCache>
            </c:numRef>
          </c:val>
          <c:smooth val="0"/>
          <c:extLst>
            <c:ext xmlns:c16="http://schemas.microsoft.com/office/drawing/2014/chart" uri="{C3380CC4-5D6E-409C-BE32-E72D297353CC}">
              <c16:uniqueId val="{0000000C-4679-4D75-9E0F-7E73D5702999}"/>
            </c:ext>
          </c:extLst>
        </c:ser>
        <c:dLbls>
          <c:showLegendKey val="0"/>
          <c:showVal val="0"/>
          <c:showCatName val="0"/>
          <c:showSerName val="0"/>
          <c:showPercent val="0"/>
          <c:showBubbleSize val="0"/>
        </c:dLbls>
        <c:marker val="1"/>
        <c:smooth val="0"/>
        <c:axId val="934670384"/>
        <c:axId val="934655984"/>
      </c:lineChart>
      <c:catAx>
        <c:axId val="93467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934655984"/>
        <c:crosses val="autoZero"/>
        <c:auto val="1"/>
        <c:lblAlgn val="ctr"/>
        <c:lblOffset val="100"/>
        <c:noMultiLvlLbl val="0"/>
      </c:catAx>
      <c:valAx>
        <c:axId val="934655984"/>
        <c:scaling>
          <c:orientation val="minMax"/>
          <c:max val="27"/>
          <c:min val="18"/>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934670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13</xdr:col>
      <xdr:colOff>971550</xdr:colOff>
      <xdr:row>29</xdr:row>
      <xdr:rowOff>161925</xdr:rowOff>
    </xdr:from>
    <xdr:to>
      <xdr:col>13</xdr:col>
      <xdr:colOff>1151550</xdr:colOff>
      <xdr:row>30</xdr:row>
      <xdr:rowOff>151425</xdr:rowOff>
    </xdr:to>
    <xdr:sp macro="" textlink="">
      <xdr:nvSpPr>
        <xdr:cNvPr id="4" name="CuadroTexto 3">
          <a:extLst>
            <a:ext uri="{FF2B5EF4-FFF2-40B4-BE49-F238E27FC236}">
              <a16:creationId xmlns:a16="http://schemas.microsoft.com/office/drawing/2014/main" id="{00000000-0008-0000-0100-000004000000}"/>
            </a:ext>
          </a:extLst>
        </xdr:cNvPr>
        <xdr:cNvSpPr txBox="1"/>
      </xdr:nvSpPr>
      <xdr:spPr>
        <a:xfrm>
          <a:off x="13820775" y="6762750"/>
          <a:ext cx="1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t"/>
        <a:lstStyle/>
        <a:p>
          <a:pPr algn="ctr"/>
          <a:r>
            <a:rPr lang="en-US" sz="1400" b="1" i="0" u="none" strike="noStrike">
              <a:solidFill>
                <a:srgbClr val="000000"/>
              </a:solidFill>
              <a:latin typeface="+mn-lt"/>
              <a:cs typeface="Calibri"/>
            </a:rPr>
            <a:t>-</a:t>
          </a:r>
        </a:p>
        <a:p>
          <a:pPr algn="l"/>
          <a:endParaRPr lang="en-US" sz="1400" b="1" i="0" u="none" strike="noStrike">
            <a:solidFill>
              <a:srgbClr val="000000"/>
            </a:solidFill>
            <a:latin typeface="Calibri"/>
            <a:cs typeface="Calibri"/>
          </a:endParaRPr>
        </a:p>
      </xdr:txBody>
    </xdr:sp>
    <xdr:clientData/>
  </xdr:twoCellAnchor>
  <xdr:twoCellAnchor>
    <xdr:from>
      <xdr:col>13</xdr:col>
      <xdr:colOff>412936</xdr:colOff>
      <xdr:row>27</xdr:row>
      <xdr:rowOff>46508</xdr:rowOff>
    </xdr:from>
    <xdr:to>
      <xdr:col>17</xdr:col>
      <xdr:colOff>536761</xdr:colOff>
      <xdr:row>33</xdr:row>
      <xdr:rowOff>0</xdr:rowOff>
    </xdr:to>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15474342" y="6452071"/>
          <a:ext cx="3171825" cy="18108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b="1" i="0" u="none" strike="noStrike">
              <a:solidFill>
                <a:schemeClr val="dk1"/>
              </a:solidFill>
              <a:effectLst/>
              <a:latin typeface="+mn-lt"/>
              <a:ea typeface="+mn-ea"/>
              <a:cs typeface="+mn-cs"/>
            </a:rPr>
            <a:t>Simbología propiedades</a:t>
          </a:r>
          <a:r>
            <a:rPr lang="es-CL"/>
            <a:t> </a:t>
          </a:r>
        </a:p>
        <a:p>
          <a:r>
            <a:rPr lang="es-CL"/>
            <a:t>R</a:t>
          </a:r>
          <a:r>
            <a:rPr lang="es-CL" sz="1100" b="0" i="0" u="none" strike="noStrike">
              <a:solidFill>
                <a:schemeClr val="dk1"/>
              </a:solidFill>
              <a:effectLst/>
              <a:latin typeface="+mn-lt"/>
              <a:ea typeface="+mn-ea"/>
              <a:cs typeface="+mn-cs"/>
            </a:rPr>
            <a:t>:     Resistencia térmica</a:t>
          </a:r>
          <a:r>
            <a:rPr lang="es-CL"/>
            <a:t> </a:t>
          </a:r>
        </a:p>
        <a:p>
          <a:r>
            <a:rPr lang="el-GR" sz="1100" b="0" i="0" u="none" strike="noStrike">
              <a:solidFill>
                <a:schemeClr val="dk1"/>
              </a:solidFill>
              <a:effectLst/>
              <a:latin typeface="+mn-lt"/>
              <a:ea typeface="+mn-ea"/>
              <a:cs typeface="+mn-cs"/>
            </a:rPr>
            <a:t>λ:</a:t>
          </a:r>
          <a:r>
            <a:rPr lang="el-GR"/>
            <a:t> </a:t>
          </a:r>
          <a:r>
            <a:rPr lang="es-CL"/>
            <a:t>    </a:t>
          </a:r>
          <a:r>
            <a:rPr lang="es-CL" sz="1100" b="0" i="0" u="none" strike="noStrike">
              <a:solidFill>
                <a:schemeClr val="dk1"/>
              </a:solidFill>
              <a:effectLst/>
              <a:latin typeface="+mn-lt"/>
              <a:ea typeface="+mn-ea"/>
              <a:cs typeface="+mn-cs"/>
            </a:rPr>
            <a:t>Conductividad térmica </a:t>
          </a:r>
        </a:p>
        <a:p>
          <a:r>
            <a:rPr lang="es-CL" sz="1100" b="0" i="0" u="none" strike="noStrike">
              <a:solidFill>
                <a:schemeClr val="dk1"/>
              </a:solidFill>
              <a:effectLst/>
              <a:latin typeface="+mn-lt"/>
              <a:ea typeface="+mn-ea"/>
              <a:cs typeface="+mn-cs"/>
            </a:rPr>
            <a:t>Sd:</a:t>
          </a:r>
          <a:r>
            <a:rPr lang="es-CL"/>
            <a:t>   </a:t>
          </a:r>
          <a:r>
            <a:rPr lang="es-CL" sz="1100" b="0" i="0" u="none" strike="noStrike">
              <a:solidFill>
                <a:schemeClr val="dk1"/>
              </a:solidFill>
              <a:effectLst/>
              <a:latin typeface="+mn-lt"/>
              <a:ea typeface="+mn-ea"/>
              <a:cs typeface="+mn-cs"/>
            </a:rPr>
            <a:t>Espesor de capa equivalente de aire</a:t>
          </a:r>
          <a:r>
            <a:rPr lang="es-CL"/>
            <a:t> </a:t>
          </a:r>
        </a:p>
        <a:p>
          <a:r>
            <a:rPr lang="el-GR" sz="1100" b="0" i="0" u="none" strike="noStrike">
              <a:solidFill>
                <a:schemeClr val="dk1"/>
              </a:solidFill>
              <a:effectLst/>
              <a:latin typeface="+mn-lt"/>
              <a:ea typeface="+mn-ea"/>
              <a:cs typeface="+mn-cs"/>
            </a:rPr>
            <a:t>μ:</a:t>
          </a:r>
          <a:r>
            <a:rPr lang="el-GR"/>
            <a:t> </a:t>
          </a:r>
          <a:r>
            <a:rPr lang="es-CL"/>
            <a:t>    </a:t>
          </a:r>
          <a:r>
            <a:rPr lang="es-CL" sz="1100" b="0" i="0" u="none" strike="noStrike">
              <a:solidFill>
                <a:schemeClr val="dk1"/>
              </a:solidFill>
              <a:effectLst/>
              <a:latin typeface="+mn-lt"/>
              <a:ea typeface="+mn-ea"/>
              <a:cs typeface="+mn-cs"/>
            </a:rPr>
            <a:t>Factor de resistencia al paso de vapor de agua</a:t>
          </a:r>
          <a:r>
            <a:rPr lang="es-CL"/>
            <a:t> </a:t>
          </a:r>
        </a:p>
        <a:p>
          <a:r>
            <a:rPr lang="es-CL" sz="1100" b="0" i="0" u="none" strike="noStrike">
              <a:solidFill>
                <a:schemeClr val="dk1"/>
              </a:solidFill>
              <a:effectLst/>
              <a:latin typeface="+mn-lt"/>
              <a:ea typeface="+mn-ea"/>
              <a:cs typeface="+mn-cs"/>
            </a:rPr>
            <a:t>Wp:</a:t>
          </a:r>
          <a:r>
            <a:rPr lang="es-CL"/>
            <a:t> </a:t>
          </a:r>
          <a:r>
            <a:rPr lang="es-CL" sz="1100" b="0" i="0" u="none" strike="noStrike">
              <a:solidFill>
                <a:schemeClr val="dk1"/>
              </a:solidFill>
              <a:effectLst/>
              <a:latin typeface="+mn-lt"/>
              <a:ea typeface="+mn-ea"/>
              <a:cs typeface="+mn-cs"/>
            </a:rPr>
            <a:t>Permeancia al paso de vapor de agua</a:t>
          </a:r>
          <a:r>
            <a:rPr lang="es-CL"/>
            <a:t> </a:t>
          </a:r>
        </a:p>
        <a:p>
          <a:r>
            <a:rPr lang="es-CL" sz="1100" b="0" i="0" u="none" strike="noStrike">
              <a:solidFill>
                <a:schemeClr val="dk1"/>
              </a:solidFill>
              <a:effectLst/>
              <a:latin typeface="+mn-lt"/>
              <a:ea typeface="+mn-ea"/>
              <a:cs typeface="+mn-cs"/>
            </a:rPr>
            <a:t>Zp:</a:t>
          </a:r>
          <a:r>
            <a:rPr lang="es-CL"/>
            <a:t>   </a:t>
          </a:r>
          <a:r>
            <a:rPr lang="es-CL" sz="1100" b="0" i="0" u="none" strike="noStrike">
              <a:solidFill>
                <a:schemeClr val="dk1"/>
              </a:solidFill>
              <a:effectLst/>
              <a:latin typeface="+mn-lt"/>
              <a:ea typeface="+mn-ea"/>
              <a:cs typeface="+mn-cs"/>
            </a:rPr>
            <a:t>Resistencia al paso de vapor de agua</a:t>
          </a:r>
          <a:r>
            <a:rPr lang="es-CL"/>
            <a:t> </a:t>
          </a:r>
        </a:p>
        <a:p>
          <a:r>
            <a:rPr lang="el-GR" sz="1100" b="0" i="0" u="none" strike="noStrike">
              <a:solidFill>
                <a:schemeClr val="dk1"/>
              </a:solidFill>
              <a:effectLst/>
              <a:latin typeface="+mn-lt"/>
              <a:ea typeface="+mn-ea"/>
              <a:cs typeface="+mn-cs"/>
            </a:rPr>
            <a:t>δ</a:t>
          </a:r>
          <a:r>
            <a:rPr lang="es-CL" sz="1100" b="0" i="0" u="none" strike="noStrike">
              <a:solidFill>
                <a:schemeClr val="dk1"/>
              </a:solidFill>
              <a:effectLst/>
              <a:latin typeface="+mn-lt"/>
              <a:ea typeface="+mn-ea"/>
              <a:cs typeface="+mn-cs"/>
            </a:rPr>
            <a:t>p:</a:t>
          </a:r>
          <a:r>
            <a:rPr lang="es-CL"/>
            <a:t>   </a:t>
          </a:r>
          <a:r>
            <a:rPr lang="es-CL" sz="1100" b="0" i="0" u="none" strike="noStrike">
              <a:solidFill>
                <a:schemeClr val="dk1"/>
              </a:solidFill>
              <a:effectLst/>
              <a:latin typeface="+mn-lt"/>
              <a:ea typeface="+mn-ea"/>
              <a:cs typeface="+mn-cs"/>
            </a:rPr>
            <a:t>Permeabilidad al paso de vapor de agua </a:t>
          </a:r>
        </a:p>
        <a:p>
          <a:r>
            <a:rPr lang="es-CL" sz="1100" b="0" i="0" u="none" strike="noStrike">
              <a:solidFill>
                <a:schemeClr val="dk1"/>
              </a:solidFill>
              <a:effectLst/>
              <a:latin typeface="+mn-lt"/>
              <a:ea typeface="+mn-ea"/>
              <a:cs typeface="+mn-cs"/>
            </a:rPr>
            <a:t>inf:</a:t>
          </a:r>
          <a:r>
            <a:rPr lang="es-CL"/>
            <a:t>   I</a:t>
          </a:r>
          <a:r>
            <a:rPr lang="es-CL" sz="1100" b="0" i="0" u="none" strike="noStrike">
              <a:solidFill>
                <a:schemeClr val="dk1"/>
              </a:solidFill>
              <a:effectLst/>
              <a:latin typeface="+mn-lt"/>
              <a:ea typeface="+mn-ea"/>
              <a:cs typeface="+mn-cs"/>
            </a:rPr>
            <a:t>nfinito</a:t>
          </a:r>
          <a:r>
            <a:rPr lang="es-CL"/>
            <a:t> </a:t>
          </a:r>
        </a:p>
      </xdr:txBody>
    </xdr:sp>
    <xdr:clientData/>
  </xdr:twoCellAnchor>
  <xdr:twoCellAnchor>
    <xdr:from>
      <xdr:col>11</xdr:col>
      <xdr:colOff>518832</xdr:colOff>
      <xdr:row>6</xdr:row>
      <xdr:rowOff>25212</xdr:rowOff>
    </xdr:from>
    <xdr:to>
      <xdr:col>15</xdr:col>
      <xdr:colOff>299197</xdr:colOff>
      <xdr:row>22</xdr:row>
      <xdr:rowOff>140073</xdr:rowOff>
    </xdr:to>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13215097" y="832036"/>
          <a:ext cx="2828365" cy="22103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b="1" i="0" u="none" strike="noStrike">
              <a:solidFill>
                <a:schemeClr val="dk1"/>
              </a:solidFill>
              <a:effectLst/>
              <a:latin typeface="+mn-lt"/>
              <a:ea typeface="+mn-ea"/>
              <a:cs typeface="+mn-cs"/>
            </a:rPr>
            <a:t>Simbología propiedades</a:t>
          </a:r>
          <a:r>
            <a:rPr lang="es-CL"/>
            <a:t> </a:t>
          </a:r>
        </a:p>
        <a:p>
          <a:r>
            <a:rPr lang="es-CL"/>
            <a:t>R</a:t>
          </a:r>
          <a:r>
            <a:rPr lang="es-CL" sz="1100" b="0" i="0" u="none" strike="noStrike">
              <a:solidFill>
                <a:schemeClr val="dk1"/>
              </a:solidFill>
              <a:effectLst/>
              <a:latin typeface="+mn-lt"/>
              <a:ea typeface="+mn-ea"/>
              <a:cs typeface="+mn-cs"/>
            </a:rPr>
            <a:t>:     Resistencia térmica</a:t>
          </a:r>
          <a:r>
            <a:rPr lang="es-CL"/>
            <a:t> </a:t>
          </a:r>
        </a:p>
        <a:p>
          <a:r>
            <a:rPr lang="el-GR" sz="1100" b="0" i="0" u="none" strike="noStrike">
              <a:solidFill>
                <a:schemeClr val="dk1"/>
              </a:solidFill>
              <a:effectLst/>
              <a:latin typeface="+mn-lt"/>
              <a:ea typeface="+mn-ea"/>
              <a:cs typeface="+mn-cs"/>
            </a:rPr>
            <a:t>λ:</a:t>
          </a:r>
          <a:r>
            <a:rPr lang="el-GR"/>
            <a:t> </a:t>
          </a:r>
          <a:r>
            <a:rPr lang="es-CL"/>
            <a:t>    </a:t>
          </a:r>
          <a:r>
            <a:rPr lang="es-CL" sz="1100" b="0" i="0" u="none" strike="noStrike">
              <a:solidFill>
                <a:schemeClr val="dk1"/>
              </a:solidFill>
              <a:effectLst/>
              <a:latin typeface="+mn-lt"/>
              <a:ea typeface="+mn-ea"/>
              <a:cs typeface="+mn-cs"/>
            </a:rPr>
            <a:t>Conductividad térmica </a:t>
          </a:r>
        </a:p>
        <a:p>
          <a:r>
            <a:rPr lang="es-CL" sz="1100" b="0" i="0" u="none" strike="noStrike">
              <a:solidFill>
                <a:schemeClr val="dk1"/>
              </a:solidFill>
              <a:effectLst/>
              <a:latin typeface="+mn-lt"/>
              <a:ea typeface="+mn-ea"/>
              <a:cs typeface="+mn-cs"/>
            </a:rPr>
            <a:t>Sd:</a:t>
          </a:r>
          <a:r>
            <a:rPr lang="es-CL"/>
            <a:t>   </a:t>
          </a:r>
          <a:r>
            <a:rPr lang="es-CL" sz="1100" b="0" i="0" u="none" strike="noStrike">
              <a:solidFill>
                <a:schemeClr val="dk1"/>
              </a:solidFill>
              <a:effectLst/>
              <a:latin typeface="+mn-lt"/>
              <a:ea typeface="+mn-ea"/>
              <a:cs typeface="+mn-cs"/>
            </a:rPr>
            <a:t>Espesor de capa equivalente de aire</a:t>
          </a:r>
          <a:r>
            <a:rPr lang="es-CL"/>
            <a:t> </a:t>
          </a:r>
        </a:p>
        <a:p>
          <a:r>
            <a:rPr lang="el-GR" sz="1100" b="0" i="0" u="none" strike="noStrike">
              <a:solidFill>
                <a:schemeClr val="dk1"/>
              </a:solidFill>
              <a:effectLst/>
              <a:latin typeface="+mn-lt"/>
              <a:ea typeface="+mn-ea"/>
              <a:cs typeface="+mn-cs"/>
            </a:rPr>
            <a:t>μ:</a:t>
          </a:r>
          <a:r>
            <a:rPr lang="el-GR"/>
            <a:t> </a:t>
          </a:r>
          <a:r>
            <a:rPr lang="es-CL"/>
            <a:t>    </a:t>
          </a:r>
          <a:r>
            <a:rPr lang="es-CL" sz="1100" b="0" i="0" u="none" strike="noStrike">
              <a:solidFill>
                <a:schemeClr val="dk1"/>
              </a:solidFill>
              <a:effectLst/>
              <a:latin typeface="+mn-lt"/>
              <a:ea typeface="+mn-ea"/>
              <a:cs typeface="+mn-cs"/>
            </a:rPr>
            <a:t>Factor de resistencia al paso de vapor de agua</a:t>
          </a:r>
          <a:r>
            <a:rPr lang="es-CL"/>
            <a:t> </a:t>
          </a:r>
        </a:p>
        <a:p>
          <a:r>
            <a:rPr lang="es-CL" sz="1100" b="0" i="0" u="none" strike="noStrike">
              <a:solidFill>
                <a:schemeClr val="dk1"/>
              </a:solidFill>
              <a:effectLst/>
              <a:latin typeface="+mn-lt"/>
              <a:ea typeface="+mn-ea"/>
              <a:cs typeface="+mn-cs"/>
            </a:rPr>
            <a:t>Wp:</a:t>
          </a:r>
          <a:r>
            <a:rPr lang="es-CL"/>
            <a:t> </a:t>
          </a:r>
          <a:r>
            <a:rPr lang="es-CL" sz="1100" b="0" i="0" u="none" strike="noStrike">
              <a:solidFill>
                <a:schemeClr val="dk1"/>
              </a:solidFill>
              <a:effectLst/>
              <a:latin typeface="+mn-lt"/>
              <a:ea typeface="+mn-ea"/>
              <a:cs typeface="+mn-cs"/>
            </a:rPr>
            <a:t>Permeancia al paso de vapor de agua</a:t>
          </a:r>
          <a:r>
            <a:rPr lang="es-CL"/>
            <a:t> </a:t>
          </a:r>
        </a:p>
        <a:p>
          <a:r>
            <a:rPr lang="es-CL" sz="1100" b="0" i="0" u="none" strike="noStrike">
              <a:solidFill>
                <a:schemeClr val="dk1"/>
              </a:solidFill>
              <a:effectLst/>
              <a:latin typeface="+mn-lt"/>
              <a:ea typeface="+mn-ea"/>
              <a:cs typeface="+mn-cs"/>
            </a:rPr>
            <a:t>Zp:</a:t>
          </a:r>
          <a:r>
            <a:rPr lang="es-CL"/>
            <a:t>   </a:t>
          </a:r>
          <a:r>
            <a:rPr lang="es-CL" sz="1100" b="0" i="0" u="none" strike="noStrike">
              <a:solidFill>
                <a:schemeClr val="dk1"/>
              </a:solidFill>
              <a:effectLst/>
              <a:latin typeface="+mn-lt"/>
              <a:ea typeface="+mn-ea"/>
              <a:cs typeface="+mn-cs"/>
            </a:rPr>
            <a:t>Resistencia al paso de vapor de agua</a:t>
          </a:r>
          <a:r>
            <a:rPr lang="es-CL"/>
            <a:t> </a:t>
          </a:r>
        </a:p>
        <a:p>
          <a:r>
            <a:rPr lang="el-GR" sz="1100" b="0" i="0" u="none" strike="noStrike">
              <a:solidFill>
                <a:schemeClr val="dk1"/>
              </a:solidFill>
              <a:effectLst/>
              <a:latin typeface="+mn-lt"/>
              <a:ea typeface="+mn-ea"/>
              <a:cs typeface="+mn-cs"/>
            </a:rPr>
            <a:t>δ</a:t>
          </a:r>
          <a:r>
            <a:rPr lang="es-CL" sz="1100" b="0" i="0" u="none" strike="noStrike">
              <a:solidFill>
                <a:schemeClr val="dk1"/>
              </a:solidFill>
              <a:effectLst/>
              <a:latin typeface="+mn-lt"/>
              <a:ea typeface="+mn-ea"/>
              <a:cs typeface="+mn-cs"/>
            </a:rPr>
            <a:t>p:</a:t>
          </a:r>
          <a:r>
            <a:rPr lang="es-CL"/>
            <a:t>   </a:t>
          </a:r>
          <a:r>
            <a:rPr lang="es-CL" sz="1100" b="0" i="0" u="none" strike="noStrike">
              <a:solidFill>
                <a:schemeClr val="dk1"/>
              </a:solidFill>
              <a:effectLst/>
              <a:latin typeface="+mn-lt"/>
              <a:ea typeface="+mn-ea"/>
              <a:cs typeface="+mn-cs"/>
            </a:rPr>
            <a:t>Permeabilidad al paso de vapor de agua </a:t>
          </a:r>
        </a:p>
        <a:p>
          <a:r>
            <a:rPr lang="es-CL" sz="1100" b="0" i="0" u="none" strike="noStrike">
              <a:solidFill>
                <a:schemeClr val="dk1"/>
              </a:solidFill>
              <a:effectLst/>
              <a:latin typeface="+mn-lt"/>
              <a:ea typeface="+mn-ea"/>
              <a:cs typeface="+mn-cs"/>
            </a:rPr>
            <a:t>inf:</a:t>
          </a:r>
          <a:r>
            <a:rPr lang="es-CL"/>
            <a:t>   I</a:t>
          </a:r>
          <a:r>
            <a:rPr lang="es-CL" sz="1100" b="0" i="0" u="none" strike="noStrike">
              <a:solidFill>
                <a:schemeClr val="dk1"/>
              </a:solidFill>
              <a:effectLst/>
              <a:latin typeface="+mn-lt"/>
              <a:ea typeface="+mn-ea"/>
              <a:cs typeface="+mn-cs"/>
            </a:rPr>
            <a:t>nfinito</a:t>
          </a:r>
          <a:r>
            <a:rPr lang="es-CL"/>
            <a:t> </a:t>
          </a:r>
        </a:p>
      </xdr:txBody>
    </xdr:sp>
    <xdr:clientData/>
  </xdr:twoCellAnchor>
  <mc:AlternateContent xmlns:mc="http://schemas.openxmlformats.org/markup-compatibility/2006">
    <mc:Choice xmlns:a14="http://schemas.microsoft.com/office/drawing/2010/main" Requires="a14">
      <xdr:twoCellAnchor editAs="oneCell">
        <xdr:from>
          <xdr:col>5</xdr:col>
          <xdr:colOff>2019300</xdr:colOff>
          <xdr:row>4</xdr:row>
          <xdr:rowOff>47625</xdr:rowOff>
        </xdr:from>
        <xdr:to>
          <xdr:col>5</xdr:col>
          <xdr:colOff>3124200</xdr:colOff>
          <xdr:row>5</xdr:row>
          <xdr:rowOff>95250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100-000006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100" b="1" i="0" u="none" strike="noStrike" baseline="0">
                  <a:solidFill>
                    <a:srgbClr val="FF0000"/>
                  </a:solidFill>
                  <a:latin typeface="Calibri"/>
                  <a:ea typeface="Calibri"/>
                  <a:cs typeface="Calibri"/>
                </a:rPr>
                <a:t>Limpiar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2019300</xdr:colOff>
          <xdr:row>25</xdr:row>
          <xdr:rowOff>19050</xdr:rowOff>
        </xdr:from>
        <xdr:to>
          <xdr:col>5</xdr:col>
          <xdr:colOff>3124200</xdr:colOff>
          <xdr:row>26</xdr:row>
          <xdr:rowOff>85725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100-000007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100" b="1" i="0" u="none" strike="noStrike" baseline="0">
                  <a:solidFill>
                    <a:srgbClr val="FF0000"/>
                  </a:solidFill>
                  <a:latin typeface="Calibri"/>
                  <a:ea typeface="Calibri"/>
                  <a:cs typeface="Calibri"/>
                </a:rPr>
                <a:t>Limpiar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6</xdr:row>
          <xdr:rowOff>390525</xdr:rowOff>
        </xdr:from>
        <xdr:to>
          <xdr:col>11</xdr:col>
          <xdr:colOff>257175</xdr:colOff>
          <xdr:row>7</xdr:row>
          <xdr:rowOff>114300</xdr:rowOff>
        </xdr:to>
        <xdr:grpSp>
          <xdr:nvGrpSpPr>
            <xdr:cNvPr id="10" name="Grupo 9">
              <a:extLst>
                <a:ext uri="{FF2B5EF4-FFF2-40B4-BE49-F238E27FC236}">
                  <a16:creationId xmlns:a16="http://schemas.microsoft.com/office/drawing/2014/main" id="{00000000-0008-0000-0100-00000A000000}"/>
                </a:ext>
              </a:extLst>
            </xdr:cNvPr>
            <xdr:cNvGrpSpPr/>
          </xdr:nvGrpSpPr>
          <xdr:grpSpPr>
            <a:xfrm>
              <a:off x="14987588" y="2014538"/>
              <a:ext cx="161925" cy="266700"/>
              <a:chOff x="790575" y="5476852"/>
              <a:chExt cx="161925" cy="485804"/>
            </a:xfrm>
          </xdr:grpSpPr>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100-00000A140000}"/>
                  </a:ext>
                </a:extLst>
              </xdr:cNvPr>
              <xdr:cNvSpPr/>
            </xdr:nvSpPr>
            <xdr:spPr bwMode="auto">
              <a:xfrm>
                <a:off x="790575" y="5476852"/>
                <a:ext cx="161925" cy="22860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200" b="1" i="0" u="none" strike="noStrike" baseline="0">
                    <a:solidFill>
                      <a:srgbClr val="000000"/>
                    </a:solidFill>
                    <a:latin typeface="Calibri"/>
                    <a:ea typeface="Calibri"/>
                    <a:cs typeface="Calibri"/>
                  </a:rPr>
                  <a:t>-</a:t>
                </a:r>
              </a:p>
            </xdr:txBody>
          </xdr:sp>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100-00000B140000}"/>
                  </a:ext>
                </a:extLst>
              </xdr:cNvPr>
              <xdr:cNvSpPr/>
            </xdr:nvSpPr>
            <xdr:spPr bwMode="auto">
              <a:xfrm>
                <a:off x="790575" y="5734056"/>
                <a:ext cx="161925" cy="22860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200" b="1" i="0" u="none" strike="noStrike" baseline="0">
                    <a:solidFill>
                      <a:srgbClr val="000000"/>
                    </a:solidFill>
                    <a:latin typeface="Calibri"/>
                    <a:ea typeface="Calibri"/>
                    <a:cs typeface="Calibri"/>
                  </a:rPr>
                  <a: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104775</xdr:colOff>
          <xdr:row>27</xdr:row>
          <xdr:rowOff>304800</xdr:rowOff>
        </xdr:from>
        <xdr:to>
          <xdr:col>13</xdr:col>
          <xdr:colOff>266700</xdr:colOff>
          <xdr:row>29</xdr:row>
          <xdr:rowOff>28575</xdr:rowOff>
        </xdr:to>
        <xdr:grpSp>
          <xdr:nvGrpSpPr>
            <xdr:cNvPr id="11" name="Grupo 10">
              <a:extLst>
                <a:ext uri="{FF2B5EF4-FFF2-40B4-BE49-F238E27FC236}">
                  <a16:creationId xmlns:a16="http://schemas.microsoft.com/office/drawing/2014/main" id="{00000000-0008-0000-0100-00000B000000}"/>
                </a:ext>
              </a:extLst>
            </xdr:cNvPr>
            <xdr:cNvGrpSpPr/>
          </xdr:nvGrpSpPr>
          <xdr:grpSpPr>
            <a:xfrm>
              <a:off x="17330738" y="6305550"/>
              <a:ext cx="161925" cy="447675"/>
              <a:chOff x="790575" y="5476859"/>
              <a:chExt cx="161925" cy="485791"/>
            </a:xfrm>
          </xdr:grpSpPr>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100-00000C140000}"/>
                  </a:ext>
                </a:extLst>
              </xdr:cNvPr>
              <xdr:cNvSpPr/>
            </xdr:nvSpPr>
            <xdr:spPr bwMode="auto">
              <a:xfrm>
                <a:off x="790575" y="5476859"/>
                <a:ext cx="161925" cy="22860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200" b="1" i="0" u="none" strike="noStrike" baseline="0">
                    <a:solidFill>
                      <a:srgbClr val="000000"/>
                    </a:solidFill>
                    <a:latin typeface="Calibri"/>
                    <a:ea typeface="Calibri"/>
                    <a:cs typeface="Calibri"/>
                  </a:rPr>
                  <a:t>-</a:t>
                </a:r>
              </a:p>
            </xdr:txBody>
          </xdr:sp>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100-00000D140000}"/>
                  </a:ext>
                </a:extLst>
              </xdr:cNvPr>
              <xdr:cNvSpPr/>
            </xdr:nvSpPr>
            <xdr:spPr bwMode="auto">
              <a:xfrm>
                <a:off x="790575" y="5734050"/>
                <a:ext cx="161925" cy="22860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200" b="1" i="0" u="none" strike="noStrike" baseline="0">
                    <a:solidFill>
                      <a:srgbClr val="000000"/>
                    </a:solidFill>
                    <a:latin typeface="Calibri"/>
                    <a:ea typeface="Calibri"/>
                    <a:cs typeface="Calibri"/>
                  </a:rPr>
                  <a:t>+</a:t>
                </a:r>
              </a:p>
            </xdr:txBody>
          </xdr:sp>
        </xdr:grp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180975</xdr:colOff>
      <xdr:row>20</xdr:row>
      <xdr:rowOff>52386</xdr:rowOff>
    </xdr:from>
    <xdr:to>
      <xdr:col>1</xdr:col>
      <xdr:colOff>161925</xdr:colOff>
      <xdr:row>28</xdr:row>
      <xdr:rowOff>214312</xdr:rowOff>
    </xdr:to>
    <xdr:grpSp>
      <xdr:nvGrpSpPr>
        <xdr:cNvPr id="3" name="Grupo 2">
          <a:extLst>
            <a:ext uri="{FF2B5EF4-FFF2-40B4-BE49-F238E27FC236}">
              <a16:creationId xmlns:a16="http://schemas.microsoft.com/office/drawing/2014/main" id="{00000000-0008-0000-0200-000003000000}"/>
            </a:ext>
          </a:extLst>
        </xdr:cNvPr>
        <xdr:cNvGrpSpPr/>
      </xdr:nvGrpSpPr>
      <xdr:grpSpPr>
        <a:xfrm>
          <a:off x="180975" y="4848224"/>
          <a:ext cx="295275" cy="1538288"/>
          <a:chOff x="180975" y="2340768"/>
          <a:chExt cx="276225" cy="1381047"/>
        </a:xfrm>
      </xdr:grpSpPr>
      <xdr:sp macro="" textlink="">
        <xdr:nvSpPr>
          <xdr:cNvPr id="2" name="CuadroTexto 1">
            <a:extLst>
              <a:ext uri="{FF2B5EF4-FFF2-40B4-BE49-F238E27FC236}">
                <a16:creationId xmlns:a16="http://schemas.microsoft.com/office/drawing/2014/main" id="{00000000-0008-0000-0200-000002000000}"/>
              </a:ext>
            </a:extLst>
          </xdr:cNvPr>
          <xdr:cNvSpPr txBox="1"/>
        </xdr:nvSpPr>
        <xdr:spPr>
          <a:xfrm rot="16200000">
            <a:off x="-371436" y="2893179"/>
            <a:ext cx="1381047"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L" sz="1100"/>
              <a:t>Interior - Exterior</a:t>
            </a:r>
          </a:p>
        </xdr:txBody>
      </xdr:sp>
      <xdr:cxnSp macro="">
        <xdr:nvCxnSpPr>
          <xdr:cNvPr id="4" name="Conector recto de flecha 3">
            <a:extLst>
              <a:ext uri="{FF2B5EF4-FFF2-40B4-BE49-F238E27FC236}">
                <a16:creationId xmlns:a16="http://schemas.microsoft.com/office/drawing/2014/main" id="{00000000-0008-0000-0200-000004000000}"/>
              </a:ext>
            </a:extLst>
          </xdr:cNvPr>
          <xdr:cNvCxnSpPr/>
        </xdr:nvCxnSpPr>
        <xdr:spPr>
          <a:xfrm>
            <a:off x="438150" y="2514600"/>
            <a:ext cx="0" cy="1000125"/>
          </a:xfrm>
          <a:prstGeom prst="straightConnector1">
            <a:avLst/>
          </a:prstGeom>
          <a:ln w="38100">
            <a:gradFill>
              <a:gsLst>
                <a:gs pos="0">
                  <a:srgbClr val="00B0F0"/>
                </a:gs>
                <a:gs pos="100000">
                  <a:schemeClr val="accent2">
                    <a:lumMod val="75000"/>
                  </a:schemeClr>
                </a:gs>
              </a:gsLst>
              <a:lin ang="5400000" scaled="1"/>
            </a:gradFill>
            <a:headEnd type="triangle" w="med" len="sm"/>
            <a:tailEnd type="triangle" w="med" len="sm"/>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1519239</xdr:colOff>
      <xdr:row>20</xdr:row>
      <xdr:rowOff>104775</xdr:rowOff>
    </xdr:from>
    <xdr:to>
      <xdr:col>4</xdr:col>
      <xdr:colOff>2305051</xdr:colOff>
      <xdr:row>21</xdr:row>
      <xdr:rowOff>119061</xdr:rowOff>
    </xdr:to>
    <xdr:sp macro="" textlink="">
      <xdr:nvSpPr>
        <xdr:cNvPr id="5" name="CuadroTexto 4">
          <a:extLst>
            <a:ext uri="{FF2B5EF4-FFF2-40B4-BE49-F238E27FC236}">
              <a16:creationId xmlns:a16="http://schemas.microsoft.com/office/drawing/2014/main" id="{00000000-0008-0000-0200-000005000000}"/>
            </a:ext>
          </a:extLst>
        </xdr:cNvPr>
        <xdr:cNvSpPr txBox="1"/>
      </xdr:nvSpPr>
      <xdr:spPr>
        <a:xfrm>
          <a:off x="5767389" y="4848225"/>
          <a:ext cx="785812" cy="1571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L" sz="1100" b="1"/>
            <a:t>Secciones</a:t>
          </a:r>
        </a:p>
      </xdr:txBody>
    </xdr:sp>
    <xdr:clientData/>
  </xdr:twoCellAnchor>
  <xdr:twoCellAnchor>
    <xdr:from>
      <xdr:col>1</xdr:col>
      <xdr:colOff>228602</xdr:colOff>
      <xdr:row>23</xdr:row>
      <xdr:rowOff>149089</xdr:rowOff>
    </xdr:from>
    <xdr:to>
      <xdr:col>1</xdr:col>
      <xdr:colOff>452438</xdr:colOff>
      <xdr:row>27</xdr:row>
      <xdr:rowOff>8397</xdr:rowOff>
    </xdr:to>
    <xdr:sp macro="" textlink="">
      <xdr:nvSpPr>
        <xdr:cNvPr id="6" name="CuadroTexto 5">
          <a:extLst>
            <a:ext uri="{FF2B5EF4-FFF2-40B4-BE49-F238E27FC236}">
              <a16:creationId xmlns:a16="http://schemas.microsoft.com/office/drawing/2014/main" id="{00000000-0008-0000-0200-000006000000}"/>
            </a:ext>
          </a:extLst>
        </xdr:cNvPr>
        <xdr:cNvSpPr txBox="1"/>
      </xdr:nvSpPr>
      <xdr:spPr>
        <a:xfrm rot="16200000">
          <a:off x="325141" y="5615150"/>
          <a:ext cx="621308" cy="2238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L" sz="1100" b="1"/>
            <a:t>Capas</a:t>
          </a:r>
        </a:p>
      </xdr:txBody>
    </xdr:sp>
    <xdr:clientData/>
  </xdr:twoCellAnchor>
  <xdr:twoCellAnchor editAs="absolute">
    <xdr:from>
      <xdr:col>1</xdr:col>
      <xdr:colOff>2526</xdr:colOff>
      <xdr:row>3</xdr:row>
      <xdr:rowOff>19050</xdr:rowOff>
    </xdr:from>
    <xdr:to>
      <xdr:col>6</xdr:col>
      <xdr:colOff>680625</xdr:colOff>
      <xdr:row>4</xdr:row>
      <xdr:rowOff>162457</xdr:rowOff>
    </xdr:to>
    <xdr:sp macro="" textlink="">
      <xdr:nvSpPr>
        <xdr:cNvPr id="8" name="CuadroTexto 7">
          <a:extLst>
            <a:ext uri="{FF2B5EF4-FFF2-40B4-BE49-F238E27FC236}">
              <a16:creationId xmlns:a16="http://schemas.microsoft.com/office/drawing/2014/main" id="{00000000-0008-0000-0200-000008000000}"/>
            </a:ext>
          </a:extLst>
        </xdr:cNvPr>
        <xdr:cNvSpPr txBox="1">
          <a:spLocks noChangeAspect="1"/>
        </xdr:cNvSpPr>
      </xdr:nvSpPr>
      <xdr:spPr>
        <a:xfrm>
          <a:off x="295275" y="762000"/>
          <a:ext cx="9396000" cy="343432"/>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t"/>
        <a:lstStyle/>
        <a:p>
          <a:r>
            <a:rPr lang="es-CL" sz="1100" b="1"/>
            <a:t>Seleccionar la Zona térmica y su alcance,</a:t>
          </a:r>
          <a:r>
            <a:rPr lang="es-CL" sz="1100" b="1" baseline="0"/>
            <a:t> el cual puede corresponder a la zona térmica completa o a determinadas comunas y/o localidades. </a:t>
          </a:r>
          <a:r>
            <a:rPr lang="es-CL" sz="1100" b="1"/>
            <a:t>Para determinar la zona térmica correspondiente, puede buscar por comuna en la hoja "Anexo".</a:t>
          </a:r>
        </a:p>
      </xdr:txBody>
    </xdr:sp>
    <xdr:clientData/>
  </xdr:twoCellAnchor>
  <xdr:twoCellAnchor editAs="absolute">
    <xdr:from>
      <xdr:col>1</xdr:col>
      <xdr:colOff>3174</xdr:colOff>
      <xdr:row>11</xdr:row>
      <xdr:rowOff>9528</xdr:rowOff>
    </xdr:from>
    <xdr:to>
      <xdr:col>6</xdr:col>
      <xdr:colOff>683799</xdr:colOff>
      <xdr:row>11</xdr:row>
      <xdr:rowOff>933450</xdr:rowOff>
    </xdr:to>
    <xdr:sp macro="" textlink="">
      <xdr:nvSpPr>
        <xdr:cNvPr id="9" name="CuadroTexto 8">
          <a:extLst>
            <a:ext uri="{FF2B5EF4-FFF2-40B4-BE49-F238E27FC236}">
              <a16:creationId xmlns:a16="http://schemas.microsoft.com/office/drawing/2014/main" id="{00000000-0008-0000-0200-000009000000}"/>
            </a:ext>
          </a:extLst>
        </xdr:cNvPr>
        <xdr:cNvSpPr txBox="1">
          <a:spLocks noChangeAspect="1"/>
        </xdr:cNvSpPr>
      </xdr:nvSpPr>
      <xdr:spPr>
        <a:xfrm>
          <a:off x="298449" y="2543178"/>
          <a:ext cx="9396000" cy="923922"/>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CL" sz="1100" b="1"/>
            <a:t>Indicar a qué tipo de elemento corresponde y una descripción libre que ayude a identificar las características técnicas principales. </a:t>
          </a:r>
          <a:r>
            <a:rPr lang="es-CL" sz="1100" b="1">
              <a:solidFill>
                <a:schemeClr val="dk1"/>
              </a:solidFill>
              <a:effectLst/>
              <a:latin typeface="+mn-lt"/>
              <a:ea typeface="+mn-ea"/>
              <a:cs typeface="+mn-cs"/>
            </a:rPr>
            <a:t>Indique un nombre que permita identificar correctamente a la sección de análisis y agregue cuantas capas sean necesarias utilizando el botón para agregar o quitar del lado izquierdo. Puede agregar más secciones de análisis según corresponda al elemento constructivo con el botón superior. Puede exportar los datos asociados a la composición del sistema constructivo o cargar datos de un sistema ya guardado</a:t>
          </a:r>
          <a:r>
            <a:rPr lang="es-CL" sz="1100" b="1" baseline="0">
              <a:solidFill>
                <a:schemeClr val="dk1"/>
              </a:solidFill>
              <a:effectLst/>
              <a:latin typeface="+mn-lt"/>
              <a:ea typeface="+mn-ea"/>
              <a:cs typeface="+mn-cs"/>
            </a:rPr>
            <a:t> mediante los botones "Exportar datos" e "Importar datos". El botón "vista en paralelo" le permitirá visualizar simultáneamente esta hoja y la hoja resumen.</a:t>
          </a:r>
          <a:endParaRPr lang="es-CL">
            <a:effectLst/>
          </a:endParaRPr>
        </a:p>
        <a:p>
          <a:endParaRPr lang="es-CL" sz="1100" b="1"/>
        </a:p>
      </xdr:txBody>
    </xdr:sp>
    <xdr:clientData/>
  </xdr:twoCellAnchor>
  <mc:AlternateContent xmlns:mc="http://schemas.openxmlformats.org/markup-compatibility/2006">
    <mc:Choice xmlns:a14="http://schemas.microsoft.com/office/drawing/2010/main" Requires="a14">
      <xdr:twoCellAnchor editAs="oneCell">
        <xdr:from>
          <xdr:col>3</xdr:col>
          <xdr:colOff>219075</xdr:colOff>
          <xdr:row>20</xdr:row>
          <xdr:rowOff>76200</xdr:rowOff>
        </xdr:from>
        <xdr:to>
          <xdr:col>3</xdr:col>
          <xdr:colOff>1085850</xdr:colOff>
          <xdr:row>22</xdr:row>
          <xdr:rowOff>171450</xdr:rowOff>
        </xdr:to>
        <xdr:sp macro="" textlink="">
          <xdr:nvSpPr>
            <xdr:cNvPr id="4189" name="Boton_Limpiar" hidden="1">
              <a:extLst>
                <a:ext uri="{63B3BB69-23CF-44E3-9099-C40C66FF867C}">
                  <a14:compatExt spid="_x0000_s4189"/>
                </a:ext>
                <a:ext uri="{FF2B5EF4-FFF2-40B4-BE49-F238E27FC236}">
                  <a16:creationId xmlns:a16="http://schemas.microsoft.com/office/drawing/2014/main" id="{00000000-0008-0000-0200-00005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100" b="1" i="0" u="none" strike="noStrike" baseline="0">
                  <a:solidFill>
                    <a:srgbClr val="FF0000"/>
                  </a:solidFill>
                  <a:latin typeface="Calibri"/>
                  <a:ea typeface="Calibri"/>
                  <a:cs typeface="Calibri"/>
                </a:rPr>
                <a:t>Limpiar </a:t>
              </a:r>
            </a:p>
            <a:p>
              <a:pPr algn="ctr" rtl="0">
                <a:defRPr sz="1000"/>
              </a:pPr>
              <a:r>
                <a:rPr lang="es-CL" sz="1100" b="1" i="0" u="none" strike="noStrike" baseline="0">
                  <a:solidFill>
                    <a:srgbClr val="FF0000"/>
                  </a:solidFill>
                  <a:latin typeface="Calibri"/>
                  <a:ea typeface="Calibri"/>
                  <a:cs typeface="Calibri"/>
                </a:rPr>
                <a:t>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904875</xdr:colOff>
          <xdr:row>20</xdr:row>
          <xdr:rowOff>76200</xdr:rowOff>
        </xdr:from>
        <xdr:to>
          <xdr:col>3</xdr:col>
          <xdr:colOff>171450</xdr:colOff>
          <xdr:row>22</xdr:row>
          <xdr:rowOff>171450</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200-00006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100" b="1" i="0" u="none" strike="noStrike" baseline="0">
                  <a:solidFill>
                    <a:srgbClr val="000000"/>
                  </a:solidFill>
                  <a:latin typeface="Calibri"/>
                  <a:ea typeface="Calibri"/>
                  <a:cs typeface="Calibri"/>
                </a:rPr>
                <a:t>Importar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695325</xdr:colOff>
          <xdr:row>20</xdr:row>
          <xdr:rowOff>76200</xdr:rowOff>
        </xdr:from>
        <xdr:to>
          <xdr:col>2</xdr:col>
          <xdr:colOff>857250</xdr:colOff>
          <xdr:row>22</xdr:row>
          <xdr:rowOff>171450</xdr:rowOff>
        </xdr:to>
        <xdr:sp macro="" textlink="">
          <xdr:nvSpPr>
            <xdr:cNvPr id="4205" name="Button 109" descr="Permite exportar a un archivo CSV los datos de configuración y materiales del sistema constructivo " hidden="1">
              <a:extLst>
                <a:ext uri="{63B3BB69-23CF-44E3-9099-C40C66FF867C}">
                  <a14:compatExt spid="_x0000_s4205"/>
                </a:ext>
                <a:ext uri="{FF2B5EF4-FFF2-40B4-BE49-F238E27FC236}">
                  <a16:creationId xmlns:a16="http://schemas.microsoft.com/office/drawing/2014/main" id="{00000000-0008-0000-0200-00006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100" b="1" i="0" u="none" strike="noStrike" baseline="0">
                  <a:solidFill>
                    <a:srgbClr val="000000"/>
                  </a:solidFill>
                  <a:latin typeface="Calibri"/>
                  <a:ea typeface="Calibri"/>
                  <a:cs typeface="Calibri"/>
                </a:rPr>
                <a:t>Exportar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20</xdr:row>
          <xdr:rowOff>76200</xdr:rowOff>
        </xdr:from>
        <xdr:to>
          <xdr:col>4</xdr:col>
          <xdr:colOff>1276350</xdr:colOff>
          <xdr:row>22</xdr:row>
          <xdr:rowOff>171450</xdr:rowOff>
        </xdr:to>
        <xdr:sp macro="" textlink="">
          <xdr:nvSpPr>
            <xdr:cNvPr id="4211" name="Button 115" hidden="1">
              <a:extLst>
                <a:ext uri="{63B3BB69-23CF-44E3-9099-C40C66FF867C}">
                  <a14:compatExt spid="_x0000_s4211"/>
                </a:ext>
                <a:ext uri="{FF2B5EF4-FFF2-40B4-BE49-F238E27FC236}">
                  <a16:creationId xmlns:a16="http://schemas.microsoft.com/office/drawing/2014/main" id="{00000000-0008-0000-0200-000073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100" b="1" i="0" u="none" strike="noStrike" baseline="0">
                  <a:solidFill>
                    <a:srgbClr val="000000"/>
                  </a:solidFill>
                  <a:latin typeface="Calibri"/>
                  <a:ea typeface="Calibri"/>
                  <a:cs typeface="Calibri"/>
                </a:rPr>
                <a:t>Vista en paralelo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24</xdr:row>
          <xdr:rowOff>19050</xdr:rowOff>
        </xdr:from>
        <xdr:to>
          <xdr:col>1</xdr:col>
          <xdr:colOff>657225</xdr:colOff>
          <xdr:row>26</xdr:row>
          <xdr:rowOff>123825</xdr:rowOff>
        </xdr:to>
        <xdr:grpSp>
          <xdr:nvGrpSpPr>
            <xdr:cNvPr id="11" name="Grupo 10">
              <a:extLst>
                <a:ext uri="{FF2B5EF4-FFF2-40B4-BE49-F238E27FC236}">
                  <a16:creationId xmlns:a16="http://schemas.microsoft.com/office/drawing/2014/main" id="{00000000-0008-0000-0200-00000B000000}"/>
                </a:ext>
              </a:extLst>
            </xdr:cNvPr>
            <xdr:cNvGrpSpPr/>
          </xdr:nvGrpSpPr>
          <xdr:grpSpPr>
            <a:xfrm>
              <a:off x="809625" y="5500688"/>
              <a:ext cx="161925" cy="466725"/>
              <a:chOff x="790575" y="5476886"/>
              <a:chExt cx="161925" cy="485769"/>
            </a:xfrm>
          </xdr:grpSpPr>
          <xdr:sp macro="" textlink="">
            <xdr:nvSpPr>
              <xdr:cNvPr id="4214" name="Button 118" hidden="1">
                <a:extLst>
                  <a:ext uri="{63B3BB69-23CF-44E3-9099-C40C66FF867C}">
                    <a14:compatExt spid="_x0000_s4214"/>
                  </a:ext>
                  <a:ext uri="{FF2B5EF4-FFF2-40B4-BE49-F238E27FC236}">
                    <a16:creationId xmlns:a16="http://schemas.microsoft.com/office/drawing/2014/main" id="{00000000-0008-0000-0200-000076100000}"/>
                  </a:ext>
                </a:extLst>
              </xdr:cNvPr>
              <xdr:cNvSpPr/>
            </xdr:nvSpPr>
            <xdr:spPr bwMode="auto">
              <a:xfrm>
                <a:off x="790575" y="5476886"/>
                <a:ext cx="161925" cy="22860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200" b="1" i="0" u="none" strike="noStrike" baseline="0">
                    <a:solidFill>
                      <a:srgbClr val="000000"/>
                    </a:solidFill>
                    <a:latin typeface="Calibri"/>
                    <a:ea typeface="Calibri"/>
                    <a:cs typeface="Calibri"/>
                  </a:rPr>
                  <a:t>-</a:t>
                </a:r>
              </a:p>
            </xdr:txBody>
          </xdr:sp>
          <xdr:sp macro="" textlink="">
            <xdr:nvSpPr>
              <xdr:cNvPr id="4215" name="Button 119" hidden="1">
                <a:extLst>
                  <a:ext uri="{63B3BB69-23CF-44E3-9099-C40C66FF867C}">
                    <a14:compatExt spid="_x0000_s4215"/>
                  </a:ext>
                  <a:ext uri="{FF2B5EF4-FFF2-40B4-BE49-F238E27FC236}">
                    <a16:creationId xmlns:a16="http://schemas.microsoft.com/office/drawing/2014/main" id="{00000000-0008-0000-0200-000077100000}"/>
                  </a:ext>
                </a:extLst>
              </xdr:cNvPr>
              <xdr:cNvSpPr/>
            </xdr:nvSpPr>
            <xdr:spPr bwMode="auto">
              <a:xfrm>
                <a:off x="790575" y="5734055"/>
                <a:ext cx="161925" cy="22860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200" b="1" i="0" u="none" strike="noStrike" baseline="0">
                    <a:solidFill>
                      <a:srgbClr val="000000"/>
                    </a:solidFill>
                    <a:latin typeface="Calibri"/>
                    <a:ea typeface="Calibri"/>
                    <a:cs typeface="Calibri"/>
                  </a:rPr>
                  <a: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21</xdr:row>
          <xdr:rowOff>142875</xdr:rowOff>
        </xdr:from>
        <xdr:to>
          <xdr:col>4</xdr:col>
          <xdr:colOff>1885950</xdr:colOff>
          <xdr:row>22</xdr:row>
          <xdr:rowOff>142875</xdr:rowOff>
        </xdr:to>
        <xdr:sp macro="" textlink="">
          <xdr:nvSpPr>
            <xdr:cNvPr id="4216" name="Button 120" hidden="1">
              <a:extLst>
                <a:ext uri="{63B3BB69-23CF-44E3-9099-C40C66FF867C}">
                  <a14:compatExt spid="_x0000_s4216"/>
                </a:ext>
                <a:ext uri="{FF2B5EF4-FFF2-40B4-BE49-F238E27FC236}">
                  <a16:creationId xmlns:a16="http://schemas.microsoft.com/office/drawing/2014/main" id="{00000000-0008-0000-0200-000078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2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21</xdr:row>
          <xdr:rowOff>142875</xdr:rowOff>
        </xdr:from>
        <xdr:to>
          <xdr:col>4</xdr:col>
          <xdr:colOff>2209800</xdr:colOff>
          <xdr:row>22</xdr:row>
          <xdr:rowOff>142875</xdr:rowOff>
        </xdr:to>
        <xdr:sp macro="" textlink="">
          <xdr:nvSpPr>
            <xdr:cNvPr id="4217" name="Button 121" hidden="1">
              <a:extLst>
                <a:ext uri="{63B3BB69-23CF-44E3-9099-C40C66FF867C}">
                  <a14:compatExt spid="_x0000_s4217"/>
                </a:ext>
                <a:ext uri="{FF2B5EF4-FFF2-40B4-BE49-F238E27FC236}">
                  <a16:creationId xmlns:a16="http://schemas.microsoft.com/office/drawing/2014/main" id="{00000000-0008-0000-0200-000079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200" b="1"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21</xdr:row>
          <xdr:rowOff>152400</xdr:rowOff>
        </xdr:from>
        <xdr:to>
          <xdr:col>2</xdr:col>
          <xdr:colOff>1009650</xdr:colOff>
          <xdr:row>23</xdr:row>
          <xdr:rowOff>19050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300-0000045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100" b="1" i="0" u="none" strike="noStrike" baseline="0">
                  <a:solidFill>
                    <a:srgbClr val="000000"/>
                  </a:solidFill>
                  <a:latin typeface="Calibri"/>
                  <a:ea typeface="Calibri"/>
                  <a:cs typeface="Calibri"/>
                </a:rPr>
                <a:t>Mostrar/ocultar detalles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450753</xdr:colOff>
      <xdr:row>53</xdr:row>
      <xdr:rowOff>76200</xdr:rowOff>
    </xdr:from>
    <xdr:to>
      <xdr:col>7</xdr:col>
      <xdr:colOff>583142</xdr:colOff>
      <xdr:row>71</xdr:row>
      <xdr:rowOff>114300</xdr:rowOff>
    </xdr:to>
    <xdr:grpSp>
      <xdr:nvGrpSpPr>
        <xdr:cNvPr id="18" name="Grupo 17">
          <a:extLst>
            <a:ext uri="{FF2B5EF4-FFF2-40B4-BE49-F238E27FC236}">
              <a16:creationId xmlns:a16="http://schemas.microsoft.com/office/drawing/2014/main" id="{00000000-0008-0000-0400-000012000000}"/>
            </a:ext>
          </a:extLst>
        </xdr:cNvPr>
        <xdr:cNvGrpSpPr/>
      </xdr:nvGrpSpPr>
      <xdr:grpSpPr>
        <a:xfrm>
          <a:off x="765078" y="10225088"/>
          <a:ext cx="5799764" cy="3295650"/>
          <a:chOff x="519545" y="6858000"/>
          <a:chExt cx="5403272" cy="3392632"/>
        </a:xfrm>
      </xdr:grpSpPr>
      <xdr:grpSp>
        <xdr:nvGrpSpPr>
          <xdr:cNvPr id="10" name="Grupo 9">
            <a:extLst>
              <a:ext uri="{FF2B5EF4-FFF2-40B4-BE49-F238E27FC236}">
                <a16:creationId xmlns:a16="http://schemas.microsoft.com/office/drawing/2014/main" id="{00000000-0008-0000-0400-00000A000000}"/>
              </a:ext>
            </a:extLst>
          </xdr:cNvPr>
          <xdr:cNvGrpSpPr/>
        </xdr:nvGrpSpPr>
        <xdr:grpSpPr>
          <a:xfrm>
            <a:off x="892694" y="9783906"/>
            <a:ext cx="1546024" cy="447676"/>
            <a:chOff x="1605713" y="9553574"/>
            <a:chExt cx="1513149" cy="447676"/>
          </a:xfrm>
        </xdr:grpSpPr>
        <xdr:cxnSp macro="">
          <xdr:nvCxnSpPr>
            <xdr:cNvPr id="4" name="Conector recto 3">
              <a:extLst>
                <a:ext uri="{FF2B5EF4-FFF2-40B4-BE49-F238E27FC236}">
                  <a16:creationId xmlns:a16="http://schemas.microsoft.com/office/drawing/2014/main" id="{00000000-0008-0000-0400-000004000000}"/>
                </a:ext>
              </a:extLst>
            </xdr:cNvPr>
            <xdr:cNvCxnSpPr/>
          </xdr:nvCxnSpPr>
          <xdr:spPr>
            <a:xfrm>
              <a:off x="1605713" y="9744075"/>
              <a:ext cx="447675" cy="0"/>
            </a:xfrm>
            <a:prstGeom prst="line">
              <a:avLst/>
            </a:prstGeom>
            <a:ln w="28575"/>
          </xdr:spPr>
          <xdr:style>
            <a:lnRef idx="1">
              <a:schemeClr val="dk1"/>
            </a:lnRef>
            <a:fillRef idx="0">
              <a:schemeClr val="dk1"/>
            </a:fillRef>
            <a:effectRef idx="0">
              <a:schemeClr val="dk1"/>
            </a:effectRef>
            <a:fontRef idx="minor">
              <a:schemeClr val="tx1"/>
            </a:fontRef>
          </xdr:style>
        </xdr:cxnSp>
        <xdr:sp macro="" textlink="">
          <xdr:nvSpPr>
            <xdr:cNvPr id="7" name="CuadroTexto 6">
              <a:extLst>
                <a:ext uri="{FF2B5EF4-FFF2-40B4-BE49-F238E27FC236}">
                  <a16:creationId xmlns:a16="http://schemas.microsoft.com/office/drawing/2014/main" id="{00000000-0008-0000-0400-000007000000}"/>
                </a:ext>
              </a:extLst>
            </xdr:cNvPr>
            <xdr:cNvSpPr txBox="1"/>
          </xdr:nvSpPr>
          <xdr:spPr>
            <a:xfrm>
              <a:off x="2122820" y="9553574"/>
              <a:ext cx="996042" cy="4476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nchorCtr="0"/>
            <a:lstStyle/>
            <a:p>
              <a:r>
                <a:rPr lang="es-CL" sz="1100"/>
                <a:t>Presión de saturación</a:t>
              </a:r>
            </a:p>
          </xdr:txBody>
        </xdr:sp>
      </xdr:grpSp>
      <xdr:grpSp>
        <xdr:nvGrpSpPr>
          <xdr:cNvPr id="11" name="Grupo 10">
            <a:extLst>
              <a:ext uri="{FF2B5EF4-FFF2-40B4-BE49-F238E27FC236}">
                <a16:creationId xmlns:a16="http://schemas.microsoft.com/office/drawing/2014/main" id="{00000000-0008-0000-0400-00000B000000}"/>
              </a:ext>
            </a:extLst>
          </xdr:cNvPr>
          <xdr:cNvGrpSpPr/>
        </xdr:nvGrpSpPr>
        <xdr:grpSpPr>
          <a:xfrm>
            <a:off x="2484185" y="9812482"/>
            <a:ext cx="1742426" cy="419100"/>
            <a:chOff x="3534839" y="9544050"/>
            <a:chExt cx="1705376" cy="419100"/>
          </a:xfrm>
        </xdr:grpSpPr>
        <xdr:cxnSp macro="">
          <xdr:nvCxnSpPr>
            <xdr:cNvPr id="5" name="Conector recto 4">
              <a:extLst>
                <a:ext uri="{FF2B5EF4-FFF2-40B4-BE49-F238E27FC236}">
                  <a16:creationId xmlns:a16="http://schemas.microsoft.com/office/drawing/2014/main" id="{00000000-0008-0000-0400-000005000000}"/>
                </a:ext>
              </a:extLst>
            </xdr:cNvPr>
            <xdr:cNvCxnSpPr/>
          </xdr:nvCxnSpPr>
          <xdr:spPr>
            <a:xfrm>
              <a:off x="3534839" y="9725025"/>
              <a:ext cx="447674" cy="0"/>
            </a:xfrm>
            <a:prstGeom prst="line">
              <a:avLst/>
            </a:prstGeom>
            <a:ln w="28575">
              <a:solidFill>
                <a:schemeClr val="accent1"/>
              </a:solidFill>
              <a:prstDash val="sysDash"/>
            </a:ln>
          </xdr:spPr>
          <xdr:style>
            <a:lnRef idx="1">
              <a:schemeClr val="dk1"/>
            </a:lnRef>
            <a:fillRef idx="0">
              <a:schemeClr val="dk1"/>
            </a:fillRef>
            <a:effectRef idx="0">
              <a:schemeClr val="dk1"/>
            </a:effectRef>
            <a:fontRef idx="minor">
              <a:schemeClr val="tx1"/>
            </a:fontRef>
          </xdr:style>
        </xdr:cxnSp>
        <xdr:sp macro="" textlink="">
          <xdr:nvSpPr>
            <xdr:cNvPr id="8" name="CuadroTexto 7">
              <a:extLst>
                <a:ext uri="{FF2B5EF4-FFF2-40B4-BE49-F238E27FC236}">
                  <a16:creationId xmlns:a16="http://schemas.microsoft.com/office/drawing/2014/main" id="{00000000-0008-0000-0400-000008000000}"/>
                </a:ext>
              </a:extLst>
            </xdr:cNvPr>
            <xdr:cNvSpPr txBox="1"/>
          </xdr:nvSpPr>
          <xdr:spPr>
            <a:xfrm>
              <a:off x="4009398" y="9544050"/>
              <a:ext cx="1230817" cy="4191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nchorCtr="0"/>
            <a:lstStyle/>
            <a:p>
              <a:r>
                <a:rPr lang="es-CL" sz="1100"/>
                <a:t>Presión de vapor de la Sección</a:t>
              </a:r>
            </a:p>
          </xdr:txBody>
        </xdr:sp>
      </xdr:grpSp>
      <xdr:sp macro="" textlink="">
        <xdr:nvSpPr>
          <xdr:cNvPr id="9" name="CuadroTexto 8">
            <a:extLst>
              <a:ext uri="{FF2B5EF4-FFF2-40B4-BE49-F238E27FC236}">
                <a16:creationId xmlns:a16="http://schemas.microsoft.com/office/drawing/2014/main" id="{00000000-0008-0000-0400-000009000000}"/>
              </a:ext>
            </a:extLst>
          </xdr:cNvPr>
          <xdr:cNvSpPr txBox="1"/>
        </xdr:nvSpPr>
        <xdr:spPr>
          <a:xfrm>
            <a:off x="4645968" y="9802956"/>
            <a:ext cx="1084530" cy="4476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nchorCtr="0"/>
          <a:lstStyle/>
          <a:p>
            <a:r>
              <a:rPr lang="es-CL" sz="1100"/>
              <a:t>Interfaz de condensación</a:t>
            </a:r>
          </a:p>
        </xdr:txBody>
      </xdr:sp>
      <xdr:graphicFrame macro="">
        <xdr:nvGraphicFramePr>
          <xdr:cNvPr id="14" name="Gráfico 13">
            <a:extLst>
              <a:ext uri="{FF2B5EF4-FFF2-40B4-BE49-F238E27FC236}">
                <a16:creationId xmlns:a16="http://schemas.microsoft.com/office/drawing/2014/main" id="{00000000-0008-0000-0400-00000E000000}"/>
              </a:ext>
            </a:extLst>
          </xdr:cNvPr>
          <xdr:cNvGraphicFramePr>
            <a:graphicFrameLocks/>
          </xdr:cNvGraphicFramePr>
        </xdr:nvGraphicFramePr>
        <xdr:xfrm>
          <a:off x="519545" y="6858000"/>
          <a:ext cx="5403272" cy="2970068"/>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16" name="Conector recto 15">
            <a:extLst>
              <a:ext uri="{FF2B5EF4-FFF2-40B4-BE49-F238E27FC236}">
                <a16:creationId xmlns:a16="http://schemas.microsoft.com/office/drawing/2014/main" id="{00000000-0008-0000-0400-000010000000}"/>
              </a:ext>
            </a:extLst>
          </xdr:cNvPr>
          <xdr:cNvCxnSpPr/>
        </xdr:nvCxnSpPr>
        <xdr:spPr>
          <a:xfrm>
            <a:off x="1076629" y="7204363"/>
            <a:ext cx="4655272" cy="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17" name="Conector recto 16">
            <a:extLst>
              <a:ext uri="{FF2B5EF4-FFF2-40B4-BE49-F238E27FC236}">
                <a16:creationId xmlns:a16="http://schemas.microsoft.com/office/drawing/2014/main" id="{00000000-0008-0000-0400-000011000000}"/>
              </a:ext>
            </a:extLst>
          </xdr:cNvPr>
          <xdr:cNvCxnSpPr/>
        </xdr:nvCxnSpPr>
        <xdr:spPr>
          <a:xfrm>
            <a:off x="1060702" y="9620250"/>
            <a:ext cx="4665724" cy="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1047750</xdr:colOff>
      <xdr:row>66</xdr:row>
      <xdr:rowOff>106883</xdr:rowOff>
    </xdr:from>
    <xdr:to>
      <xdr:col>7</xdr:col>
      <xdr:colOff>112183</xdr:colOff>
      <xdr:row>67</xdr:row>
      <xdr:rowOff>176156</xdr:rowOff>
    </xdr:to>
    <xdr:grpSp>
      <xdr:nvGrpSpPr>
        <xdr:cNvPr id="22" name="Grupo 21">
          <a:extLst>
            <a:ext uri="{FF2B5EF4-FFF2-40B4-BE49-F238E27FC236}">
              <a16:creationId xmlns:a16="http://schemas.microsoft.com/office/drawing/2014/main" id="{00000000-0008-0000-0400-000016000000}"/>
            </a:ext>
          </a:extLst>
        </xdr:cNvPr>
        <xdr:cNvGrpSpPr/>
      </xdr:nvGrpSpPr>
      <xdr:grpSpPr>
        <a:xfrm>
          <a:off x="1362075" y="12608446"/>
          <a:ext cx="4731808" cy="250248"/>
          <a:chOff x="1343025" y="10241483"/>
          <a:chExt cx="4322233" cy="259773"/>
        </a:xfrm>
      </xdr:grpSpPr>
      <xdr:sp macro="" textlink="Gráf_cuadro_SdT">
        <xdr:nvSpPr>
          <xdr:cNvPr id="19" name="CuadroTexto 18">
            <a:extLst>
              <a:ext uri="{FF2B5EF4-FFF2-40B4-BE49-F238E27FC236}">
                <a16:creationId xmlns:a16="http://schemas.microsoft.com/office/drawing/2014/main" id="{00000000-0008-0000-0400-000013000000}"/>
              </a:ext>
            </a:extLst>
          </xdr:cNvPr>
          <xdr:cNvSpPr txBox="1"/>
        </xdr:nvSpPr>
        <xdr:spPr>
          <a:xfrm>
            <a:off x="2600325" y="10241483"/>
            <a:ext cx="1661596" cy="259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69A31F4-E4BE-4C23-BA20-6D4672B45B48}" type="TxLink">
              <a:rPr lang="en-US" sz="1100" b="0" i="0" u="none" strike="noStrike">
                <a:solidFill>
                  <a:srgbClr val="000000"/>
                </a:solidFill>
                <a:latin typeface="Calibri"/>
                <a:cs typeface="Calibri"/>
              </a:rPr>
              <a:pPr algn="ctr"/>
              <a:t>Sd Total = 0 [m]</a:t>
            </a:fld>
            <a:endParaRPr lang="es-CL" sz="1100"/>
          </a:p>
        </xdr:txBody>
      </xdr:sp>
      <xdr:cxnSp macro="">
        <xdr:nvCxnSpPr>
          <xdr:cNvPr id="21" name="Conector recto de flecha 20">
            <a:extLst>
              <a:ext uri="{FF2B5EF4-FFF2-40B4-BE49-F238E27FC236}">
                <a16:creationId xmlns:a16="http://schemas.microsoft.com/office/drawing/2014/main" id="{00000000-0008-0000-0400-000015000000}"/>
              </a:ext>
            </a:extLst>
          </xdr:cNvPr>
          <xdr:cNvCxnSpPr/>
        </xdr:nvCxnSpPr>
        <xdr:spPr>
          <a:xfrm flipV="1">
            <a:off x="4124325" y="10382250"/>
            <a:ext cx="1540933" cy="9525"/>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xnSp macro="">
        <xdr:nvCxnSpPr>
          <xdr:cNvPr id="23" name="Conector recto de flecha 22">
            <a:extLst>
              <a:ext uri="{FF2B5EF4-FFF2-40B4-BE49-F238E27FC236}">
                <a16:creationId xmlns:a16="http://schemas.microsoft.com/office/drawing/2014/main" id="{00000000-0008-0000-0400-000017000000}"/>
              </a:ext>
            </a:extLst>
          </xdr:cNvPr>
          <xdr:cNvCxnSpPr/>
        </xdr:nvCxnSpPr>
        <xdr:spPr>
          <a:xfrm flipH="1">
            <a:off x="1343025" y="10372725"/>
            <a:ext cx="1178983" cy="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grpSp>
    <xdr:clientData/>
  </xdr:twoCellAnchor>
  <xdr:oneCellAnchor>
    <xdr:from>
      <xdr:col>1</xdr:col>
      <xdr:colOff>697690</xdr:colOff>
      <xdr:row>55</xdr:row>
      <xdr:rowOff>57150</xdr:rowOff>
    </xdr:from>
    <xdr:ext cx="244930" cy="2476499"/>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992965" y="8134350"/>
          <a:ext cx="244930" cy="2476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lIns="36000" tIns="36000" rIns="36000" bIns="36000" rtlCol="0" anchor="ctr">
          <a:spAutoFit/>
        </a:bodyPr>
        <a:lstStyle/>
        <a:p>
          <a:pPr algn="ctr"/>
          <a:r>
            <a:rPr lang="es-CL" sz="1100" spc="160" baseline="0"/>
            <a:t>EXTERIOR</a:t>
          </a:r>
        </a:p>
      </xdr:txBody>
    </xdr:sp>
    <xdr:clientData/>
  </xdr:oneCellAnchor>
  <xdr:oneCellAnchor>
    <xdr:from>
      <xdr:col>7</xdr:col>
      <xdr:colOff>336954</xdr:colOff>
      <xdr:row>54</xdr:row>
      <xdr:rowOff>161925</xdr:rowOff>
    </xdr:from>
    <xdr:ext cx="244930" cy="2571750"/>
    <xdr:sp macro="" textlink="">
      <xdr:nvSpPr>
        <xdr:cNvPr id="13" name="CuadroTexto 12">
          <a:extLst>
            <a:ext uri="{FF2B5EF4-FFF2-40B4-BE49-F238E27FC236}">
              <a16:creationId xmlns:a16="http://schemas.microsoft.com/office/drawing/2014/main" id="{00000000-0008-0000-0400-00000D000000}"/>
            </a:ext>
          </a:extLst>
        </xdr:cNvPr>
        <xdr:cNvSpPr txBox="1"/>
      </xdr:nvSpPr>
      <xdr:spPr>
        <a:xfrm>
          <a:off x="5890029" y="8048625"/>
          <a:ext cx="244930" cy="2571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lIns="36000" tIns="36000" rIns="36000" bIns="36000" rtlCol="0" anchor="ctr">
          <a:spAutoFit/>
        </a:bodyPr>
        <a:lstStyle/>
        <a:p>
          <a:pPr algn="ctr"/>
          <a:r>
            <a:rPr lang="es-CL" sz="1100" spc="160" baseline="0"/>
            <a:t>INTERIOR</a:t>
          </a:r>
        </a:p>
      </xdr:txBody>
    </xdr:sp>
    <xdr:clientData/>
  </xdr:oneCellAnchor>
  <xdr:twoCellAnchor>
    <xdr:from>
      <xdr:col>5</xdr:col>
      <xdr:colOff>731066</xdr:colOff>
      <xdr:row>70</xdr:row>
      <xdr:rowOff>5144</xdr:rowOff>
    </xdr:from>
    <xdr:to>
      <xdr:col>6</xdr:col>
      <xdr:colOff>70733</xdr:colOff>
      <xdr:row>70</xdr:row>
      <xdr:rowOff>149144</xdr:rowOff>
    </xdr:to>
    <xdr:sp macro="" textlink="">
      <xdr:nvSpPr>
        <xdr:cNvPr id="15" name="Cruz 14">
          <a:extLst>
            <a:ext uri="{FF2B5EF4-FFF2-40B4-BE49-F238E27FC236}">
              <a16:creationId xmlns:a16="http://schemas.microsoft.com/office/drawing/2014/main" id="{00000000-0008-0000-0400-00000F000000}"/>
            </a:ext>
          </a:extLst>
        </xdr:cNvPr>
        <xdr:cNvSpPr/>
      </xdr:nvSpPr>
      <xdr:spPr>
        <a:xfrm rot="2700000">
          <a:off x="4681825" y="10941960"/>
          <a:ext cx="144000" cy="139767"/>
        </a:xfrm>
        <a:prstGeom prst="plus">
          <a:avLst>
            <a:gd name="adj" fmla="val 50000"/>
          </a:avLst>
        </a:prstGeom>
        <a:ln w="63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8</xdr:col>
      <xdr:colOff>254000</xdr:colOff>
      <xdr:row>53</xdr:row>
      <xdr:rowOff>114027</xdr:rowOff>
    </xdr:from>
    <xdr:to>
      <xdr:col>14</xdr:col>
      <xdr:colOff>594527</xdr:colOff>
      <xdr:row>71</xdr:row>
      <xdr:rowOff>44450</xdr:rowOff>
    </xdr:to>
    <xdr:grpSp>
      <xdr:nvGrpSpPr>
        <xdr:cNvPr id="58" name="Grupo 57">
          <a:extLst>
            <a:ext uri="{FF2B5EF4-FFF2-40B4-BE49-F238E27FC236}">
              <a16:creationId xmlns:a16="http://schemas.microsoft.com/office/drawing/2014/main" id="{00000000-0008-0000-0400-00003A000000}"/>
            </a:ext>
          </a:extLst>
        </xdr:cNvPr>
        <xdr:cNvGrpSpPr/>
      </xdr:nvGrpSpPr>
      <xdr:grpSpPr>
        <a:xfrm>
          <a:off x="7092950" y="10262915"/>
          <a:ext cx="5484027" cy="3187973"/>
          <a:chOff x="331123" y="6858000"/>
          <a:chExt cx="5403272" cy="3359423"/>
        </a:xfrm>
      </xdr:grpSpPr>
      <xdr:grpSp>
        <xdr:nvGrpSpPr>
          <xdr:cNvPr id="60" name="Grupo 59">
            <a:extLst>
              <a:ext uri="{FF2B5EF4-FFF2-40B4-BE49-F238E27FC236}">
                <a16:creationId xmlns:a16="http://schemas.microsoft.com/office/drawing/2014/main" id="{00000000-0008-0000-0400-00003C000000}"/>
              </a:ext>
            </a:extLst>
          </xdr:cNvPr>
          <xdr:cNvGrpSpPr/>
        </xdr:nvGrpSpPr>
        <xdr:grpSpPr>
          <a:xfrm>
            <a:off x="3493760" y="9793432"/>
            <a:ext cx="1567585" cy="423991"/>
            <a:chOff x="4522946" y="9525000"/>
            <a:chExt cx="1534252" cy="423991"/>
          </a:xfrm>
        </xdr:grpSpPr>
        <xdr:cxnSp macro="">
          <xdr:nvCxnSpPr>
            <xdr:cNvPr id="11266" name="Conector recto 11265">
              <a:extLst>
                <a:ext uri="{FF2B5EF4-FFF2-40B4-BE49-F238E27FC236}">
                  <a16:creationId xmlns:a16="http://schemas.microsoft.com/office/drawing/2014/main" id="{00000000-0008-0000-0400-0000022C0000}"/>
                </a:ext>
              </a:extLst>
            </xdr:cNvPr>
            <xdr:cNvCxnSpPr/>
          </xdr:nvCxnSpPr>
          <xdr:spPr>
            <a:xfrm>
              <a:off x="4522946" y="9734550"/>
              <a:ext cx="447675" cy="0"/>
            </a:xfrm>
            <a:prstGeom prst="line">
              <a:avLst/>
            </a:prstGeom>
            <a:ln w="28575">
              <a:solidFill>
                <a:srgbClr val="C00000"/>
              </a:solidFill>
              <a:prstDash val="sysDot"/>
            </a:ln>
          </xdr:spPr>
          <xdr:style>
            <a:lnRef idx="1">
              <a:schemeClr val="dk1"/>
            </a:lnRef>
            <a:fillRef idx="0">
              <a:schemeClr val="dk1"/>
            </a:fillRef>
            <a:effectRef idx="0">
              <a:schemeClr val="dk1"/>
            </a:effectRef>
            <a:fontRef idx="minor">
              <a:schemeClr val="tx1"/>
            </a:fontRef>
          </xdr:style>
        </xdr:cxnSp>
        <xdr:sp macro="" textlink="">
          <xdr:nvSpPr>
            <xdr:cNvPr id="11267" name="CuadroTexto 11266">
              <a:extLst>
                <a:ext uri="{FF2B5EF4-FFF2-40B4-BE49-F238E27FC236}">
                  <a16:creationId xmlns:a16="http://schemas.microsoft.com/office/drawing/2014/main" id="{00000000-0008-0000-0400-0000032C0000}"/>
                </a:ext>
              </a:extLst>
            </xdr:cNvPr>
            <xdr:cNvSpPr txBox="1"/>
          </xdr:nvSpPr>
          <xdr:spPr>
            <a:xfrm>
              <a:off x="5018973" y="9525000"/>
              <a:ext cx="1038225" cy="423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nchorCtr="0"/>
            <a:lstStyle/>
            <a:p>
              <a:r>
                <a:rPr lang="es-CL" sz="1100"/>
                <a:t>Temperatura de la Sección</a:t>
              </a:r>
            </a:p>
          </xdr:txBody>
        </xdr:sp>
      </xdr:grpSp>
      <xdr:graphicFrame macro="">
        <xdr:nvGraphicFramePr>
          <xdr:cNvPr id="62" name="Gráfico 61">
            <a:extLst>
              <a:ext uri="{FF2B5EF4-FFF2-40B4-BE49-F238E27FC236}">
                <a16:creationId xmlns:a16="http://schemas.microsoft.com/office/drawing/2014/main" id="{00000000-0008-0000-0400-00003E000000}"/>
              </a:ext>
            </a:extLst>
          </xdr:cNvPr>
          <xdr:cNvGraphicFramePr>
            <a:graphicFrameLocks/>
          </xdr:cNvGraphicFramePr>
        </xdr:nvGraphicFramePr>
        <xdr:xfrm>
          <a:off x="331123" y="6858000"/>
          <a:ext cx="5403272" cy="2970068"/>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63" name="Conector recto 62">
            <a:extLst>
              <a:ext uri="{FF2B5EF4-FFF2-40B4-BE49-F238E27FC236}">
                <a16:creationId xmlns:a16="http://schemas.microsoft.com/office/drawing/2014/main" id="{00000000-0008-0000-0400-00003F000000}"/>
              </a:ext>
            </a:extLst>
          </xdr:cNvPr>
          <xdr:cNvCxnSpPr/>
        </xdr:nvCxnSpPr>
        <xdr:spPr>
          <a:xfrm>
            <a:off x="625470" y="7199729"/>
            <a:ext cx="4965145" cy="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oneCellAnchor>
    <xdr:from>
      <xdr:col>8</xdr:col>
      <xdr:colOff>265890</xdr:colOff>
      <xdr:row>53</xdr:row>
      <xdr:rowOff>161925</xdr:rowOff>
    </xdr:from>
    <xdr:ext cx="244930" cy="2381250"/>
    <xdr:sp macro="" textlink="">
      <xdr:nvSpPr>
        <xdr:cNvPr id="11273" name="CuadroTexto 11272">
          <a:extLst>
            <a:ext uri="{FF2B5EF4-FFF2-40B4-BE49-F238E27FC236}">
              <a16:creationId xmlns:a16="http://schemas.microsoft.com/office/drawing/2014/main" id="{00000000-0008-0000-0400-0000092C0000}"/>
            </a:ext>
          </a:extLst>
        </xdr:cNvPr>
        <xdr:cNvSpPr txBox="1"/>
      </xdr:nvSpPr>
      <xdr:spPr>
        <a:xfrm>
          <a:off x="6637057" y="10798175"/>
          <a:ext cx="244930" cy="2381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lIns="36000" tIns="36000" rIns="36000" bIns="36000" rtlCol="0" anchor="ctr">
          <a:spAutoFit/>
        </a:bodyPr>
        <a:lstStyle/>
        <a:p>
          <a:pPr algn="ctr"/>
          <a:r>
            <a:rPr lang="es-CL" sz="1100" spc="160" baseline="0"/>
            <a:t>EXTERIOR</a:t>
          </a:r>
        </a:p>
      </xdr:txBody>
    </xdr:sp>
    <xdr:clientData/>
  </xdr:oneCellAnchor>
  <xdr:twoCellAnchor>
    <xdr:from>
      <xdr:col>8</xdr:col>
      <xdr:colOff>484719</xdr:colOff>
      <xdr:row>68</xdr:row>
      <xdr:rowOff>22613</xdr:rowOff>
    </xdr:from>
    <xdr:to>
      <xdr:col>14</xdr:col>
      <xdr:colOff>548361</xdr:colOff>
      <xdr:row>68</xdr:row>
      <xdr:rowOff>22613</xdr:rowOff>
    </xdr:to>
    <xdr:cxnSp macro="">
      <xdr:nvCxnSpPr>
        <xdr:cNvPr id="11276" name="Conector recto 11275">
          <a:extLst>
            <a:ext uri="{FF2B5EF4-FFF2-40B4-BE49-F238E27FC236}">
              <a16:creationId xmlns:a16="http://schemas.microsoft.com/office/drawing/2014/main" id="{00000000-0008-0000-0400-00000C2C0000}"/>
            </a:ext>
          </a:extLst>
        </xdr:cNvPr>
        <xdr:cNvCxnSpPr/>
      </xdr:nvCxnSpPr>
      <xdr:spPr>
        <a:xfrm>
          <a:off x="6837894" y="10576313"/>
          <a:ext cx="5169042" cy="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464814</xdr:colOff>
      <xdr:row>53</xdr:row>
      <xdr:rowOff>171449</xdr:rowOff>
    </xdr:from>
    <xdr:ext cx="244930" cy="2800351"/>
    <xdr:sp macro="" textlink="">
      <xdr:nvSpPr>
        <xdr:cNvPr id="11274" name="CuadroTexto 11273">
          <a:extLst>
            <a:ext uri="{FF2B5EF4-FFF2-40B4-BE49-F238E27FC236}">
              <a16:creationId xmlns:a16="http://schemas.microsoft.com/office/drawing/2014/main" id="{00000000-0008-0000-0400-00000A2C0000}"/>
            </a:ext>
          </a:extLst>
        </xdr:cNvPr>
        <xdr:cNvSpPr txBox="1"/>
      </xdr:nvSpPr>
      <xdr:spPr>
        <a:xfrm>
          <a:off x="11923389" y="7867649"/>
          <a:ext cx="244930" cy="2800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lIns="36000" tIns="36000" rIns="36000" bIns="36000" rtlCol="0" anchor="ctr">
          <a:spAutoFit/>
        </a:bodyPr>
        <a:lstStyle/>
        <a:p>
          <a:pPr algn="ctr"/>
          <a:r>
            <a:rPr lang="es-CL" sz="1100" spc="160" baseline="0"/>
            <a:t>INTERIOR</a:t>
          </a:r>
        </a:p>
      </xdr:txBody>
    </xdr:sp>
    <xdr:clientData/>
  </xdr:oneCellAnchor>
  <mc:AlternateContent xmlns:mc="http://schemas.openxmlformats.org/markup-compatibility/2006">
    <mc:Choice xmlns:a14="http://schemas.microsoft.com/office/drawing/2010/main" Requires="a14">
      <xdr:twoCellAnchor>
        <xdr:from>
          <xdr:col>1</xdr:col>
          <xdr:colOff>66675</xdr:colOff>
          <xdr:row>33</xdr:row>
          <xdr:rowOff>114300</xdr:rowOff>
        </xdr:from>
        <xdr:to>
          <xdr:col>3</xdr:col>
          <xdr:colOff>161925</xdr:colOff>
          <xdr:row>34</xdr:row>
          <xdr:rowOff>171450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400-000007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100" b="1" i="0" u="none" strike="noStrike" baseline="0">
                  <a:solidFill>
                    <a:srgbClr val="000000"/>
                  </a:solidFill>
                  <a:latin typeface="Calibri"/>
                  <a:ea typeface="Calibri"/>
                  <a:cs typeface="Calibri"/>
                </a:rPr>
                <a:t>Mostrar/ocultar detalles</a:t>
              </a:r>
            </a:p>
          </xdr:txBody>
        </xdr:sp>
        <xdr:clientData fPrintsWithSheet="0"/>
      </xdr:twoCellAnchor>
    </mc:Choice>
    <mc:Fallback/>
  </mc:AlternateContent>
  <xdr:twoCellAnchor>
    <xdr:from>
      <xdr:col>9</xdr:col>
      <xdr:colOff>520700</xdr:colOff>
      <xdr:row>69</xdr:row>
      <xdr:rowOff>175359</xdr:rowOff>
    </xdr:from>
    <xdr:to>
      <xdr:col>10</xdr:col>
      <xdr:colOff>176894</xdr:colOff>
      <xdr:row>69</xdr:row>
      <xdr:rowOff>175359</xdr:rowOff>
    </xdr:to>
    <xdr:cxnSp macro="">
      <xdr:nvCxnSpPr>
        <xdr:cNvPr id="28" name="Conector recto 27">
          <a:extLst>
            <a:ext uri="{FF2B5EF4-FFF2-40B4-BE49-F238E27FC236}">
              <a16:creationId xmlns:a16="http://schemas.microsoft.com/office/drawing/2014/main" id="{00000000-0008-0000-0400-00001C000000}"/>
            </a:ext>
          </a:extLst>
        </xdr:cNvPr>
        <xdr:cNvCxnSpPr/>
      </xdr:nvCxnSpPr>
      <xdr:spPr>
        <a:xfrm>
          <a:off x="7673975" y="12795984"/>
          <a:ext cx="456294"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247663</xdr:colOff>
      <xdr:row>68</xdr:row>
      <xdr:rowOff>171177</xdr:rowOff>
    </xdr:from>
    <xdr:to>
      <xdr:col>11</xdr:col>
      <xdr:colOff>462781</xdr:colOff>
      <xdr:row>71</xdr:row>
      <xdr:rowOff>57179</xdr:rowOff>
    </xdr:to>
    <xdr:sp macro="" textlink="">
      <xdr:nvSpPr>
        <xdr:cNvPr id="29" name="CuadroTexto 28">
          <a:extLst>
            <a:ext uri="{FF2B5EF4-FFF2-40B4-BE49-F238E27FC236}">
              <a16:creationId xmlns:a16="http://schemas.microsoft.com/office/drawing/2014/main" id="{00000000-0008-0000-0400-00001D000000}"/>
            </a:ext>
          </a:extLst>
        </xdr:cNvPr>
        <xdr:cNvSpPr txBox="1"/>
      </xdr:nvSpPr>
      <xdr:spPr>
        <a:xfrm>
          <a:off x="8201038" y="12601302"/>
          <a:ext cx="1015218" cy="4575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nchorCtr="0"/>
        <a:lstStyle/>
        <a:p>
          <a:r>
            <a:rPr lang="es-CL" sz="1100"/>
            <a:t>Temperatura</a:t>
          </a:r>
          <a:r>
            <a:rPr lang="es-CL" sz="1100" baseline="0"/>
            <a:t> de rocío</a:t>
          </a:r>
          <a:endParaRPr lang="es-CL"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18</xdr:col>
      <xdr:colOff>1009650</xdr:colOff>
      <xdr:row>9</xdr:row>
      <xdr:rowOff>142875</xdr:rowOff>
    </xdr:from>
    <xdr:to>
      <xdr:col>20</xdr:col>
      <xdr:colOff>624580</xdr:colOff>
      <xdr:row>13</xdr:row>
      <xdr:rowOff>88459</xdr:rowOff>
    </xdr:to>
    <xdr:pic>
      <xdr:nvPicPr>
        <xdr:cNvPr id="9" name="Imagen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tretch>
          <a:fillRect/>
        </a:stretch>
      </xdr:blipFill>
      <xdr:spPr>
        <a:xfrm>
          <a:off x="19945350" y="2038350"/>
          <a:ext cx="1396105" cy="774259"/>
        </a:xfrm>
        <a:prstGeom prst="rect">
          <a:avLst/>
        </a:prstGeom>
      </xdr:spPr>
    </xdr:pic>
    <xdr:clientData/>
  </xdr:twoCellAnchor>
  <xdr:twoCellAnchor>
    <xdr:from>
      <xdr:col>15</xdr:col>
      <xdr:colOff>828675</xdr:colOff>
      <xdr:row>1</xdr:row>
      <xdr:rowOff>0</xdr:rowOff>
    </xdr:from>
    <xdr:to>
      <xdr:col>22</xdr:col>
      <xdr:colOff>95250</xdr:colOff>
      <xdr:row>25</xdr:row>
      <xdr:rowOff>114300</xdr:rowOff>
    </xdr:to>
    <xdr:sp macro="" textlink="">
      <xdr:nvSpPr>
        <xdr:cNvPr id="10" name="Rectángulo 9">
          <a:extLst>
            <a:ext uri="{FF2B5EF4-FFF2-40B4-BE49-F238E27FC236}">
              <a16:creationId xmlns:a16="http://schemas.microsoft.com/office/drawing/2014/main" id="{00000000-0008-0000-0600-00000A000000}"/>
            </a:ext>
          </a:extLst>
        </xdr:cNvPr>
        <xdr:cNvSpPr/>
      </xdr:nvSpPr>
      <xdr:spPr>
        <a:xfrm>
          <a:off x="15954375" y="295275"/>
          <a:ext cx="6381750" cy="48387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4</xdr:col>
      <xdr:colOff>304800</xdr:colOff>
      <xdr:row>30</xdr:row>
      <xdr:rowOff>66675</xdr:rowOff>
    </xdr:from>
    <xdr:to>
      <xdr:col>9</xdr:col>
      <xdr:colOff>609600</xdr:colOff>
      <xdr:row>49</xdr:row>
      <xdr:rowOff>123825</xdr:rowOff>
    </xdr:to>
    <xdr:sp macro="" textlink="">
      <xdr:nvSpPr>
        <xdr:cNvPr id="2" name="Rectángulo 1">
          <a:extLst>
            <a:ext uri="{FF2B5EF4-FFF2-40B4-BE49-F238E27FC236}">
              <a16:creationId xmlns:a16="http://schemas.microsoft.com/office/drawing/2014/main" id="{00000000-0008-0000-0600-000002000000}"/>
            </a:ext>
          </a:extLst>
        </xdr:cNvPr>
        <xdr:cNvSpPr/>
      </xdr:nvSpPr>
      <xdr:spPr>
        <a:xfrm>
          <a:off x="4143375" y="6038850"/>
          <a:ext cx="5295900" cy="367665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144</xdr:col>
      <xdr:colOff>203387</xdr:colOff>
      <xdr:row>1</xdr:row>
      <xdr:rowOff>11206</xdr:rowOff>
    </xdr:from>
    <xdr:to>
      <xdr:col>154</xdr:col>
      <xdr:colOff>142875</xdr:colOff>
      <xdr:row>20</xdr:row>
      <xdr:rowOff>82644</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21</xdr:col>
      <xdr:colOff>85725</xdr:colOff>
      <xdr:row>227</xdr:row>
      <xdr:rowOff>61912</xdr:rowOff>
    </xdr:from>
    <xdr:to>
      <xdr:col>34</xdr:col>
      <xdr:colOff>266701</xdr:colOff>
      <xdr:row>245</xdr:row>
      <xdr:rowOff>95250</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6224031-6F55-442A-8833-02B95EA23588}" name="MATERIALES" displayName="MATERIALES" ref="B7:K22" totalsRowShown="0" headerRowDxfId="518" dataDxfId="516" headerRowBorderDxfId="517" tableBorderDxfId="515" totalsRowBorderDxfId="514">
  <autoFilter ref="B7:K22" xr:uid="{E6224031-6F55-442A-8833-02B95EA2358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EE66114-FD66-40D4-AEBF-CD21D127EB30}" name="N" dataDxfId="513">
      <calculatedColumnFormula>ROW()-ROW(INDEX(MATERIALES[],1,1))+1</calculatedColumnFormula>
    </tableColumn>
    <tableColumn id="7" xr3:uid="{D8EBD9DE-AA3B-4C42-AED2-3C1F6844A3D8}" name="Nombre largo" dataDxfId="512">
      <calculatedColumnFormula>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calculatedColumnFormula>
    </tableColumn>
    <tableColumn id="3" xr3:uid="{2C2A9EAF-A905-40A8-90B3-1531D302BCB8}" name="Tipo de material" dataDxfId="511"/>
    <tableColumn id="10" xr3:uid="{20627ED7-6DE9-4D5C-BDC0-0C1A31EBE7A9}" name="Biblioteca" dataDxfId="510"/>
    <tableColumn id="2" xr3:uid="{C84743C9-3EA2-460C-B640-C78C05B5B2A1}" name="Material" dataDxfId="509"/>
    <tableColumn id="6" xr3:uid="{2CB8C5A3-5AF1-4430-AC82-89957A2AED70}" name="Abreviatura" dataDxfId="508"/>
    <tableColumn id="4" xr3:uid="{65A25D35-96C6-41A2-A1CB-5B4862176721}" name="Propiedad térmica" dataDxfId="507">
      <calculatedColumnFormula>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calculatedColumnFormula>
    </tableColumn>
    <tableColumn id="5" xr3:uid="{708F3DA1-0058-42E0-8C9A-314454923B1C}" name="Valor propiedad térmica" dataDxfId="506">
      <calculatedColumnFormula>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calculatedColumnFormula>
    </tableColumn>
    <tableColumn id="8" xr3:uid="{85772263-B846-43CD-842E-F6069012FE75}" name="Propiedad difusión de vapor" dataDxfId="505">
      <calculatedColumnFormula>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calculatedColumnFormula>
    </tableColumn>
    <tableColumn id="9" xr3:uid="{8F7A6AB0-161D-4F37-A09C-0D10CE390D2E}" name="Valor propiedad difusión de vapor" dataDxfId="504">
      <calculatedColumnFormula>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8931C98-758A-4E70-86C8-AACFBA5AF71F}" name="MATERIALES_DITEC" displayName="MATERIALES_DITEC" ref="C38:L106" totalsRowShown="0" headerRowDxfId="503" headerRowBorderDxfId="502" tableBorderDxfId="501" totalsRowBorderDxfId="500">
  <autoFilter ref="C38:L106" xr:uid="{B8931C98-758A-4E70-86C8-AACFBA5AF71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A0DFBFC4-D195-4606-B233-F794EBBD8DAD}" name="Nombre largo" dataDxfId="499">
      <calculatedColumnFormula>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calculatedColumnFormula>
    </tableColumn>
    <tableColumn id="11" xr3:uid="{E579F775-8E1F-4D2B-B234-F84D6542F915}" name="Tipo de material" dataDxfId="498"/>
    <tableColumn id="3" xr3:uid="{25749F26-B580-47C3-BFB3-706EA164B807}" name="N" dataDxfId="497">
      <calculatedColumnFormula>ROW()-ROW(INDEX(MATERIALES_DITEC[],1,1))+1</calculatedColumnFormula>
    </tableColumn>
    <tableColumn id="1" xr3:uid="{4BDE7940-DFC3-4F0A-AC0E-F84F284AFFD5}" name="Material" dataDxfId="496"/>
    <tableColumn id="2" xr3:uid="{5BC9CDC3-40A2-4818-B691-EDCC427E593A}" name="Espesor nominal_x000a_[m]" dataDxfId="495"/>
    <tableColumn id="9" xr3:uid="{CD43BC5F-03C0-41F6-A4E4-B1146BC5B83C}" name="Propiedad térmica" dataDxfId="494"/>
    <tableColumn id="7" xr3:uid="{DBB2D56A-F390-4980-8B9D-60507A864F63}" name="Valor propiedad térmica" dataDxfId="493"/>
    <tableColumn id="10" xr3:uid="{455F9958-C6E9-49FC-A7BA-6251C284D33C}" name="Propiedad difusión de vapor" dataDxfId="492"/>
    <tableColumn id="5" xr3:uid="{8D123C44-0CC1-49F0-8389-B7CE151AE00E}" name="Valor propiedad difusión de vapor" dataDxfId="491"/>
    <tableColumn id="8" xr3:uid="{C7095604-29AD-45D9-8E3E-71C369735E56}" name="Observaciones" dataDxfId="49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08DB28-103A-458C-AFC0-217879EF3767}" name="MATERIALES_USUARIO" displayName="MATERIALES_USUARIO" ref="C28:M33" totalsRowShown="0" headerRowDxfId="489" dataDxfId="487" headerRowBorderDxfId="488" tableBorderDxfId="486" totalsRowBorderDxfId="485">
  <autoFilter ref="C28:M33" xr:uid="{BF08DB28-103A-458C-AFC0-217879EF376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8" xr3:uid="{9E6311B8-757C-4AB0-A521-A018F263B632}" name="Nombre largo" dataDxfId="484">
      <calculatedColumnFormula>IFERROR(IF((MATERIALES_USUARIO[[#This Row],[Material]]=Aux!$H$29)+(MATERIALES_USUARIO[[#This Row],[Material]]=Aux!$H$33),MATERIALES_USUARIO[[#This Row],[Material]],MATERIALES_USUARIO[[#This Row],[Material]]&amp;", "&amp;INDEX(Aux!$G$18:$G$19,MATCH(MATERIALES_USUARIO[[#This Row],[Propiedad térmica]],Aux!$H$18:$H$19,0))&amp;" = "&amp;MATERIALES_USUARIO[[#This Row],[Valor propiedad térmica]]&amp;" "&amp;INDEX(Aux!$I$18:$I$19,MATCH(MATERIALES_USUARIO[[#This Row],[Propiedad térmica]],Aux!$H$18:$H$19,0))&amp;", "&amp;INDEX(Aux!$G$20:$G$27,MATCH(MATERIALES_USUARIO[[#This Row],[Propiedad difusión de vapor]],Aux!$H$20:$H$27,0))&amp;" = "&amp;MATERIALES_USUARIO[[#This Row],[Valor propiedad difusión de vapor]]&amp;" "&amp;INDEX(Aux!$I$20:$I$27,MATCH(MATERIALES_USUARIO[[#This Row],[Propiedad difusión de vapor]],Aux!$H$20:$H$27,0))),"")</calculatedColumnFormula>
    </tableColumn>
    <tableColumn id="11" xr3:uid="{E1D8D192-5E7F-4B83-8F5F-81BAD620E664}" name="Tipo de material" dataDxfId="483"/>
    <tableColumn id="2" xr3:uid="{D9B90517-360A-4D30-A7A0-DECE4978D310}" name="N" dataDxfId="482">
      <calculatedColumnFormula>ROW()-ROW(INDEX(MATERIALES_USUARIO[],1,1))+1</calculatedColumnFormula>
    </tableColumn>
    <tableColumn id="1" xr3:uid="{52D9CA3B-9DAA-497A-8C35-192291C8F9CA}" name="Material" dataDxfId="481"/>
    <tableColumn id="3" xr3:uid="{18A373FD-2BAF-44D8-9788-108DED1634F0}" name="Espesor nominal_x000a_[m]" dataDxfId="480"/>
    <tableColumn id="4" xr3:uid="{A012037D-C018-429A-AB0D-BC28BB88332C}" name="Propiedad térmica" dataDxfId="479"/>
    <tableColumn id="5" xr3:uid="{B77F4931-3406-44D7-B6BB-92D319DCB92F}" name="Valor propiedad térmica" dataDxfId="478"/>
    <tableColumn id="10" xr3:uid="{7690A564-98AD-4ACF-8AEB-E061FBE03761}" name="Origen del valor térmico" dataDxfId="477"/>
    <tableColumn id="6" xr3:uid="{A9FB5503-7D40-4DE4-9D01-9CF02FB2141D}" name="Propiedad difusión de vapor" dataDxfId="476"/>
    <tableColumn id="7" xr3:uid="{81D670B4-4F01-4318-9628-7FA18E996514}" name="Valor propiedad difusión de vapor" dataDxfId="475"/>
    <tableColumn id="9" xr3:uid="{80C0E271-9811-43C1-A984-883C3910E6A5}" name="Origen del valor de difusión de vapor" dataDxfId="47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113BD1B-1A4C-4582-A176-230FEF905B93}" name="MATERIALES_ISO_TABLA3" displayName="MATERIALES_ISO_TABLA3" ref="C117:K268" totalsRowShown="0" headerRowDxfId="473" dataDxfId="472" tableBorderDxfId="471">
  <autoFilter ref="C117:K268" xr:uid="{5113BD1B-1A4C-4582-A176-230FEF905B9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F7C95FB6-24A9-47B8-9E4D-7070C3742DE6}" name="Nombre largo" dataDxfId="470"/>
    <tableColumn id="3" xr3:uid="{01966A3D-397A-4DEF-80A6-8315FE140988}" name="Columna1" dataDxfId="469"/>
    <tableColumn id="2" xr3:uid="{D64B5EBA-6D5F-4E48-A112-9D98B0CC3C1C}" name="Grupo" dataDxfId="468"/>
    <tableColumn id="4" xr3:uid="{B2107F52-6B34-40CC-9DD6-AA45477E729F}" name="Materiales o aplicación" dataDxfId="467"/>
    <tableColumn id="5" xr3:uid="{20DFF0AE-3731-4E8C-98D0-E6464E7357ED}" name="Densidad_x000a_ρ_x000a_kg/m³" dataDxfId="466"/>
    <tableColumn id="6" xr3:uid="{02E7736A-6192-4EAC-A240-D9551B1274DF}" name="Conductividad térmica de diseño_x000a_λ_x000a_W/(m∙K)" dataDxfId="465"/>
    <tableColumn id="7" xr3:uid="{1BAB1128-21C8-42F9-8B63-C2FEF0F767F4}" name="Capacidad calorífica específica_x000a_CP_x000a_J/(kg∙K)" dataDxfId="464"/>
    <tableColumn id="8" xr3:uid="{AA7941F5-83D6-42C2-9D57-0C1E0A2195F4}" name="factor de resistencia al vapor de agua_x000a_μ_x000a_seco" dataDxfId="463"/>
    <tableColumn id="9" xr3:uid="{3516C4D9-E904-4604-8A19-2ED2856C4523}" name="factor de resistencia al vapor de agua_x000a_μ_x000a_húmedo" dataDxfId="462"/>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4ACC41EB-26CD-4E0D-BCC5-38D76B1E4CE2}" name="MATERIALES_ISO_TABLA5" displayName="MATERIALES_ISO_TABLA5" ref="F274:G286" totalsRowShown="0" headerRowDxfId="461" dataDxfId="459" headerRowBorderDxfId="460" tableBorderDxfId="458" totalsRowBorderDxfId="457">
  <autoFilter ref="F274:G286" xr:uid="{4ACC41EB-26CD-4E0D-BCC5-38D76B1E4CE2}">
    <filterColumn colId="0" hiddenButton="1"/>
    <filterColumn colId="1" hiddenButton="1"/>
  </autoFilter>
  <tableColumns count="2">
    <tableColumn id="1" xr3:uid="{CB7AD2CC-6DF6-4672-AD82-AB0159309A8F}" name="Producto/material" dataDxfId="456"/>
    <tableColumn id="2" xr3:uid="{5B2E3824-5268-472E-9452-70C3A2FA6F78}" name="Espesor de aire equivalente_x000a_Sd_x000a_m" dataDxfId="455"/>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CE35378-A84B-40AA-8FCE-BE0BF75D3394}" name="MATERIALES_CAMARAS" displayName="MATERIALES_CAMARAS" ref="F112:J113" totalsRowShown="0" headerRowDxfId="454" headerRowBorderDxfId="453" tableBorderDxfId="452" totalsRowBorderDxfId="451">
  <autoFilter ref="F112:J113" xr:uid="{3CE35378-A84B-40AA-8FCE-BE0BF75D3394}">
    <filterColumn colId="0" hiddenButton="1"/>
    <filterColumn colId="1" hiddenButton="1"/>
    <filterColumn colId="2" hiddenButton="1"/>
    <filterColumn colId="3" hiddenButton="1"/>
    <filterColumn colId="4" hiddenButton="1"/>
  </autoFilter>
  <tableColumns count="5">
    <tableColumn id="4" xr3:uid="{BE4BCD4C-11C1-4694-992D-4B5F5E043AA1}" name="Material" dataDxfId="450"/>
    <tableColumn id="5" xr3:uid="{7FA22373-F001-42CD-A90F-3A3E1D913F1D}" name="Propiedad térmica" dataDxfId="449"/>
    <tableColumn id="6" xr3:uid="{FA9FA81B-17A6-454B-B950-FDD3C0726FFB}" name="Valor propiedad térmica" dataDxfId="448"/>
    <tableColumn id="7" xr3:uid="{B44C0426-B3E1-4348-AA46-2769D19E316C}" name="Propiedad difusión de vapor" dataDxfId="447"/>
    <tableColumn id="8" xr3:uid="{32DF4CC2-843E-4C71-975B-74DC208B28C3}" name="Valor propiedad difusión de vapor" dataDxfId="446"/>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54268F7-6BEE-433F-B96C-5EC87080C472}" name="DATOS" displayName="DATOS" ref="C24:G34" totalsRowCount="1" headerRowDxfId="531" totalsRowDxfId="530" totalsRowBorderDxfId="529">
  <autoFilter ref="C24:G33" xr:uid="{A54268F7-6BEE-433F-B96C-5EC87080C472}">
    <filterColumn colId="0" hiddenButton="1"/>
    <filterColumn colId="1" hiddenButton="1"/>
    <filterColumn colId="2" hiddenButton="1"/>
    <filterColumn colId="3" hiddenButton="1"/>
    <filterColumn colId="4" hiddenButton="1"/>
  </autoFilter>
  <tableColumns count="5">
    <tableColumn id="43" xr3:uid="{65778CE9-13A0-465D-A598-D26984F5071D}" name="Espesor capas" totalsRowFunction="custom" dataDxfId="528" totalsRowDxfId="527">
      <totalsRowFormula>"Espesor total = "&amp;ROUND(CAPAS[[#Totals],[d]],4)&amp;" [m]"</totalsRowFormula>
    </tableColumn>
    <tableColumn id="1" xr3:uid="{9D228858-7491-4144-BC38-ECBC8E3ED3F1}" name="Capas" totalsRowLabel="RT sección [m²K/W] =" dataDxfId="526" totalsRowDxfId="525">
      <calculatedColumnFormula>"Capa "&amp;ROW()-ROW(INDEX(DATOS[],1,1))-1</calculatedColumnFormula>
    </tableColumn>
    <tableColumn id="2" xr3:uid="{675A35E2-A7E3-4F75-86EF-BDD9CECACF5C}" name="Sección A" totalsRowFunction="custom" dataDxfId="524" totalsRowDxfId="523">
      <totalsRowFormula array="1">IF(INDEX(SECCIONES[verif error sección térmico],COLUMN()-COLUMN(INDEX(DATOS[],1,1))-1)=1,0,INDEX(SECCIONES[Rtsección],COLUMN()-COLUMN(INDEX(DATOS[],1,1))-1))</totalsRowFormula>
    </tableColumn>
    <tableColumn id="3" xr3:uid="{B3AFE837-8A86-4310-95A8-ECA0A989772B}" name="Sección B" totalsRowFunction="custom" totalsRowDxfId="522">
      <totalsRowFormula array="1">IF(INDEX(SECCIONES[verif error sección térmico],COLUMN()-COLUMN(INDEX(DATOS[],1,1))-1)=1,0,INDEX(SECCIONES[Rtsección],COLUMN()-COLUMN(INDEX(DATOS[],1,1))-1))</totalsRowFormula>
    </tableColumn>
    <tableColumn id="62" xr3:uid="{D944C2C9-07E5-4695-AB07-50990D2C21AE}" name="Total sec" totalsRowLabel=" " dataDxfId="521" totalsRowDxfId="520">
      <calculatedColumnFormula array="1">INDEX(CAPAS[RTcapa],ROW()-ROW(INDEX(DATOS[],1,1))-1)</calculatedColumnFormula>
    </tableColumn>
  </tableColumns>
  <tableStyleInfo name="TableStyleLight6" showFirstColumn="0" showLastColumn="1"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E013DC8-21FB-4127-8788-AA534012CED3}" name="RESULTADOS_TRANSM_SECCIONES" displayName="RESULTADOS_TRANSM_SECCIONES" ref="B28:E38" totalsRowCount="1">
  <autoFilter ref="B28:E37" xr:uid="{8E013DC8-21FB-4127-8788-AA534012CED3}">
    <filterColumn colId="0" hiddenButton="1"/>
    <filterColumn colId="1" hiddenButton="1"/>
    <filterColumn colId="2" hiddenButton="1"/>
    <filterColumn colId="3" hiddenButton="1"/>
  </autoFilter>
  <tableColumns count="4">
    <tableColumn id="2" xr3:uid="{A6CBFAD6-9485-4749-A7F8-9132DB507A4A}" name="Capa" dataDxfId="436" totalsRowDxfId="435">
      <calculatedColumnFormula array="1">IF(ROW()-ROW(INDEX(RESULTADOS_TRANSM_SECCIONES[],1,1))+1=1,"Rse"&amp;IF((tipo_elemento=2)*(espacio_no_acondicionado)," + Ru",""),IF(ROW()-ROW(INDEX(RESULTADOS_TRANSM_SECCIONES[],1,1))+1=N_capas+2,"Rsi",ROW()-ROW(INDEX(RESULTADOS_TRANSM_SECCIONES[],1,1))))</calculatedColumnFormula>
    </tableColumn>
    <tableColumn id="19" xr3:uid="{2CCBADE5-F0DE-458F-B017-832C32B026F4}" name="Material" dataDxfId="434" totalsRowDxfId="433">
      <calculatedColumnFormula>IFERROR(IF((RESULTADOS_TRANSM_SECCIONES[[#This Row],[Capa]]="Rse")+(RESULTADOS_TRANSM_SECCIONES[[#This Row],[Capa]]="Rse + Ru")+(RESULTADOS_TRANSM_SECCIONES[[#This Row],[Capa]]="Rsi"),"",INDEX(SECCIONES_CAPAS[Material nombre corto],MATCH(Cálculos!$AH$26&amp;"-"&amp;RESULTADOS_TRANSM_SECCIONES[[#This Row],[Capa]],SECCIONES_CAPAS[llave],0))),"")</calculatedColumnFormula>
    </tableColumn>
    <tableColumn id="1" xr3:uid="{55D5438F-377A-482E-984D-822F86714FF6}" name="espesor [m]" totalsRowLabel="Resistencia térmica total de la sección, [m²K/W]:" dataDxfId="432" totalsRowDxfId="431">
      <calculatedColumnFormula>IFERROR(IF((RESULTADOS_TRANSM_SECCIONES[[#This Row],[Capa]]="Rse")+(RESULTADOS_TRANSM_SECCIONES[[#This Row],[Capa]]="Rse + Ru")+(RESULTADOS_TRANSM_SECCIONES[[#This Row],[Capa]]="Rsi"),"",INDEX(SECCIONES_CAPAS[d],MATCH(Cálculos!$AH$26&amp;"-"&amp;RESULTADOS_TRANSM_SECCIONES[[#This Row],[Capa]],SECCIONES_CAPAS[llave],0))),"")</calculatedColumnFormula>
    </tableColumn>
    <tableColumn id="4" xr3:uid="{D35FA7F1-6D7E-4527-AD63-955C978B4B00}" name="R [m²K/W]" totalsRowFunction="custom" dataDxfId="430" totalsRowDxfId="429">
      <calculatedColumnFormula>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calculatedColumnFormula>
      <totalsRowFormula>SUM(RESULTADOS_TRANSM_SECCIONES[R '[m²K/W']])</totalsRowFormula>
    </tableColumn>
  </tableColumns>
  <tableStyleInfo showFirstColumn="0" showLastColumn="1" showRowStripes="1" showColumnStripes="1"/>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C548C333-BC69-4536-8020-9A13FD8B59D1}" name="RESULTADOS_TRANSM_LIM_SUP" displayName="RESULTADOS_TRANSM_LIM_SUP" ref="B47:E50" totalsRowCount="1">
  <autoFilter ref="B47:E49" xr:uid="{C548C333-BC69-4536-8020-9A13FD8B59D1}">
    <filterColumn colId="0" hiddenButton="1"/>
    <filterColumn colId="1" hiddenButton="1"/>
    <filterColumn colId="2" hiddenButton="1"/>
    <filterColumn colId="3" hiddenButton="1"/>
  </autoFilter>
  <tableColumns count="4">
    <tableColumn id="1" xr3:uid="{DB6BFEA5-E6D9-4349-9194-6D265093BE7F}" name="Sección" dataDxfId="428" totalsRowDxfId="427">
      <calculatedColumnFormula array="1">INDEX(SECCIONES[Nombre compuesto],ROW()-ROW(INDEX(RESULTADOS_TRANSM_LIM_SUP[],1,1))+1)</calculatedColumnFormula>
    </tableColumn>
    <tableColumn id="6" xr3:uid="{83206673-BFB6-4B9C-A91A-6923717854C8}" name="f" dataDxfId="426" totalsRowDxfId="425">
      <calculatedColumnFormula array="1">INDEX(SECCIONES[f],ROW()-ROW(INDEX(RESULTADOS_TRANSM_LIM_SUP[],1,1))+1)</calculatedColumnFormula>
    </tableColumn>
    <tableColumn id="3" xr3:uid="{D7558988-7F16-4BB7-AE4B-5B2431FF46B8}" name="RT sección" totalsRowLabel="Lím superior de la Resistencia Térmica, [m²K/W]:" dataDxfId="424" totalsRowDxfId="423">
      <calculatedColumnFormula array="1">INDEX(SECCIONES[Rtsección],ROW()-ROW(INDEX(RESULTADOS_TRANSM_LIM_SUP[],1,1))+1)</calculatedColumnFormula>
    </tableColumn>
    <tableColumn id="4" xr3:uid="{09B04354-C6F2-4B59-94AD-FF9BA37839D0}" name="f/RT sección" totalsRowFunction="custom" dataDxfId="422" totalsRowDxfId="421">
      <calculatedColumnFormula array="1">INDEX(SECCIONES[f/Rtsección],ROW()-ROW(INDEX(RESULTADOS_TRANSM_LIM_SUP[],1,1))+1)</calculatedColumnFormula>
      <totalsRowFormula>IFERROR(1/SUM(RESULTADOS_TRANSM_LIM_SUP[f/RT sección]),"")</totalsRow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44096CC-2992-4A94-B14F-9404BC4EA878}" name="RESULTADOS_TRANSM_LIM_INF" displayName="RESULTADOS_TRANSM_LIM_INF" ref="B53:E63" totalsRowCount="1" totalsRowBorderDxfId="420">
  <autoFilter ref="B53:E62" xr:uid="{144096CC-2992-4A94-B14F-9404BC4EA878}">
    <filterColumn colId="0" hiddenButton="1"/>
    <filterColumn colId="1" hiddenButton="1"/>
    <filterColumn colId="2" hiddenButton="1"/>
    <filterColumn colId="3" hiddenButton="1"/>
  </autoFilter>
  <tableColumns count="4">
    <tableColumn id="1" xr3:uid="{BE801852-1ED4-4CF9-9C46-23214E242F30}" name="Capa" dataDxfId="419" totalsRowDxfId="418">
      <calculatedColumnFormula array="1">IF(ROW()-ROW(INDEX(RESULTADOS_TRANSM_LIM_INF[],1,1))+1=1,"Rse"&amp;IF((tipo_elemento=2)*(espacio_no_acondicionado)," + Ru",""),IF(ROW()-ROW(INDEX(RESULTADOS_TRANSM_LIM_INF[],1,1))+1=N_capas+2,"Rsi",ROW()-ROW(INDEX(RESULTADOS_TRANSM_LIM_INF[],1,1))))</calculatedColumnFormula>
    </tableColumn>
    <tableColumn id="3" xr3:uid="{85C27AAB-19F0-4225-A457-DB8DFA9AF1D7}" name="Materiales" dataDxfId="417" totalsRowDxfId="416">
      <calculatedColumnFormula array="1">IFERROR(IF((RESULTADOS_TRANSM_LIM_INF[[#This Row],[Capa]]="Rse")+(RESULTADOS_TRANSM_LIM_INF[[#This Row],[Capa]]="Rse + Ru")+(RESULTADOS_TRANSM_LIM_INF[[#This Row],[Capa]]="Rsi"),"",INDEX(CAPAS[descripción],RESULTADOS_TRANSM_LIM_INF[[#This Row],[Capa]])),"")</calculatedColumnFormula>
    </tableColumn>
    <tableColumn id="4" xr3:uid="{44CD0B83-830A-4C53-A623-15B9C240F14E}" name="espesor [m]" totalsRowLabel="Lím inferior de la Resistencia Térmica, [m²K/W]:" dataDxfId="415" totalsRowDxfId="414">
      <calculatedColumnFormula array="1">IFERROR(IF((RESULTADOS_TRANSM_LIM_INF[[#This Row],[Capa]]="Rse")+(RESULTADOS_TRANSM_LIM_INF[[#This Row],[Capa]]="Rse + Ru")+(RESULTADOS_TRANSM_LIM_INF[[#This Row],[Capa]]="Rsi"),"",INDEX(CAPAS[d],RESULTADOS_TRANSM_LIM_INF[[#This Row],[Capa]])),"")</calculatedColumnFormula>
    </tableColumn>
    <tableColumn id="2" xr3:uid="{73A8DDDA-8D02-4EC1-97E2-3345B42B6C45}" name="RTeq [m²K/W]" totalsRowFunction="sum" dataDxfId="413" totalsRowDxfId="412">
      <calculatedColumnFormula array="1">IFERROR(IF((RESULTADOS_TRANSM_LIM_INF[[#This Row],[Capa]]="Rse")+(RESULTADOS_TRANSM_LIM_INF[[#This Row],[Capa]]="Rse + Ru"),R_se+IF((tipo_elemento=2)*(tipo_espacio_bajo_cubierta&gt;1),R_u_techo,0),IF(RESULTADOS_TRANSM_LIM_INF[[#This Row],[Capa]]="Rsi",R_si,INDEX(CAPAS[RTcapa],RESULTADOS_TRANSM_LIM_INF[[#This Row],[Capa]]))),"")</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93CDFE5-663D-4B21-8DED-E90978EDC277}" name="RESULTADOS_COND_SUPERFICIAL" displayName="RESULTADOS_COND_SUPERFICIAL" ref="B41:D43" totalsRowShown="0" headerRowDxfId="408" dataDxfId="406" headerRowBorderDxfId="407" tableBorderDxfId="405" totalsRowBorderDxfId="404">
  <autoFilter ref="B41:D43" xr:uid="{093CDFE5-663D-4B21-8DED-E90978EDC277}">
    <filterColumn colId="0" hiddenButton="1"/>
    <filterColumn colId="1" hiddenButton="1"/>
    <filterColumn colId="2" hiddenButton="1"/>
  </autoFilter>
  <tableColumns count="3">
    <tableColumn id="1" xr3:uid="{4295A8DB-065F-478E-98A7-F8B8C9472B89}" name="Sección" dataDxfId="403">
      <calculatedColumnFormula array="1">INDEX(SECCIONES[Nombre compuesto],ROW()-ROW(INDEX(RESULTADOS_COND_SUPERFICIAL[],1,1))+1)</calculatedColumnFormula>
    </tableColumn>
    <tableColumn id="15" xr3:uid="{E58A2CE6-0E60-4732-B160-399032A76FEB}" name="Rt sección" dataDxfId="402">
      <calculatedColumnFormula array="1">ROUND(INDEX(SECCIONES[Rtsección_condensación],ROW()-ROW(INDEX(RESULTADOS_COND_SUPERFICIAL[],1,1))+1),3)</calculatedColumnFormula>
    </tableColumn>
    <tableColumn id="2" xr3:uid="{BCEB90F3-5CC4-4115-9AEE-16801BC7E3B8}" name="¿Cumple?" dataDxfId="401">
      <calculatedColumnFormula array="1">IF(INDEX(SECCIONES[cumple cond superficial],ROW()-ROW(INDEX(RESULTADOS_COND_SUPERFICIAL[],1,1))+1),1,0)</calculatedColumnFormula>
    </tableColumn>
  </tableColumns>
  <tableStyleInfo name="TableStyleLight1" showFirstColumn="0" showLastColumn="1"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5BA31ED-F6AE-4301-AEB7-5FB52ABD2C0B}" name="RESULTADOS_COND_INTERSTICIAL" displayName="RESULTADOS_COND_INTERSTICIAL" ref="B49:D50" headerRowCount="0" totalsRowShown="0" headerRowDxfId="400" dataDxfId="398" headerRowBorderDxfId="399" tableBorderDxfId="397">
  <tableColumns count="3">
    <tableColumn id="1" xr3:uid="{2E10E7A3-961C-407C-B10F-73C3F7DCE607}" name="Sección" headerRowDxfId="396" dataDxfId="395">
      <calculatedColumnFormula array="1">INDEX(SECCIONES[Nombre compuesto],ROW()-ROW($B$48))</calculatedColumnFormula>
    </tableColumn>
    <tableColumn id="2" xr3:uid="{8FB5067A-3D59-496F-9001-DEF18D346548}" name="1" headerRowDxfId="394" dataDxfId="393">
      <calculatedColumnFormula>INDEX(COND_INTERSTICIAL_AGUA_ACUMULADA[interfases con agua líquida],MATCH((COLUMN(C$48)-COLUMN($B$48))&amp;"-"&amp;(ROW(RESULTADOS_COND_INTERSTICIAL[[#This Row],[Sección]])-ROW($B$48)),COND_INTERSTICIAL_AGUA_ACUMULADA[llave],0))</calculatedColumnFormula>
    </tableColumn>
    <tableColumn id="3" xr3:uid="{C98CA547-E53C-4280-B281-37CC89A7710E}" name="2" headerRowDxfId="392" dataDxfId="391">
      <calculatedColumnFormula array="1">IF(INDEX(SECCIONES[cumple cond intersticial],ROW()-ROW($D$48)),1,0)</calculatedColumnFormula>
    </tableColumn>
  </tableColumns>
  <tableStyleInfo name="TableStyleLight1" showFirstColumn="0" showLastColumn="1"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FAC33BF0-ACF6-485D-934D-7E12DA92282C}" name="RESULTADOS_max_agua" displayName="RESULTADOS_max_agua" ref="C75:E82" totalsRowShown="0" headerRowDxfId="390" dataDxfId="389">
  <autoFilter ref="C75:E82" xr:uid="{FAC33BF0-ACF6-485D-934D-7E12DA92282C}">
    <filterColumn colId="0" hiddenButton="1"/>
    <filterColumn colId="1" hiddenButton="1"/>
    <filterColumn colId="2" hiddenButton="1"/>
  </autoFilter>
  <tableColumns count="3">
    <tableColumn id="2" xr3:uid="{A7455BE6-ABE0-4F6E-AECE-CB691E3C4ECC}" name="Capa" dataDxfId="388">
      <calculatedColumnFormula>ROW()-ROW(RESULTADOS_max_agua[[#Headers],[Capa]])</calculatedColumnFormula>
    </tableColumn>
    <tableColumn id="1" xr3:uid="{C5DD3FD8-E730-461E-A957-75DC20905997}" name="Sección A" dataDxfId="387"/>
    <tableColumn id="3" xr3:uid="{6B5D0B86-8616-4D70-B569-AD19F43B1C48}" name="Sección B" dataDxfId="386"/>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07A4988-7F70-4C06-B9F3-4077976046E1}" name="Tabla12" displayName="Tabla12" ref="K9:N16" totalsRowShown="0" headerRowDxfId="380" dataDxfId="379">
  <autoFilter ref="K9:N16" xr:uid="{107A4988-7F70-4C06-B9F3-4077976046E1}">
    <filterColumn colId="0" hiddenButton="1"/>
    <filterColumn colId="1" hiddenButton="1"/>
    <filterColumn colId="2" hiddenButton="1"/>
    <filterColumn colId="3" hiddenButton="1"/>
  </autoFilter>
  <tableColumns count="4">
    <tableColumn id="1" xr3:uid="{57EF327D-19A9-44DD-BBA4-0412BBC8CBFF}" name="Característica" dataDxfId="378"/>
    <tableColumn id="2" xr3:uid="{EEB091F4-3479-402C-AC3E-99DFBDF19F84}" name="Soleras" dataDxfId="377"/>
    <tableColumn id="3" xr3:uid="{E715638C-0618-4AC9-A08C-D5932F5A118D}" name="Pies derechos" dataDxfId="376"/>
    <tableColumn id="4" xr3:uid="{262515AA-9A38-4722-9117-2BEF7755604E}" name="Cadenetas" dataDxfId="375"/>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1B29713-DD10-4600-9C73-D84D8BADEE02}" name="Tabla13" displayName="Tabla13" ref="K18:M21" totalsRowCount="1" headerRowDxfId="374" dataDxfId="372" totalsRowDxfId="370" headerRowBorderDxfId="373" tableBorderDxfId="371" totalsRowBorderDxfId="369">
  <autoFilter ref="K18:M20" xr:uid="{D1B29713-DD10-4600-9C73-D84D8BADEE02}">
    <filterColumn colId="0" hiddenButton="1"/>
    <filterColumn colId="1" hiddenButton="1"/>
    <filterColumn colId="2" hiddenButton="1"/>
  </autoFilter>
  <tableColumns count="3">
    <tableColumn id="1" xr3:uid="{0E98AC0E-47B0-477D-B9AE-8E9E92094B03}" name="Sección" totalsRowLabel="Total" dataDxfId="368" totalsRowDxfId="367"/>
    <tableColumn id="2" xr3:uid="{E36D8AF3-6619-43E0-B3E4-4A80C4AF488A}" name="Área [m²]" totalsRowFunction="custom" dataDxfId="366" totalsRowDxfId="365">
      <calculatedColumnFormula>Cálculos!GE23</calculatedColumnFormula>
      <totalsRowFormula>Cálculos!GE25</totalsRowFormula>
    </tableColumn>
    <tableColumn id="3" xr3:uid="{A65311BC-94E1-4638-9B3E-C384E25A4BD2}" name="Fracción de área" totalsRowFunction="custom" dataDxfId="364" totalsRowDxfId="363">
      <calculatedColumnFormula>Cálculos!GF23</calculatedColumnFormula>
      <totalsRowFormula>Cálculos!GF25</totalsRowFormula>
    </tableColumn>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A8544E4-065B-43F8-BE31-B86F59700A3F}" name="Tabla14" displayName="Tabla14" ref="E15:H26" totalsRowCount="1" headerRowDxfId="362" dataDxfId="361">
  <autoFilter ref="E15:H25" xr:uid="{4A8544E4-065B-43F8-BE31-B86F59700A3F}">
    <filterColumn colId="0" hiddenButton="1"/>
    <filterColumn colId="1" hiddenButton="1"/>
    <filterColumn colId="2" hiddenButton="1"/>
    <filterColumn colId="3" hiddenButton="1"/>
  </autoFilter>
  <tableColumns count="4">
    <tableColumn id="1" xr3:uid="{97062129-53B5-4346-BAA6-A243B6028CDA}" name="#" dataDxfId="360" totalsRowDxfId="359">
      <calculatedColumnFormula>ROW()-ROW(Tabla14[[#Headers],['#]])</calculatedColumnFormula>
    </tableColumn>
    <tableColumn id="3" xr3:uid="{22F1544E-8295-46E7-919C-86838A5BB5ED}" name="Temp. media ensayo" totalsRowDxfId="358"/>
    <tableColumn id="4" xr3:uid="{87C69474-9E54-42FB-8BC5-967128E327CE}" name="Contenido humedad" totalsRowLabel="Media aritmética" totalsRowDxfId="357"/>
    <tableColumn id="2" xr3:uid="{6EAC00DF-3C71-4E8B-9402-3BC47B196ADA}" name="λ medido" totalsRowFunction="custom" totalsRowDxfId="356">
      <totalsRowFormula>IFERROR(SUBTOTAL(101,Tabla14[λ medido]),"")</totalsRowFormula>
    </tableColumn>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D39E86A2-DBB4-49CE-B7C5-36BFCD8A8C00}" name="Tabla1337" displayName="Tabla1337" ref="Q18:S22" totalsRowCount="1" headerRowDxfId="355" dataDxfId="353" totalsRowDxfId="351" headerRowBorderDxfId="354" tableBorderDxfId="352" totalsRowBorderDxfId="350">
  <autoFilter ref="Q18:S21" xr:uid="{D39E86A2-DBB4-49CE-B7C5-36BFCD8A8C00}">
    <filterColumn colId="0" hiddenButton="1"/>
    <filterColumn colId="1" hiddenButton="1"/>
    <filterColumn colId="2" hiddenButton="1"/>
  </autoFilter>
  <tableColumns count="3">
    <tableColumn id="1" xr3:uid="{B2A25A9E-F0CE-4EF6-8E16-8871B7E846BE}" name="Sección" totalsRowLabel="Total" dataDxfId="349" totalsRowDxfId="348"/>
    <tableColumn id="2" xr3:uid="{BE965307-0D4F-449E-9637-34E1BF4705E9}" name="Área [m²]" totalsRowFunction="custom" dataDxfId="347" totalsRowDxfId="346">
      <calculatedColumnFormula>Cálculos!GE51</calculatedColumnFormula>
      <totalsRowFormula>Cálculos!GE54</totalsRowFormula>
    </tableColumn>
    <tableColumn id="3" xr3:uid="{7E08BF9A-EB77-435E-A35E-F53032055331}" name="Fracción de área" totalsRowFunction="custom" dataDxfId="345" totalsRowDxfId="344">
      <calculatedColumnFormula>Cálculos!GF51</calculatedColumnFormula>
      <totalsRowFormula>Cálculos!GF54</totalsRowFormula>
    </tableColumn>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2DF720F-445B-48E0-AFE6-6EC4DEC8D298}" name="SECCIONES_CAPAS" displayName="SECCIONES_CAPAS" ref="B15:AD29" totalsRowShown="0">
  <autoFilter ref="B15:AD29" xr:uid="{22DF720F-445B-48E0-AFE6-6EC4DEC8D29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CD03375-058D-4908-B9B0-B2DD067B3703}" name="Sección" dataDxfId="342">
      <calculatedColumnFormula array="1">ROUNDUP((ROW()-ROW(INDEX(SECCIONES_CAPAS[],1,1))+1)/N_capas,0)</calculatedColumnFormula>
    </tableColumn>
    <tableColumn id="2" xr3:uid="{7FF17BA5-4A2F-4495-A685-F9ECB40CAA92}" name="Capa" dataDxfId="341">
      <calculatedColumnFormula array="1">(ROW()-ROW(INDEX(SECCIONES_CAPAS[],1,1))+1)-(SECCIONES_CAPAS[[#This Row],[Sección]]-1)*N_capas</calculatedColumnFormula>
    </tableColumn>
    <tableColumn id="9" xr3:uid="{15F1C5DD-6720-486B-8BAA-509B6A59FDF4}" name="llave" dataDxfId="340">
      <calculatedColumnFormula>SECCIONES_CAPAS[[#This Row],[Sección]]&amp;"-"&amp;SECCIONES_CAPAS[[#This Row],[Capa]]</calculatedColumnFormula>
    </tableColumn>
    <tableColumn id="3" xr3:uid="{EC03677B-D3CB-4D68-8CC0-BF80C0D3EAD2}" name="Material nombre largo" dataDxfId="339">
      <calculatedColumnFormula array="1">INDEX(DATOS[],2+SECCIONES_CAPAS[[#This Row],[Capa]],2+SECCIONES_CAPAS[[#This Row],[Sección]])</calculatedColumnFormula>
    </tableColumn>
    <tableColumn id="17" xr3:uid="{5B9E364F-09AD-4597-B878-73998344B0D9}" name="Abreviatura" dataDxfId="338">
      <calculatedColumnFormula>IFERROR(INDEX(MATERIALES[Abreviatura],MATCH(SECCIONES_CAPAS[[#This Row],[Material nombre largo]],MATERIALES[Nombre largo],0)),"Capa "&amp;SECCIONES_CAPAS[[#This Row],[Capa]])</calculatedColumnFormula>
    </tableColumn>
    <tableColumn id="20" xr3:uid="{304D7CDF-457E-4C80-B05C-68743D9BB14E}" name="Biblioteca" dataDxfId="337">
      <calculatedColumnFormula>INDEX(MATERIALES[Biblioteca],MATCH(SECCIONES_CAPAS[[#This Row],[Material nombre largo]],MATERIALES[Nombre largo],0))</calculatedColumnFormula>
    </tableColumn>
    <tableColumn id="22" xr3:uid="{8E656604-2095-45D3-9171-3918AAC3F3C0}" name="Material nombre corto" dataDxfId="336">
      <calculatedColumnFormula>INDEX(MATERIALES[Material],MATCH(SECCIONES_CAPAS[[#This Row],[Material nombre largo]],MATERIALES[Nombre largo],0))</calculatedColumnFormula>
    </tableColumn>
    <tableColumn id="21" xr3:uid="{294B3B73-83CF-4DF4-82F4-4911632722A6}" name="descripción auto" dataDxfId="335">
      <calculatedColumnFormula>SECCIONES_CAPAS[[#This Row],[Abreviatura]]&amp;" "&amp;SECCIONES_CAPAS[[#This Row],[d]]*1000&amp;" mm"</calculatedColumnFormula>
    </tableColumn>
    <tableColumn id="25" xr3:uid="{694D5D8C-461B-45C8-84AF-8827CAF61E59}" name="descripción auto acum" dataDxfId="334">
      <calculatedColumnFormula array="1">IF(SECCIONES_CAPAS[[#This Row],[Capa]]=1,SECCIONES_CAPAS[[#This Row],[descripción auto]],INDIRECT(ADDRESS(ROW()-1,COLUMN(),4))&amp;" + "&amp;SECCIONES_CAPAS[[#This Row],[descripción auto]])</calculatedColumnFormula>
    </tableColumn>
    <tableColumn id="27" xr3:uid="{913F938A-03B8-4890-A0E3-AE83AD024AE5}" name="desc capa equivalente acum" dataDxfId="333">
      <calculatedColumnFormula array="1">IF(SECCIONES_CAPAS[[#This Row],[Sección]]=1,SECCIONES_CAPAS[[#This Row],[Abreviatura]],IF(SECCIONES_CAPAS[[#This Row],[Abreviatura]]=INDIRECT(ADDRESS(ROW()-N_capas,COLUMN(SECCIONES_CAPAS[[#This Row],[Abreviatura]]),4)),SECCIONES_CAPAS[[#This Row],[Abreviatura]],INDIRECT(ADDRESS(ROW()-N_capas,COLUMN(),4))&amp;" + "&amp;SECCIONES_CAPAS[[#This Row],[Abreviatura]]))</calculatedColumnFormula>
    </tableColumn>
    <tableColumn id="8" xr3:uid="{347B71FC-E50B-4D8E-893E-FF1179BA8B27}" name="Cámara aire no ventilada" dataDxfId="332">
      <calculatedColumnFormula>IF(SECCIONES_CAPAS[[#This Row],[Material nombre largo]]=Aux!$H$29,TRUE,FALSE)</calculatedColumnFormula>
    </tableColumn>
    <tableColumn id="11" xr3:uid="{0DC84C52-944F-4E9C-973F-5617203FE93D}" name="Cámara aire no ventilada multicapa" dataDxfId="331">
      <calculatedColumnFormula array="1">IFERROR(IF(SECCIONES_CAPAS[[#This Row],[Cámara aire no ventilada]]*INDIRECT(ADDRESS(ROW()+1,COLUMN(),4))+INDIRECT(ADDRESS(ROW()-1,COLUMN(SECCIONES_CAPAS[[#This Row],[Cámara aire no ventilada]]),4))*SECCIONES_CAPAS[[#This Row],[Cámara aire no ventilada]],TRUE,FALSE),FALSE)</calculatedColumnFormula>
    </tableColumn>
    <tableColumn id="26" xr3:uid="{2C706ECE-04C6-480E-BB10-E967FD3F7C76}" name="cámara ventilada"/>
    <tableColumn id="10" xr3:uid="{7857F2A4-80FB-434D-A9FF-A0FAD1CDE9B8}" name="d" dataDxfId="330">
      <calculatedColumnFormula array="1">IF(SECCIONES_CAPAS[[#This Row],[Material nombre largo]]=0,0,INDEX(CAPAS[d],SECCIONES_CAPAS[[#This Row],[Capa]]))</calculatedColumnFormula>
    </tableColumn>
    <tableColumn id="18" xr3:uid="{EF1A0506-BF19-4A5B-97D9-5FC9A6B5BBC7}" name="índice prop térmica" dataDxfId="329">
      <calculatedColumnFormula>MATCH(INDEX(MATERIALES[Propiedad térmica],MATCH(SECCIONES_CAPAS[[#This Row],[Material nombre largo]],MATERIALES[Nombre largo],0)),Aux!$H$18:$H$19,0)</calculatedColumnFormula>
    </tableColumn>
    <tableColumn id="23" xr3:uid="{DBFE97D8-F0AD-47AC-BC70-BB3F0334DD3A}" name="verif error 1" dataDxfId="328">
      <calculatedColumnFormula>IF(ISERROR(SECCIONES_CAPAS[[#This Row],[índice prop térmica]]),1,0)</calculatedColumnFormula>
    </tableColumn>
    <tableColumn id="6" xr3:uid="{ED6CDBE0-5181-4BD4-8926-3508B5E8C6A3}" name="λ" dataDxfId="327">
      <calculatedColumnFormula array="1">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calculatedColumnFormula>
    </tableColumn>
    <tableColumn id="29" xr3:uid="{2EE13042-5E48-4F3F-9636-CA55BE952D17}" name="Aislante" dataDxfId="326">
      <calculatedColumnFormula>IF((SECCIONES_CAPAS[[#This Row],[λ]]&lt;0.1)*(SECCIONES_CAPAS[[#This Row],[λ]]&gt;0),TRUE,FALSE)</calculatedColumnFormula>
    </tableColumn>
    <tableColumn id="5" xr3:uid="{914D1316-C63B-459A-9A7C-526CAC0130CB}" name="λ*f" dataDxfId="325">
      <calculatedColumnFormula array="1">INDEX(SECCIONES[f],SECCIONES_CAPAS[[#This Row],[Sección]])*SECCIONES_CAPAS[[#This Row],[λ]]</calculatedColumnFormula>
    </tableColumn>
    <tableColumn id="4" xr3:uid="{9A025FE4-290A-4179-B218-EFFC4C5764AC}" name="R" dataDxfId="324">
      <calculatedColumnFormula array="1">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calculatedColumnFormula>
    </tableColumn>
    <tableColumn id="7" xr3:uid="{765D0928-A662-468B-A9C6-12A14F15DA8E}" name="f/R" dataDxfId="323">
      <calculatedColumnFormula>IFERROR(INDEX(SECCIONES[f],MATCH(SECCIONES_CAPAS[[#This Row],[Sección]],SECCIONES[Sección m],0))/SECCIONES_CAPAS[[#This Row],[R]],0)</calculatedColumnFormula>
    </tableColumn>
    <tableColumn id="12" xr3:uid="{0C126BD7-57DE-433B-9F41-1295863CDE25}" name="d'" dataDxfId="322">
      <calculatedColumnFormula>IF(SECCIONES_CAPAS[[#This Row],[Capa]]=1,SECCIONES_CAPAS[[#This Row],[d]],SECCIONES_CAPAS[[#This Row],[d]]+W15)</calculatedColumnFormula>
    </tableColumn>
    <tableColumn id="13" xr3:uid="{9BC87879-331B-493B-8D74-6BFB8186AEF1}" name="R'n" dataDxfId="321">
      <calculatedColumnFormula array="1">IF(SECCIONES_CAPAS[[#This Row],[Capa]]=1,IF(contacto_terreno,Resistencia_térmica_2m_tierra+SECCIONES_CAPAS[[#This Row],[R]],R_se+SECCIONES_CAPAS[[#This Row],[R]]),INDIRECT(ADDRESS(ROW()-1,COLUMN(),4))+SECCIONES_CAPAS[[#This Row],[R]])</calculatedColumnFormula>
    </tableColumn>
    <tableColumn id="19" xr3:uid="{8E988966-3363-4393-98C0-5E603C31A780}" name="índice prop difusión" dataDxfId="320">
      <calculatedColumnFormula>MATCH(INDEX(MATERIALES[Propiedad difusión de vapor],MATCH(SECCIONES_CAPAS[[#This Row],[Material nombre largo]],MATERIALES[Nombre largo],0)),Aux!$H$20:$H$27,0)</calculatedColumnFormula>
    </tableColumn>
    <tableColumn id="14" xr3:uid="{1CED0A21-7157-440E-B8C3-13B099A9B8A1}" name="μ" dataDxfId="319">
      <calculatedColumnFormula>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calculatedColumnFormula>
    </tableColumn>
    <tableColumn id="28" xr3:uid="{47D73711-B445-4CC6-8EAB-275A0B27D208}" name="μ inf" dataDxfId="318">
      <calculatedColumnFormula>IF(INDEX(MATERIALES[Valor propiedad difusión de vapor],MATCH(SECCIONES_CAPAS[[#This Row],[Material nombre largo]],MATERIALES[Nombre largo],0))=Aux!$C$112,TRUE,FALSE)</calculatedColumnFormula>
    </tableColumn>
    <tableColumn id="15" xr3:uid="{63528B1B-75CE-486A-B2B0-247FCEE8DC0F}" name="Sd" dataDxfId="317">
      <calculatedColumnFormula array="1">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calculatedColumnFormula>
    </tableColumn>
    <tableColumn id="16" xr3:uid="{9D7404BF-7F2E-49EE-B29A-6B024E0FDEBF}" name="S'd" dataDxfId="316">
      <calculatedColumnFormula array="1">IF(SECCIONES_CAPAS[[#This Row],[Capa]]=1,SECCIONES_CAPAS[[#This Row],[Sd]],SECCIONES_CAPAS[[#This Row],[Sd]]+INDIRECT(ADDRESS(ROW()-1,COLUMN(),4)))</calculatedColumnFormula>
    </tableColumn>
    <tableColumn id="24" xr3:uid="{9CB0149F-0FA4-4631-9EA0-3F897A544211}" name="verif error 2" dataDxfId="315">
      <calculatedColumnFormula>IF(ISERROR(SECCIONES_CAPAS[[#This Row],[Sd]]),1,0)</calculatedColumnFormula>
    </tableColumn>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8B54912-3387-4F6A-891F-A04A2334FD30}" name="CAPAS" displayName="CAPAS" ref="AL4:AQ12" totalsRowCount="1">
  <autoFilter ref="AL4:AQ11" xr:uid="{B8B54912-3387-4F6A-891F-A04A2334FD30}">
    <filterColumn colId="0" hiddenButton="1"/>
    <filterColumn colId="1" hiddenButton="1"/>
    <filterColumn colId="2" hiddenButton="1"/>
    <filterColumn colId="3" hiddenButton="1"/>
    <filterColumn colId="4" hiddenButton="1"/>
    <filterColumn colId="5" hiddenButton="1"/>
  </autoFilter>
  <tableColumns count="6">
    <tableColumn id="1" xr3:uid="{348BA5A8-928B-4A5D-9CB5-1CAD6FEB926C}" name="Capa j" totalsRowFunction="count" dataDxfId="314">
      <calculatedColumnFormula>ROW()-ROW(INDEX(CAPAS[],1,1))+1</calculatedColumnFormula>
    </tableColumn>
    <tableColumn id="6" xr3:uid="{6514F8AB-A041-44B9-9076-28F1BA6264F1}" name="descripción" dataDxfId="313">
      <calculatedColumnFormula array="1">INDEX(SECCIONES_CAPAS[desc capa equivalente acum],MATCH(N_secciones&amp;"-"&amp;CAPAS[[#This Row],[Capa j]],SECCIONES_CAPAS[llave],0))</calculatedColumnFormula>
    </tableColumn>
    <tableColumn id="3" xr3:uid="{7B2BE4A2-F31A-414B-835B-3C07CD353A3A}" name="d" totalsRowFunction="sum" dataDxfId="312">
      <calculatedColumnFormula array="1">INDEX(DATOS[Espesor capas],CAPAS[[#This Row],[Capa j]]+2)</calculatedColumnFormula>
    </tableColumn>
    <tableColumn id="5" xr3:uid="{A50B3865-9AD2-45DE-AF44-D8DD0A14C50F}" name="d'" dataDxfId="311">
      <calculatedColumnFormula>IF(CAPAS[[#This Row],[Capa j]]=1,CAPAS[[#This Row],[d]],CAPAS[[#This Row],[d]]+AN4)</calculatedColumnFormula>
    </tableColumn>
    <tableColumn id="4" xr3:uid="{429597C0-DC70-4515-A6D6-E96FCE9E8563}" name="λeq capa" dataDxfId="310">
      <calculatedColumnFormula>SUMIF(SECCIONES_CAPAS[Capa],CAPAS[[#This Row],[Capa j]],SECCIONES_CAPAS[f/R])*CAPAS[[#This Row],[d]]</calculatedColumnFormula>
    </tableColumn>
    <tableColumn id="2" xr3:uid="{35B58F5B-BB1B-43FA-8365-51F9EF529E9F}" name="RTcapa" totalsRowFunction="custom" dataDxfId="309" totalsRowDxfId="308">
      <calculatedColumnFormula>IFERROR(1/SUMIF(SECCIONES_CAPAS[Capa],CAPAS[[#This Row],[Capa j]],SECCIONES_CAPAS[f/R]),0)</calculatedColumnFormula>
      <totalsRowFormula>R_si+SUM(CAPAS[RTcapa])+IF(espacio_no_acondicionado,R_u_techo,0)+R_se</totalsRowFormula>
    </tableColumn>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279F8A5-98D9-419C-A130-D163A8814F75}" name="SECCIONES" displayName="SECCIONES" ref="AS4:BW7" totalsRowCount="1">
  <autoFilter ref="AS4:BW6" xr:uid="{7279F8A5-98D9-419C-A130-D163A8814F7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autoFilter>
  <tableColumns count="31">
    <tableColumn id="1" xr3:uid="{A18FB1DF-C8E8-457F-A7B2-91B089BC6C80}" name="Sección m" totalsRowFunction="count" dataDxfId="307">
      <calculatedColumnFormula>ROW()-ROW(INDEX(SECCIONES[],1,1))+1</calculatedColumnFormula>
    </tableColumn>
    <tableColumn id="5" xr3:uid="{73E2F688-551F-4245-8744-A995F7D45E91}" name="Sección letra" dataDxfId="306">
      <calculatedColumnFormula>CHAR(64+SECCIONES[[#This Row],[Sección m]])</calculatedColumnFormula>
    </tableColumn>
    <tableColumn id="10" xr3:uid="{77462769-7E12-4EAA-88D5-A0B8203C3E62}" name="Nombre sección" dataDxfId="305">
      <calculatedColumnFormula array="1">IF(INDEX(DATOS[],1,2+SECCIONES[[#This Row],[Sección m]])=0,"",INDEX(DATOS[],1,2+SECCIONES[[#This Row],[Sección m]]))</calculatedColumnFormula>
    </tableColumn>
    <tableColumn id="19" xr3:uid="{E00A57EC-FAB0-4454-8A6A-B5D698977FE8}" name="Nombre compuesto" dataDxfId="304">
      <calculatedColumnFormula>SECCIONES[[#This Row],[Sección letra]]&amp;": "&amp;SECCIONES[[#This Row],[Nombre sección]]</calculatedColumnFormula>
    </tableColumn>
    <tableColumn id="27" xr3:uid="{6E020F8A-185A-443B-BF41-9A577A64E919}" name="descripción auto" dataDxfId="303">
      <calculatedColumnFormula array="1">"Sección '"&amp;SECCIONES[[#This Row],[Sección letra]]&amp;" "&amp;SECCIONES[[#This Row],[Nombre sección]]&amp;"':"&amp;" "&amp;INDEX(SECCIONES_CAPAS[descripción auto acum],N_capas*SECCIONES[[#This Row],[Sección m]])</calculatedColumnFormula>
    </tableColumn>
    <tableColumn id="29" xr3:uid="{D60CC1CA-DD33-4723-A434-78CDCB5171DC}" name="descripción auto acum" totalsRowFunction="custom" dataDxfId="302">
      <calculatedColumnFormula>IF(SECCIONES[[#This Row],[Sección m]]=1,SECCIONES[[#This Row],[descripción auto]],AX4&amp;". "&amp;SECCIONES[[#This Row],[descripción auto]])</calculatedColumnFormula>
      <totalsRowFormula array="1">INDEX(SECCIONES[descripción auto acum],N_secciones)</totalsRowFormula>
    </tableColumn>
    <tableColumn id="6" xr3:uid="{A34540AE-79CE-4603-9AC4-B0619DD7A8CC}" name="d total CANV multicapa" dataDxfId="301">
      <calculatedColumnFormula>SUMIFS(SECCIONES_CAPAS[d],SECCIONES_CAPAS[Sección],SECCIONES[[#This Row],[Sección m]],SECCIONES_CAPAS[Cámara aire no ventilada multicapa],TRUE)</calculatedColumnFormula>
    </tableColumn>
    <tableColumn id="24" xr3:uid="{CDD4A57E-DE7D-4D4D-A98F-DD37890F4C9C}" name="R cámara aire multicapa" dataDxfId="300">
      <calculatedColumnFormula array="1">IF(SECCIONES[[#This Row],[d total CANV multicapa]]*1000&gt;=MAX(R_Capa_aire[espesor '[mm']]),INDEX(R_Capa_aire[],COUNT(R_Capa_aire[espesor '[mm']]),dirección_flujo+1),(SECCIONES[[#This Row],[d total CANV multicapa]]*1000-INDEX(R_Capa_aire[],MATCH(SECCIONES[[#This Row],[d total CANV multicapa]]*1000,R_Capa_aire[espesor '[mm']],1),1))*(INDEX(R_Capa_aire[],MATCH(SECCIONES[[#This Row],[d total CANV multicapa]]*1000,R_Capa_aire[espesor '[mm']],1)+1,dirección_flujo+1)-INDEX(R_Capa_aire[],MATCH(SECCIONES[[#This Row],[d total CANV multicapa]]*1000,R_Capa_aire[espesor '[mm']],1),dirección_flujo+1))/(INDEX(R_Capa_aire[],MATCH(SECCIONES[[#This Row],[d total CANV multicapa]]*1000,R_Capa_aire[espesor '[mm']],1)+1,1)-INDEX(R_Capa_aire[],MATCH(SECCIONES[[#This Row],[d total CANV multicapa]]*1000,R_Capa_aire[espesor '[mm']],1),1))+INDEX(R_Capa_aire[],MATCH(SECCIONES[[#This Row],[d total CANV multicapa]]*1000,R_Capa_aire[espesor '[mm']],1),dirección_flujo+1))</calculatedColumnFormula>
    </tableColumn>
    <tableColumn id="7" xr3:uid="{ABA2BA07-C45A-464F-BBBC-EA68AD24E69C}" name="λeq CANV multicapa" dataDxfId="299">
      <calculatedColumnFormula>IFERROR(SECCIONES[[#This Row],[d total CANV multicapa]]/SECCIONES[[#This Row],[R cámara aire multicapa]],0)</calculatedColumnFormula>
    </tableColumn>
    <tableColumn id="25" xr3:uid="{82648B4E-64B1-4264-9D1F-11A89DDF7995}" name="ajuste Sd CANV multicapa" dataDxfId="298">
      <calculatedColumnFormula>COUNTIFS(SECCIONES_CAPAS[Sección],SECCIONES[[#This Row],[Sección m]],SECCIONES_CAPAS[Cámara aire no ventilada multicapa],TRUE)</calculatedColumnFormula>
    </tableColumn>
    <tableColumn id="3" xr3:uid="{1C4809A0-C8BD-4724-87DB-C01ABBE4A063}" name="f" totalsRowFunction="custom" dataDxfId="297">
      <calculatedColumnFormula array="1">IF(N_secciones=1,1,INDEX(DATOS[],2,2+SECCIONES[[#This Row],[Sección m]]))</calculatedColumnFormula>
      <totalsRowFormula array="1">IF((SUBTOTAL(109,SECCIONES[f])&lt;1)*N_secciones=1,1,SUBTOTAL(109,SECCIONES[f]))</totalsRowFormula>
    </tableColumn>
    <tableColumn id="2" xr3:uid="{81465B90-9ECD-462A-97C2-061F95DD7DBA}" name="Rtsección">
      <calculatedColumnFormula>IFERROR(R_si+R_se+SUMIF(SECCIONES_CAPAS[Sección],SECCIONES[[#This Row],[Sección m]],SECCIONES_CAPAS[R])+IF(espacio_no_acondicionado,R_u_techo,0),0)</calculatedColumnFormula>
    </tableColumn>
    <tableColumn id="23" xr3:uid="{5D5868BE-A009-4652-9B1A-FAF5008C8578}" name="verif error sección térmico">
      <calculatedColumnFormula>IF(SUMIF(SECCIONES_CAPAS[Sección],SECCIONES[[#This Row],[Sección m]],SECCIONES_CAPAS[verif error 1])&gt;0,1,0)</calculatedColumnFormula>
    </tableColumn>
    <tableColumn id="28" xr3:uid="{71B67F27-F63A-40FA-8AF1-AF50B6397B30}" name="verif error sección condensación" dataDxfId="296">
      <calculatedColumnFormula>IF(SUMIF(SECCIONES_CAPAS[Sección],SECCIONES[[#This Row],[Sección m]],SECCIONES_CAPAS[verif error 2])&gt;0,1,0)</calculatedColumnFormula>
    </tableColumn>
    <tableColumn id="22" xr3:uid="{E736A2C7-621F-453D-8E85-0653872BE43B}" name="U sección" dataDxfId="295">
      <calculatedColumnFormula>1/SECCIONES[[#This Row],[Rtsección]]</calculatedColumnFormula>
    </tableColumn>
    <tableColumn id="20" xr3:uid="{70ED4AB8-C288-431C-A7F0-7ECAF7700DEF}" name="Rtseccion_sin_Ru">
      <calculatedColumnFormula>IFERROR(R_si+R_se+SUMIF(SECCIONES_CAPAS[Sección],SECCIONES[[#This Row],[Sección m]],SECCIONES_CAPAS[R]),0)</calculatedColumnFormula>
    </tableColumn>
    <tableColumn id="21" xr3:uid="{E43308E3-E1C2-486A-ABC2-7EC8412ED8BA}" name="fRsi sección" dataDxfId="294">
      <calculatedColumnFormula>1-R_si/SECCIONES[[#This Row],[Rtsección]]</calculatedColumnFormula>
    </tableColumn>
    <tableColumn id="14" xr3:uid="{2A2A70C9-BFF3-407E-BE7F-5823D4F4DBFA}" name="R100 capa aislante" totalsRowFunction="custom" dataDxfId="293">
      <calculatedColumnFormula>ROUND(100*SUMIFS(SECCIONES_CAPAS[R],SECCIONES_CAPAS[Sección],SECCIONES[[#This Row],[Sección m]],SECCIONES_CAPAS[λ],"&lt;0,1",SECCIONES_CAPAS[Cámara aire no ventilada],FALSE),0)</calculatedColumnFormula>
      <totalsRowFormula>MAX(SECCIONES[R100 capa aislante])</totalsRowFormula>
    </tableColumn>
    <tableColumn id="9" xr3:uid="{646272F6-0677-4383-993F-E1C272763152}" name="Rtsección_condensación" dataDxfId="292">
      <calculatedColumnFormula>SECCIONES[[#This Row],[Rtsección]]+IF((Método_temperatura_exterior=3)*(Método_humedad_relativa_exterior=3),0,-R_si+Rsi_condensación)+IF(contacto_terreno,Resistencia_térmica_2m_tierra,0)</calculatedColumnFormula>
    </tableColumn>
    <tableColumn id="4" xr3:uid="{72F27D23-75D0-4144-A04B-C77806B0D5F3}" name="f/Rtsección" totalsRowFunction="custom" dataDxfId="291">
      <calculatedColumnFormula>IFERROR(SECCIONES[[#This Row],[f]]/SECCIONES[[#This Row],[Rtsección]],0)</calculatedColumnFormula>
      <totalsRowFormula>1/SUBTOTAL(109,SECCIONES[f/Rtsección])</totalsRowFormula>
    </tableColumn>
    <tableColumn id="30" xr3:uid="{2C57B061-C61A-4D7D-8617-CD61D0121265}" name="capa interior μ inf" totalsRowFunction="sum" dataDxfId="290" totalsRowDxfId="289">
      <calculatedColumnFormula array="1">IFERROR(INDEX(SECCIONES_CAPAS[μ inf],MATCH(SECCIONES[[#This Row],[Sección m]]&amp;"-"&amp;N_capas,SECCIONES_CAPAS[llave])),FALSE)</calculatedColumnFormula>
    </tableColumn>
    <tableColumn id="18" xr3:uid="{A7E8484D-5B3F-4271-B70B-B516EA05BFEF}" name="cumple cond superficial" dataDxfId="288">
      <calculatedColumnFormula>IF((Método_temperatura_exterior=3)+(Método_humedad_relativa_exterior=3),IF(INDEX(COND_SUPERFICIAL[Condensa],MATCH("7-"&amp;SECCIONES[[#This Row],[Sección m]],COND_SUPERFICIAL[llave],0)),FALSE,TRUE),IF(INDEX(COND_SUPERFICIAL[Condensa],MATCH("1-"&amp;SECCIONES[[#This Row],[Sección m]],COND_SUPERFICIAL[llave],0))+INDEX(COND_SUPERFICIAL[Condensa],MATCH("2-"&amp;SECCIONES[[#This Row],[Sección m]],COND_SUPERFICIAL[llave],0))+INDEX(COND_SUPERFICIAL[Condensa],MATCH("3-"&amp;SECCIONES[[#This Row],[Sección m]],COND_SUPERFICIAL[llave],0))+INDEX(COND_SUPERFICIAL[Condensa],MATCH("4-"&amp;SECCIONES[[#This Row],[Sección m]],COND_SUPERFICIAL[llave],0))+INDEX(COND_SUPERFICIAL[Condensa],MATCH("5-"&amp;SECCIONES[[#This Row],[Sección m]],COND_SUPERFICIAL[llave],0))+INDEX(COND_SUPERFICIAL[Condensa],MATCH("6-"&amp;SECCIONES[[#This Row],[Sección m]],COND_SUPERFICIAL[llave],0))+INDEX(COND_SUPERFICIAL[Condensa],MATCH("7-"&amp;SECCIONES[[#This Row],[Sección m]],COND_SUPERFICIAL[llave],0))+INDEX(COND_SUPERFICIAL[Condensa],MATCH("8-"&amp;SECCIONES[[#This Row],[Sección m]],COND_SUPERFICIAL[llave],0))+INDEX(COND_SUPERFICIAL[Condensa],MATCH("9-"&amp;SECCIONES[[#This Row],[Sección m]],COND_SUPERFICIAL[llave],0))+INDEX(COND_SUPERFICIAL[Condensa],MATCH("10-"&amp;SECCIONES[[#This Row],[Sección m]],COND_SUPERFICIAL[llave],0))+INDEX(COND_SUPERFICIAL[Condensa],MATCH("11-"&amp;SECCIONES[[#This Row],[Sección m]],COND_SUPERFICIAL[llave],0))+INDEX(COND_SUPERFICIAL[Condensa],MATCH("12-"&amp;SECCIONES[[#This Row],[Sección m]],COND_SUPERFICIAL[llave],0))=0,TRUE,FALSE))</calculatedColumnFormula>
    </tableColumn>
    <tableColumn id="32" xr3:uid="{B0B0FAF1-15B7-4F5A-8B7D-EBBE9D713C21}" name="d'" dataDxfId="287">
      <calculatedColumnFormula array="1">INDEX(SECCIONES_CAPAS[d''],MATCH(SECCIONES[[#This Row],[Sección m]]&amp;"-"&amp;N_capas,SECCIONES_CAPAS[llave],0))</calculatedColumnFormula>
    </tableColumn>
    <tableColumn id="8" xr3:uid="{79116705-8EDD-407A-A462-D14382146E79}" name="SdT" dataDxfId="286">
      <calculatedColumnFormula>IFERROR(SUMIF(SECCIONES_CAPAS[Sección],SECCIONES[[#This Row],[Sección m]],SECCIONES_CAPAS[Sd]),0)</calculatedColumnFormula>
    </tableColumn>
    <tableColumn id="16" xr3:uid="{D1D61070-B7D5-4B5A-A9B7-FD2685969EA4}" name="humedad acumulada" dataDxfId="285">
      <calculatedColumnFormula array="1">IFERROR(MAX(IF((COND_INTERSTICIAL_AGUA_ACUMULADA[Sección]=SECCIONES[[#This Row],[Sección m]]),COND_INTERSTICIAL_AGUA_ACUMULADA[agua acumulada])),"")</calculatedColumnFormula>
    </tableColumn>
    <tableColumn id="26" xr3:uid="{79770554-3747-4EC6-9BBF-33FE1599F6E8}" name="meses de condensación" dataDxfId="284">
      <calculatedColumnFormula>COUNTIFS(COND_INTERSTICIAL_AGUA_ACUMULADA[interfases con agua líquida],"&gt;0",COND_INTERSTICIAL_AGUA_ACUMULADA[Sección],SECCIONES[[#This Row],[Sección m]])</calculatedColumnFormula>
    </tableColumn>
    <tableColumn id="17" xr3:uid="{8C8D083C-64CD-486B-9577-78C9C92EA576}" name="mes con máx condensación" dataDxfId="283">
      <calculatedColumnFormula>IF((SECCIONES[[#This Row],[Criterio condensación interst]]&lt;2)+(Método_temperatura_exterior=3)+(Método_humedad_relativa_exterior=3),"No aplica",INDEX(COND_INTERSTICIAL_AGUA_ACUMULADA[Mes],MATCH(SECCIONES[[#This Row],[humedad acumulada]],COND_INTERSTICIAL_AGUA_ACUMULADA[agua acumulada],0)))</calculatedColumnFormula>
    </tableColumn>
    <tableColumn id="12" xr3:uid="{D25ECB9B-5BEE-42AB-8D49-D151DC2F1432}" name="interfases con condensación" dataDxfId="282">
      <calculatedColumnFormula array="1">MAX(IF((COND_INTERSTICIAL_AGUA_ACUMULADA[Sección]=SECCIONES[[#This Row],[Sección m]]),COND_INTERSTICIAL_AGUA_ACUMULADA[interfases con agua líquida]))</calculatedColumnFormula>
    </tableColumn>
    <tableColumn id="13" xr3:uid="{516B198D-1A45-47EA-BA91-6DEDFF5912EF}" name="Criterio condensación interst" dataDxfId="281">
      <calculatedColumnFormula>IF(COUNTIFS(COND_INTERSTICIAL_AGUA_ACUMULADA[Sección],SECCIONES[[#This Row],[Sección m]],COND_INTERSTICIAL_AGUA_ACUMULADA[interfases con agua líquida],"&gt;0")=0,1,IF((COUNTIFS(COND_INTERSTICIAL_AGUA_ACUMULADA[Sección],SECCIONES[[#This Row],[Sección m]],COND_INTERSTICIAL_AGUA_ACUMULADA[interfases con agua líquida],"&gt;0")&lt;12)*(SECCIONES[[#This Row],[humedad acumulada]]&lt;acumulación_máxima_de_agua),2,IF((SECCIONES[[#This Row],[humedad acumulada]]&gt;=acumulación_máxima_de_agua),3,IF(COUNTIFS(COND_INTERSTICIAL_AGUA_ACUMULADA[Sección],SECCIONES[[#This Row],[Sección m]],COND_INTERSTICIAL_AGUA_ACUMULADA[interfases con agua líquida],"&gt;0")=12,4,""))))</calculatedColumnFormula>
    </tableColumn>
    <tableColumn id="11" xr3:uid="{80881479-445E-4F29-9B89-2B96468C934D}" name="verif intersticial" dataDxfId="280">
      <calculatedColumnFormula>CHOOSE(SECCIONES[[#This Row],[Criterio condensación interst]],1,0.5,0,0)</calculatedColumnFormula>
    </tableColumn>
    <tableColumn id="15" xr3:uid="{844304B5-8A18-41E7-9931-B94233DEA369}" name="cumple cond intersticial">
      <calculatedColumnFormula>IF((Método_temperatura_exterior=3)+(Método_humedad_relativa_exterior=3),IF(SECCIONES[[#This Row],[interfases con condensación]]=0,TRUE,FALSE),IF(SECCIONES[[#This Row],[Criterio condensación interst]]&lt;2,TRUE,FALSE))</calculatedColumnFormula>
    </tableColumn>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DBD4EC-7CD3-4915-83A8-DCCB8D7AE75F}" name="CLIMA" displayName="CLIMA" ref="CD3:CZ16" totalsRowCount="1" headerRowDxfId="279" dataDxfId="278">
  <autoFilter ref="CD3:CZ15" xr:uid="{C1DBD4EC-7CD3-4915-83A8-DCCB8D7AE75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xr3:uid="{CAA7D935-FF17-4A26-9634-C1275C86F030}" name="Mes" dataDxfId="277" totalsRowDxfId="276"/>
    <tableColumn id="7" xr3:uid="{615821EF-5C64-4C0F-8BC6-36D351C81D14}" name="ϴe por defecto" totalsRowFunction="custom" dataDxfId="275">
      <calculatedColumnFormula array="1">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calculatedColumnFormula>
      <totalsRowFormula>CHOOSE(Método_temperatura_exterior,
INDEX(DATOS_TEMPERATURA_MEDIA_ZT[Media anual],MATCH(Zona_Térmica_condensación,DATOS_TEMPERATURA_MEDIA_ZT[Zona térmica],0)),
INDEX(DATOS_TEMPERATURA_MEDIA[Diciembre],MATCH(Usuario_estación_meteorológica,DATOS_TEMPERATURA_MEDIA[Estación Meteorológica],0)),
NA(),
NA())</totalsRowFormula>
    </tableColumn>
    <tableColumn id="17" xr3:uid="{0BE50F80-2872-48FE-BF1C-8C98A2D3E422}" name="ϴe suelo" dataDxfId="274">
      <calculatedColumnFormula array="1">(INDEX(CLIMA[ϴe por defecto],IF(CLIMA[[#This Row],[Mes]]-1&lt;1,12,CLIMA[[#This Row],[Mes]]-1))+ϴ_an)/2</calculatedColumnFormula>
    </tableColumn>
    <tableColumn id="18" xr3:uid="{DA4954F9-D344-4F88-ABF1-F5A82B6A0D88}" name="ϴe usuario" totalsRowFunction="custom" dataDxfId="273" totalsRowDxfId="272">
      <totalsRowFormula>IFERROR(SUBTOTAL(101,CLIMA[ϴe usuario]),"")</totalsRowFormula>
    </tableColumn>
    <tableColumn id="2" xr3:uid="{7C91D886-0045-46F2-833F-5C7B9C60F123}" name="ϴe" totalsRowFunction="average" dataDxfId="271" totalsRowDxfId="270">
      <calculatedColumnFormula>CHOOSE(Selector_temp_exterior,IF(Suelo,CLIMA[[#This Row],[ϴe suelo]],CLIMA[[#This Row],[ϴe por defecto]]),CLIMA[[#This Row],[ϴe usuario]])</calculatedColumnFormula>
    </tableColumn>
    <tableColumn id="4" xr3:uid="{04CB8000-D0CE-4778-A0C0-AF3C416A3620}" name="Psat(ϴe)" dataDxfId="269" totalsRowDxfId="268">
      <calculatedColumnFormula>IF(CLIMA[[#This Row],[ϴe]]&gt;=0,610.5*EXP((17.269*CLIMA[[#This Row],[ϴe]])/(237.3+CLIMA[[#This Row],[ϴe]])),610.5*EXP((21.875*CLIMA[[#This Row],[ϴe]])/(265.5+CLIMA[[#This Row],[ϴe]])))</calculatedColumnFormula>
    </tableColumn>
    <tableColumn id="14" xr3:uid="{E0247506-9F71-4511-A95F-B43D5F081020}" name="ϕe por defecto" dataDxfId="267" totalsRowDxfId="266">
      <calculatedColumnFormula array="1">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calculatedColumnFormula>
    </tableColumn>
    <tableColumn id="19" xr3:uid="{7E98753B-8AC3-428F-BD0B-EEDE8D561C2E}" name="ϕe usuario" dataDxfId="265" totalsRowDxfId="264"/>
    <tableColumn id="3" xr3:uid="{2DEAB700-14C2-4498-B98F-21E8B7D4EA6D}" name="ϕe" dataDxfId="263">
      <calculatedColumnFormula>CHOOSE(Selector_HR_exterior,CLIMA[[#This Row],[ϕe por defecto]],CLIMA[[#This Row],[ϕe usuario]])</calculatedColumnFormula>
    </tableColumn>
    <tableColumn id="11" xr3:uid="{4707B61D-6E54-4AAE-9B18-257B8BCF582F}" name="Pe" dataDxfId="262" totalsRowDxfId="261">
      <calculatedColumnFormula>CLIMA[[#This Row],[ϕe]]*CLIMA[[#This Row],[Psat(ϴe)]]</calculatedColumnFormula>
    </tableColumn>
    <tableColumn id="15" xr3:uid="{17A869D8-60B9-4BC4-BF55-0CDD621A1133}" name="ϴi por defecto" dataDxfId="260" totalsRowDxfId="259">
      <calculatedColumnFormula>CHOOSE(Método_temp_interior,IF(CLIMA[[#This Row],[ϴe por defecto]]&lt;=10,20,IF(CLIMA[[#This Row],[ϴe por defecto]]&gt;=20,25,0.5*(CLIMA[[#This Row],[ϴe por defecto]]-10)+20)),Temperatura_interior_fija)</calculatedColumnFormula>
    </tableColumn>
    <tableColumn id="20" xr3:uid="{7EDA9C93-92EE-4F18-A61F-A6827E7D2290}" name="ϴi usuario" dataDxfId="258"/>
    <tableColumn id="5" xr3:uid="{33B37429-3148-4066-ADA7-0BA9C7FA921C}" name="ϴi" dataDxfId="257" totalsRowDxfId="256">
      <calculatedColumnFormula>CHOOSE(Selector_temp_interior,CLIMA[[#This Row],[ϴi por defecto]],CLIMA[[#This Row],[ϴi usuario]])</calculatedColumnFormula>
    </tableColumn>
    <tableColumn id="22" xr3:uid="{855E2461-C5AD-484D-88AF-DD943626F4A9}" name="Δϴ" dataDxfId="255" totalsRowDxfId="254">
      <calculatedColumnFormula>CLIMA[[#This Row],[ϴi]]-CLIMA[[#This Row],[ϴe]]</calculatedColumnFormula>
    </tableColumn>
    <tableColumn id="13" xr3:uid="{63F0216E-22B8-4D1E-9F03-2DD33FAC8AF4}" name="Psat(ϴi)" dataDxfId="253" totalsRowDxfId="252">
      <calculatedColumnFormula>IF(CLIMA[[#This Row],[ϴi]]&gt;=0,610.5*EXP((17.269*CLIMA[[#This Row],[ϴi]])/(237.3+CLIMA[[#This Row],[ϴi]])),610.5*EXP((21.875*CLIMA[[#This Row],[ϴi]])/(265.5+CLIMA[[#This Row],[ϴi]])))</calculatedColumnFormula>
    </tableColumn>
    <tableColumn id="9" xr3:uid="{7CF9F222-27F5-45E4-BF04-81995C8BC9FE}" name="n usuario" dataDxfId="251" totalsRowDxfId="250"/>
    <tableColumn id="10" xr3:uid="{683E615A-2E5A-41AD-A0A7-2473217D250D}" name="G usuario" dataDxfId="249" totalsRowDxfId="248"/>
    <tableColumn id="8" xr3:uid="{AA47155A-B13D-4C82-BEE2-A793E4C4340B}" name="Δp" dataDxfId="247" totalsRowDxfId="246">
      <calculatedColumnFormula>CHOOSE(Método_hr_interior,CHOOSE(tipo_de_clima,CLIMA[[#This Row],[Pi]]-CLIMA[[#This Row],[Pe]],IF(CLIMA[[#This Row],[ϴe]]&lt;=0,y0_Δp,IF(CLIMA[[#This Row],[ϴe]]&lt;=20,m_Δp*CLIMA[[#This Row],[ϴe]]+y0_Δp,y1_Δp))),(CLIMA[[#This Row],[G usuario]]/(CLIMA[[#This Row],[n usuario]]*V_aire))*R_v*(CLIMA[[#This Row],[ϴi]]+273),CLIMA[[#This Row],[Pi]]-CLIMA[[#This Row],[Pe]])</calculatedColumnFormula>
    </tableColumn>
    <tableColumn id="12" xr3:uid="{5A44A2AF-A682-4D12-81DA-5DBEFB2FCE1B}" name="Pi" dataDxfId="245" totalsRowDxfId="244">
      <calculatedColumnFormula>CHOOSE(Método_hr_interior,CHOOSE(tipo_de_clima,CLIMA[[#This Row],[Psat(ϴi)]]*CLIMA[[#This Row],[ϕi]],CLIMA[[#This Row],[Pe]]+CLIMA[[#This Row],[Δp]]),CLIMA[[#This Row],[Pe]]+CLIMA[[#This Row],[Δp]],CLIMA[[#This Row],[Psat(ϴi)]]*CLIMA[[#This Row],[ϕi]])</calculatedColumnFormula>
    </tableColumn>
    <tableColumn id="16" xr3:uid="{CA0094AF-1EB0-4C19-BDEA-136748F667F2}" name="ϕi por defecto" dataDxfId="243" totalsRowDxfId="242">
      <calculatedColumnFormula>CHOOSE(Método_hr_interior,CHOOSE(tipo_de_clima,IF(CLIMA[[#This Row],[ϴe]]&lt;=-10,35+(Nivel_ocupación-1)*5,IF(CLIMA[[#This Row],[ϴe]]&gt;=20,65+(Nivel_ocupación-1)*5,1*(CLIMA[[#This Row],[ϴe]]+10)+35+(Nivel_ocupación-1)*5))/100,CLIMA[[#This Row],[Pi]]/CLIMA[[#This Row],[Psat(ϴi)]]),CLIMA[[#This Row],[Pi]]/CLIMA[[#This Row],[Psat(ϴi)]],humedad_relativa_fija_interior)</calculatedColumnFormula>
    </tableColumn>
    <tableColumn id="21" xr3:uid="{8F354B5D-A78F-4F4B-AF11-AB7001F95EA9}" name="ϕi usuario" dataDxfId="241" totalsRowDxfId="240"/>
    <tableColumn id="6" xr3:uid="{F9FAA2F9-6F84-4DA6-BC8F-298CF0BB3F25}" name="ϕi" dataDxfId="239" totalsRowDxfId="238">
      <calculatedColumnFormula>CHOOSE(Selector_HR_interior,CLIMA[[#This Row],[ϕi por defecto]],CLIMA[[#This Row],[ϕi usuario]])</calculatedColumnFormula>
    </tableColumn>
    <tableColumn id="23" xr3:uid="{8DE38893-57EE-4B3C-8BFE-EF3DDDF10564}" name="Δϕ" dataDxfId="237">
      <calculatedColumnFormula>CLIMA[[#This Row],[ϕi]]-CLIMA[[#This Row],[ϕe]]</calculatedColumnFormula>
    </tableColumn>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620F360-218C-47C6-86EB-97EC54252827}" name="COND_SUPERFICIAL" displayName="COND_SUPERFICIAL" ref="CK19:CN43">
  <autoFilter ref="CK19:CN43" xr:uid="{2620F360-218C-47C6-86EB-97EC54252827}">
    <filterColumn colId="0" hiddenButton="1"/>
    <filterColumn colId="1" hiddenButton="1"/>
    <filterColumn colId="2" hiddenButton="1"/>
    <filterColumn colId="3" hiddenButton="1"/>
  </autoFilter>
  <tableColumns count="4">
    <tableColumn id="1" xr3:uid="{66D035F8-20F5-4D58-A54F-1B32D03F0B96}" name="Mes" totalsRowLabel="Total" dataDxfId="236" totalsRowDxfId="235">
      <calculatedColumnFormula array="1">ROUNDUP((ROW()-$CN$18)/(N_secciones),0)</calculatedColumnFormula>
    </tableColumn>
    <tableColumn id="8" xr3:uid="{0C25E032-B927-4D93-8C73-871DCB4656B4}" name="Sección" dataDxfId="234" totalsRowDxfId="233">
      <calculatedColumnFormula array="1">ROW()-ROW(INDEX(COND_SUPERFICIAL[],1,1))+1-(COND_SUPERFICIAL[[#This Row],[Mes]]-1)*N_secciones</calculatedColumnFormula>
    </tableColumn>
    <tableColumn id="10" xr3:uid="{0C7764BA-B6F4-4DCD-B5E3-AAE2B265C95B}" name="llave" dataDxfId="232" totalsRowDxfId="231">
      <calculatedColumnFormula>COND_SUPERFICIAL[[#This Row],[Mes]]&amp;"-"&amp;COND_SUPERFICIAL[[#This Row],[Sección]]</calculatedColumnFormula>
    </tableColumn>
    <tableColumn id="9" xr3:uid="{7031FEC7-1CB1-4AB4-814E-34EFCBE884E1}" name="Condensa" dataDxfId="230" totalsRowDxfId="229">
      <calculatedColumnFormula array="1">IF(INDEX(SECCIONES[Rtsección_condensación],COND_SUPERFICIAL[[#This Row],[Sección]])&lt;=INDEX(COND_SUPERFICIAL_CONDICIONES[Rt_mín],COND_SUPERFICIAL[[#This Row],[Mes]]),TRUE,FALSE)</calculatedColumnFormula>
    </tableColumn>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C24AE83-7CC8-4E7A-8C34-4F25137BF389}" name="COND_INTERSTICIAL" displayName="COND_INTERSTICIAL" ref="CW19:EI187" totalsRowShown="0">
  <autoFilter ref="CW19:EI187" xr:uid="{BC24AE83-7CC8-4E7A-8C34-4F25137BF38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CCE7E55A-3BE5-4218-89D3-13FD2BBC7708}" name="Mes" dataDxfId="228">
      <calculatedColumnFormula array="1">ROUNDUP((ROW()-$CN$18+(Mes_inicial_de_análisis-1)*N_capas*N_secciones)/(N_capas*N_secciones),0)-12*IF(ROW()-$CN$18&gt;(12-Mes_inicial_de_análisis+1)*N_capas*N_secciones,1,0)</calculatedColumnFormula>
    </tableColumn>
    <tableColumn id="2" xr3:uid="{B52A2432-D9A1-41FB-AEAC-D64ABA6C0CC6}" name="Sección" dataDxfId="227">
      <calculatedColumnFormula array="1">ROUNDUP((ROW()-$CN$18)/N_capas-(ROUNDUP((ROW()-$CN$18)/(N_capas*N_secciones),0)-1)*N_secciones,0)</calculatedColumnFormula>
    </tableColumn>
    <tableColumn id="3" xr3:uid="{4D3FCA5E-B7D1-43B0-A93B-0982B382F777}" name="Capa" dataDxfId="226">
      <calculatedColumnFormula array="1">(ROW()-$CN$18)-(COND_INTERSTICIAL[[#This Row],[Sección]]-1)*N_capas-(ROUNDUP((ROW()-$CN$18)/(N_capas*N_secciones),0)-1)*N_capas*N_secciones</calculatedColumnFormula>
    </tableColumn>
    <tableColumn id="18" xr3:uid="{B8A15E22-B0D5-42E8-A6E4-3FA5AEABE5F4}" name="llave capa" dataDxfId="225">
      <calculatedColumnFormula>COND_INTERSTICIAL[[#This Row],[Mes]]&amp;"-"&amp;COND_INTERSTICIAL[[#This Row],[Sección]]&amp;"-"&amp;COND_INTERSTICIAL[[#This Row],[Capa]]</calculatedColumnFormula>
    </tableColumn>
    <tableColumn id="4" xr3:uid="{58E8924B-D5A0-4B9C-B461-972565024B2F}" name="Rn" dataDxfId="224">
      <calculatedColumnFormula>INDEX(SECCIONES_CAPAS[R''n],MATCH(COND_INTERSTICIAL[[#This Row],[Sección]]&amp;"-"&amp;COND_INTERSTICIAL[[#This Row],[Capa]],SECCIONES_CAPAS[llave],0))</calculatedColumnFormula>
    </tableColumn>
    <tableColumn id="5" xr3:uid="{5E1CF28A-D054-4B0E-9773-B3DA6B577418}" name="ϴn" dataDxfId="223">
      <calculatedColumnFormula array="1">INDEX(CLIMA[ϴe],COND_INTERSTICIAL[[#This Row],[Mes]])+COND_INTERSTICIAL[[#This Row],[Rn]]*(INDEX(CLIMA[ϴi],COND_INTERSTICIAL[[#This Row],[Mes]])-INDEX(CLIMA[ϴe],COND_INTERSTICIAL[[#This Row],[Mes]]))/(INDEX(SECCIONES[Rtsección_condensación],COND_INTERSTICIAL[[#This Row],[Sección]]))</calculatedColumnFormula>
    </tableColumn>
    <tableColumn id="16" xr3:uid="{9EE941AE-807B-4AEF-B7CB-B07325336E8A}" name="Sd" dataDxfId="222">
      <calculatedColumnFormula>INDEX(SECCIONES_CAPAS[Sd],MATCH(COND_INTERSTICIAL[[#This Row],[Sección]]&amp;"-"&amp;COND_INTERSTICIAL[[#This Row],[Capa]],SECCIONES_CAPAS[llave],0))</calculatedColumnFormula>
    </tableColumn>
    <tableColumn id="10" xr3:uid="{1B2366DD-FDCE-4C14-BB42-5747D140D41B}" name="S'd" dataDxfId="221">
      <calculatedColumnFormula>INDEX(SECCIONES_CAPAS[S''d],MATCH(COND_INTERSTICIAL[[#This Row],[Sección]]&amp;"-"&amp;COND_INTERSTICIAL[[#This Row],[Capa]],SECCIONES_CAPAS[llave],0))</calculatedColumnFormula>
    </tableColumn>
    <tableColumn id="6" xr3:uid="{87D4B563-7A14-415D-8730-6AA16FAA247D}" name="Psat" dataDxfId="220">
      <calculatedColumnFormula>IF(COND_INTERSTICIAL[[#This Row],[ϴn]]&gt;=0,610.5*EXP((17.269*COND_INTERSTICIAL[[#This Row],[ϴn]])/(237.3+COND_INTERSTICIAL[[#This Row],[ϴn]])),610.5*EXP((21.875*COND_INTERSTICIAL[[#This Row],[ϴn]])/(265.5+COND_INTERSTICIAL[[#This Row],[ϴn]])))</calculatedColumnFormula>
    </tableColumn>
    <tableColumn id="7" xr3:uid="{7F7BC0EE-90C5-4047-96E5-9904507371F0}" name="Pn" dataDxfId="219">
      <calculatedColumnFormula array="1">COND_INTERSTICIAL[[#This Row],[S''d]]*((INDEX(CLIMA[Pi],COND_INTERSTICIAL[[#This Row],[Mes]])-INDEX(CLIMA[Pe],COND_INTERSTICIAL[[#This Row],[Mes]]))/INDEX(SECCIONES[SdT],COND_INTERSTICIAL[[#This Row],[Sección]]))+INDEX(CLIMA[Pe],COND_INTERSTICIAL[[#This Row],[Mes]])</calculatedColumnFormula>
    </tableColumn>
    <tableColumn id="8" xr3:uid="{86AFB9C9-BE7C-4B5D-914D-08A4C7E5C344}" name="Condensa" dataDxfId="218">
      <calculatedColumnFormula>IF((COND_INTERSTICIAL[[#This Row],[Pn]]&gt;=COND_INTERSTICIAL[[#This Row],[Psat]]),TRUE,FALSE)</calculatedColumnFormula>
    </tableColumn>
    <tableColumn id="17" xr3:uid="{36CCD907-6C3D-4209-A6E4-94873AB9FE8A}" name="P límite cond" dataDxfId="217">
      <calculatedColumnFormula array="1">IF(COND_INTERSTICIAL[[#This Row],[Condensa]],COND_INTERSTICIAL[[#This Row],[Psat]],IF(COND_INTERSTICIAL[[#This Row],[Capa]]=N_capas,COND_INTERSTICIAL[[#This Row],[Pn]],""))</calculatedColumnFormula>
    </tableColumn>
    <tableColumn id="20" xr3:uid="{C7320DB9-DF65-4DAE-BB0B-ED8B8CFE40BF}" name="llave tramo cond" dataDxfId="216">
      <calculatedColumnFormula>COND_INTERSTICIAL[[#This Row],[Mes]]&amp;"-"&amp;COND_INTERSTICIAL[[#This Row],[Sección]]&amp;"-"&amp;COND_INTERSTICIAL[[#This Row],[tramo cond]]</calculatedColumnFormula>
    </tableColumn>
    <tableColumn id="13" xr3:uid="{AB1970E8-197C-48B2-9F23-C0C66F93396D}" name="tramo cond" dataDxfId="215">
      <calculatedColumnFormula array="1">IF(COND_INTERSTICIAL[[#This Row],[Capa]]=1,IF(COND_INTERSTICIAL[[#This Row],[Condensa]],2,1),IF(COND_INTERSTICIAL[[#This Row],[Condensa]],1,0)+INDIRECT(ADDRESS(ROW()-1,COLUMN(),4)))</calculatedColumnFormula>
    </tableColumn>
    <tableColumn id="19" xr3:uid="{C6112A45-5E79-442E-9AFD-CCBE4FDF49BD}" name="capa lím inf cond" dataDxfId="214">
      <calculatedColumnFormula array="1">IF(COND_INTERSTICIAL[[#This Row],[tramo cond]]=1,0,IF((COND_INTERSTICIAL[[#This Row],[tramo cond]]&gt;INDIRECT(ADDRESS(ROW()-1,COLUMN(COND_INTERSTICIAL[[#This Row],[tramo cond]]),4)))+COND_INTERSTICIAL[[#This Row],[Condensa]],COND_INTERSTICIAL[[#This Row],[Capa]],INDIRECT(ADDRESS(ROW()-1,COLUMN(),4))))</calculatedColumnFormula>
    </tableColumn>
    <tableColumn id="14" xr3:uid="{BD008B35-AB5B-4FD9-AF55-8EF83364E829}" name="capa lím sup cond" dataDxfId="213">
      <calculatedColumnFormula array="1">IF((COND_INTERSTICIAL[[#This Row],[Capa]]=N_capas)+(COND_INTERSTICIAL[[#This Row],[tramo cond]]=COUNTIFS(COND_INTERSTICIAL[Condensa],TRUE,COND_INTERSTICIAL[Mes],CW20,COND_INTERSTICIAL[Sección],CX20)+1),N_capas,INDEX(COND_INTERSTICIAL[capa lím inf cond],MATCH(COND_INTERSTICIAL[[#This Row],[Mes]]&amp;"-"&amp;COND_INTERSTICIAL[[#This Row],[Sección]]&amp;"-"&amp;(COND_INTERSTICIAL[[#This Row],[tramo cond]]+1),COND_INTERSTICIAL[llave tramo cond],0)))</calculatedColumnFormula>
    </tableColumn>
    <tableColumn id="22" xr3:uid="{E2654AF6-F10E-4214-AAB3-331B3EB8C190}" name="pendiente tramo cond" dataDxfId="212">
      <calculatedColumnFormula array="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calculatedColumnFormula>
    </tableColumn>
    <tableColumn id="9" xr3:uid="{2BBCE970-117E-44AE-B19A-07EE6B733F29}" name="gc" dataDxfId="211">
      <calculatedColumnFormula array="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calculatedColumnFormula>
    </tableColumn>
    <tableColumn id="24" xr3:uid="{C609A1AC-8ED6-4A22-9821-C10EF7572C62}" name="Ma_anterior cond" dataDxfId="210">
      <calculatedColumnFormula>IF(COND_INTERSTICIAL[[#This Row],[Mes]]=Mes_inicial_de_análisis,humedad_inicial,INDEX(COND_INTERSTICIAL[Ma cond],MATCH((IF(COND_INTERSTICIAL[[#This Row],[Mes]]-1=0,12,COND_INTERSTICIAL[[#This Row],[Mes]]-1))&amp;"-"&amp;COND_INTERSTICIAL[[#This Row],[Sección]]&amp;"-"&amp;COND_INTERSTICIAL[[#This Row],[Capa]],COND_INTERSTICIAL[llave capa],0)))</calculatedColumnFormula>
    </tableColumn>
    <tableColumn id="21" xr3:uid="{2C85606B-6671-43F5-B090-1D6F1EAADB41}" name="Ma cond" dataDxfId="209">
      <calculatedColumnFormula>COND_INTERSTICIAL[[#This Row],[gc]]+COND_INTERSTICIAL[[#This Row],[Ma_anterior cond]]</calculatedColumnFormula>
    </tableColumn>
    <tableColumn id="12" xr3:uid="{E00625A4-A38B-457A-8A72-DE57B81DF5CA}" name="evapora" dataDxfId="208">
      <calculatedColumnFormula>IF((COND_INTERSTICIAL[[#This Row],[Ma_anterior cond]]&gt;0)*NOT(COND_INTERSTICIAL[[#This Row],[Condensa]]),TRUE,FALSE)</calculatedColumnFormula>
    </tableColumn>
    <tableColumn id="31" xr3:uid="{7D5799DD-78D2-4673-88AE-0330BAF16F33}" name="P límite ev" dataDxfId="207">
      <calculatedColumnFormula array="1">IF(COND_INTERSTICIAL[[#This Row],[evapora]],COND_INTERSTICIAL[[#This Row],[Psat]],IF(COND_INTERSTICIAL[[#This Row],[Capa]]=N_capas,COND_INTERSTICIAL[[#This Row],[Pn]],""))</calculatedColumnFormula>
    </tableColumn>
    <tableColumn id="29" xr3:uid="{407EA747-87E4-4830-B095-EE2D9E90A6A0}" name="llave tramo ev" dataDxfId="206">
      <calculatedColumnFormula>COND_INTERSTICIAL[[#This Row],[Mes]]&amp;"-"&amp;COND_INTERSTICIAL[[#This Row],[Sección]]&amp;"-"&amp;COND_INTERSTICIAL[[#This Row],[tramo ev]]</calculatedColumnFormula>
    </tableColumn>
    <tableColumn id="25" xr3:uid="{704DC57E-83C1-4A63-BCE6-89EC5A9094A1}" name="tramo ev" dataDxfId="205">
      <calculatedColumnFormula array="1">IF(COND_INTERSTICIAL[[#This Row],[Capa]]=1,IF(COND_INTERSTICIAL[[#This Row],[evapora]],2,1),IF(COND_INTERSTICIAL[[#This Row],[evapora]],1,0)+INDIRECT(ADDRESS(ROW()-1,COLUMN(),4)))</calculatedColumnFormula>
    </tableColumn>
    <tableColumn id="26" xr3:uid="{F735B233-4139-4DD5-9F93-29BB2E32A6E1}" name="capa lím inf ev" dataDxfId="204">
      <calculatedColumnFormula array="1">IF(COND_INTERSTICIAL[[#This Row],[tramo ev]]=1,0,IF((COND_INTERSTICIAL[[#This Row],[tramo ev]]&gt;INDIRECT(ADDRESS(ROW()-1,COLUMN(COND_INTERSTICIAL[[#This Row],[tramo ev]]),4)))+COND_INTERSTICIAL[[#This Row],[evapora]],COND_INTERSTICIAL[[#This Row],[Capa]],INDIRECT(ADDRESS(ROW()-1,COLUMN(),4))))</calculatedColumnFormula>
    </tableColumn>
    <tableColumn id="27" xr3:uid="{F95A355F-B9FF-423E-A1DC-EA88BE4C2072}" name="capa lím sup ev" dataDxfId="203">
      <calculatedColumnFormula array="1">IF((COND_INTERSTICIAL[[#This Row],[Capa]]=N_capas)+(COND_INTERSTICIAL[[#This Row],[tramo ev]]=COUNTIFS(COND_INTERSTICIAL[evapora],TRUE,COND_INTERSTICIAL[Mes],CW20,COND_INTERSTICIAL[Sección],CX20)+1),N_capas,INDEX(COND_INTERSTICIAL[capa lím inf ev],MATCH(COND_INTERSTICIAL[[#This Row],[Mes]]&amp;"-"&amp;COND_INTERSTICIAL[[#This Row],[Sección]]&amp;"-"&amp;(COND_INTERSTICIAL[[#This Row],[tramo ev]]+1),COND_INTERSTICIAL[llave tramo ev],0)))</calculatedColumnFormula>
    </tableColumn>
    <tableColumn id="28" xr3:uid="{72BB7B20-F560-4F29-A7C5-F91E9FA3FCFE}" name="pendiente tramo ev" dataDxfId="202">
      <calculatedColumnFormula array="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calculatedColumnFormula>
    </tableColumn>
    <tableColumn id="23" xr3:uid="{8699D535-3852-47CF-9C4B-DCB2BBD852BB}" name="gev" dataDxfId="201">
      <calculatedColumnFormula array="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calculatedColumnFormula>
    </tableColumn>
    <tableColumn id="32" xr3:uid="{4746C349-BE64-47B7-9B50-647CD7D7A1C7}" name="Ma anterior ev" dataDxfId="200">
      <calculatedColumnFormula>IF(COND_INTERSTICIAL[[#This Row],[Mes]]=Mes_inicial_de_análisis,humedad_inicial,INDEX(COND_INTERSTICIAL[Ma ev],MATCH((IF(COND_INTERSTICIAL[[#This Row],[Mes]]-1=0,12,COND_INTERSTICIAL[[#This Row],[Mes]]-1))&amp;"-"&amp;COND_INTERSTICIAL[[#This Row],[Sección]]&amp;"-"&amp;COND_INTERSTICIAL[[#This Row],[Capa]],COND_INTERSTICIAL[llave capa],0)))</calculatedColumnFormula>
    </tableColumn>
    <tableColumn id="30" xr3:uid="{BE0B960A-5098-46B8-B279-F885BBA447C3}" name="Ma ev" dataDxfId="199">
      <calculatedColumnFormula>COND_INTERSTICIAL[[#This Row],[gev]]+COND_INTERSTICIAL[[#This Row],[Ma anterior ev]]</calculatedColumnFormula>
    </tableColumn>
    <tableColumn id="33" xr3:uid="{561577D9-5AE7-42DB-9C88-26A3814AF722}" name="Ma" dataDxfId="198">
      <calculatedColumnFormula>IF(COND_INTERSTICIAL[[#This Row],[Ma cond]]+COND_INTERSTICIAL[[#This Row],[Ma ev]]&lt;=0,0,COND_INTERSTICIAL[[#This Row],[Ma cond]]+COND_INTERSTICIAL[[#This Row],[Ma ev]])</calculatedColumnFormula>
    </tableColumn>
    <tableColumn id="34" xr3:uid="{D37C7267-EAAD-4807-B32E-78E834C68AD3}" name="agua líquida" dataDxfId="197">
      <calculatedColumnFormula>IF(COND_INTERSTICIAL[[#This Row],[Ma]]&gt;0,TRUE,FALSE)</calculatedColumnFormula>
    </tableColumn>
    <tableColumn id="38" xr3:uid="{106CAAC0-CF09-4320-98DA-4A0BFA51A7A0}" name="P límite gráf" dataDxfId="196">
      <calculatedColumnFormula array="1">IF(COND_INTERSTICIAL[[#This Row],[agua líquida]],IF(COND_INTERSTICIAL[[#This Row],[Condensa]],COND_INTERSTICIAL[[#This Row],[P límite cond]],COND_INTERSTICIAL[[#This Row],[P límite ev]]),IF(COND_INTERSTICIAL[[#This Row],[Capa]]=N_capas,COND_INTERSTICIAL[[#This Row],[Pn]],""))</calculatedColumnFormula>
    </tableColumn>
    <tableColumn id="39" xr3:uid="{4BAB2CFB-2DEC-44A6-8147-EF3ABF0CEABD}" name="llave tramo gráf" dataDxfId="195">
      <calculatedColumnFormula>COND_INTERSTICIAL[[#This Row],[Mes]]&amp;"-"&amp;COND_INTERSTICIAL[[#This Row],[Sección]]&amp;"-"&amp;COND_INTERSTICIAL[[#This Row],[tramo gráf]]</calculatedColumnFormula>
    </tableColumn>
    <tableColumn id="36" xr3:uid="{15E07BDC-5CF5-4EBB-AEE7-3AF43F12D7D8}" name="tramo gráf" dataDxfId="194">
      <calculatedColumnFormula array="1">IF(COND_INTERSTICIAL[[#This Row],[Capa]]=1,IF(COND_INTERSTICIAL[[#This Row],[agua líquida]],2,1),IF(COND_INTERSTICIAL[[#This Row],[agua líquida]],1,0)+INDIRECT(ADDRESS(ROW()-1,COLUMN(),4)))</calculatedColumnFormula>
    </tableColumn>
    <tableColumn id="37" xr3:uid="{A396246D-EFC9-4F43-B7CE-449E32AC10ED}" name="capa lím inf gráf" dataDxfId="193">
      <calculatedColumnFormula array="1">IF(COND_INTERSTICIAL[[#This Row],[tramo gráf]]=1,0,IF((COND_INTERSTICIAL[[#This Row],[tramo gráf]]&gt;INDIRECT(ADDRESS(ROW()-1,COLUMN(COND_INTERSTICIAL[[#This Row],[tramo gráf]]),4)))+COND_INTERSTICIAL[[#This Row],[agua líquida]],COND_INTERSTICIAL[[#This Row],[Capa]],INDIRECT(ADDRESS(ROW()-1,COLUMN(),4))))</calculatedColumnFormula>
    </tableColumn>
    <tableColumn id="15" xr3:uid="{9245B452-4D05-41EB-BFE3-382138961575}" name="capa lím sup gráf" dataDxfId="192">
      <calculatedColumnFormula array="1">IF((COND_INTERSTICIAL[[#This Row],[Capa]]=N_capas)+(COND_INTERSTICIAL[[#This Row],[tramo gráf]]=COUNTIFS(COND_INTERSTICIAL[agua líquida],TRUE,COND_INTERSTICIAL[Mes],CW20,COND_INTERSTICIAL[Sección],CX20)+1),N_capas,INDEX(COND_INTERSTICIAL[capa lím inf gráf],MATCH(COND_INTERSTICIAL[[#This Row],[Mes]]&amp;"-"&amp;COND_INTERSTICIAL[[#This Row],[Sección]]&amp;"-"&amp;(COND_INTERSTICIAL[[#This Row],[tramo gráf]]+1),COND_INTERSTICIAL[llave tramo gráf],0)))</calculatedColumnFormula>
    </tableColumn>
    <tableColumn id="35" xr3:uid="{27ABE141-619A-4CA9-9CFB-DDA583CE669D}" name="pendiente tramo gráf" dataDxfId="191">
      <calculatedColumnFormula array="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calculatedColumnFormula>
    </tableColumn>
    <tableColumn id="11" xr3:uid="{7A05E210-4692-4E7E-B789-CC4E554E5EE1}" name="Pn gráf" dataDxfId="190">
      <calculatedColumnFormula array="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calculatedColumnFormula>
    </tableColumn>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8299251-2D78-42A5-85B3-65215F803954}" name="COND_INTERSTICIAL_GRÁF" displayName="COND_INTERSTICIAL_GRÁF" ref="EL24:FE46" totalsRowCount="1">
  <autoFilter ref="EL24:FE45" xr:uid="{68299251-2D78-42A5-85B3-65215F80395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CFA93AFB-F919-4916-8C96-C970FEC471D9}" name="Mes" dataDxfId="189">
      <calculatedColumnFormula>Gráf_mes</calculatedColumnFormula>
    </tableColumn>
    <tableColumn id="2" xr3:uid="{7D6BD979-FAC6-4A44-8E39-A83BCF094D61}" name="Sección" dataDxfId="188">
      <calculatedColumnFormula>Gráf_sección</calculatedColumnFormula>
    </tableColumn>
    <tableColumn id="3" xr3:uid="{90250E70-2CAC-4F0D-BE90-706AA26F51D3}" name="Capa" dataDxfId="187">
      <calculatedColumnFormula>ROW()-ROW(INDEX(COND_INTERSTICIAL_GRÁF[],1,1))</calculatedColumnFormula>
    </tableColumn>
    <tableColumn id="16" xr3:uid="{59025A66-0B77-42D3-AB2D-3C966B1D0EE9}" name="llave capa" dataDxfId="186">
      <calculatedColumnFormula>COND_INTERSTICIAL_GRÁF[[#This Row],[Mes]]&amp;"-"&amp;COND_INTERSTICIAL_GRÁF[[#This Row],[Sección]]&amp;"-"&amp;COND_INTERSTICIAL_GRÁF[[#This Row],[Capa]]</calculatedColumnFormula>
    </tableColumn>
    <tableColumn id="20" xr3:uid="{83E30A9E-96EE-4D83-955D-626EA8618A36}" name="Abreviación" dataDxfId="185">
      <calculatedColumnFormula>"Capa "&amp;COND_INTERSTICIAL_GRÁF[[#This Row],[Capa]]&amp;": "&amp;IFERROR(INDEX(SECCIONES_CAPAS[Abreviatura],MATCH(COND_INTERSTICIAL_GRÁF[[#This Row],[Sección]]&amp;"-"&amp;COND_INTERSTICIAL_GRÁF[[#This Row],[Capa]],SECCIONES_CAPAS[llave],0)),"")</calculatedColumnFormula>
    </tableColumn>
    <tableColumn id="9" xr3:uid="{6A130F62-FDC3-4E96-A55B-AADE8C55B085}" name="d" dataDxfId="184">
      <calculatedColumnFormula>IFERROR(IF(COND_INTERSTICIAL_GRÁF[[#This Row],[Capa]]=0,0,INDEX(SECCIONES_CAPAS[d],MATCH(COND_INTERSTICIAL_GRÁF[[#This Row],[Sección]]&amp;"-"&amp;COND_INTERSTICIAL_GRÁF[[#This Row],[Capa]],SECCIONES_CAPAS[llave],0))),NA())</calculatedColumnFormula>
    </tableColumn>
    <tableColumn id="6" xr3:uid="{A3B52F58-DA14-4AD4-8828-9A0E4DE1A6C6}" name="d'" dataDxfId="183">
      <calculatedColumnFormula>IFERROR(IF(COND_INTERSTICIAL_GRÁF[[#This Row],[Capa]]=0,0,INDEX(SECCIONES_CAPAS[d''],MATCH(COND_INTERSTICIAL_GRÁF[[#This Row],[Sección]]&amp;"-"&amp;COND_INTERSTICIAL_GRÁF[[#This Row],[Capa]],SECCIONES_CAPAS[llave],0))),NA())</calculatedColumnFormula>
    </tableColumn>
    <tableColumn id="12" xr3:uid="{1BD9BB2F-BB4C-4654-BA6B-13FB4EF43210}" name="d' porcentual" dataDxfId="182">
      <calculatedColumnFormula array="1">COND_INTERSTICIAL_GRÁF[[#This Row],[d'']]/INDEX(SECCIONES[d''],COND_INTERSTICIAL_GRÁF[[#This Row],[Sección]])</calculatedColumnFormula>
    </tableColumn>
    <tableColumn id="5" xr3:uid="{537D4B3F-C938-47D6-80D6-12BB9A24711F}" name="ϴn" dataDxfId="181">
      <calculatedColumnFormula array="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calculatedColumnFormula>
    </tableColumn>
    <tableColumn id="13" xr3:uid="{5E8FF38B-2108-4922-A62A-4B9DB4D89B75}" name="ϴn rocío" dataDxfId="180">
      <calculatedColumnFormula array="1">IFERROR(IF(capa_interior_μ_inf,NA(),6.54+14.526*LN(COND_INTERSTICIAL_GRÁF[[#This Row],[Pn]]/1000)+0.7389*LN(COND_INTERSTICIAL_GRÁF[[#This Row],[Pn]]/1000)^2+0.09486*LN(COND_INTERSTICIAL_GRÁF[[#This Row],[Pn]]/1000)^3+0.4569*(COND_INTERSTICIAL_GRÁF[[#This Row],[Pn]]/1000)^0.1984),NA())</calculatedColumnFormula>
    </tableColumn>
    <tableColumn id="19" xr3:uid="{5CF05A81-21EC-4312-A10A-CE8CBC3F21B3}" name="Sd" dataDxfId="179">
      <calculatedColumnFormula>IFERROR(IF(COND_INTERSTICIAL_GRÁF[[#This Row],[Capa]]=0,0,INDEX(COND_INTERSTICIAL[Sd],MATCH(COND_INTERSTICIAL_GRÁF[[#This Row],[llave capa]],COND_INTERSTICIAL[llave capa],0))),NA())</calculatedColumnFormula>
    </tableColumn>
    <tableColumn id="7" xr3:uid="{D5C54C75-3E30-44E9-830D-D54B50C86131}" name="S'd" dataDxfId="178">
      <calculatedColumnFormula>IFERROR(IF(COND_INTERSTICIAL_GRÁF[[#This Row],[Capa]]=0,0,INDEX(COND_INTERSTICIAL[S''d],MATCH(COND_INTERSTICIAL_GRÁF[[#This Row],[llave capa]],COND_INTERSTICIAL[llave capa],0))),NA())</calculatedColumnFormula>
    </tableColumn>
    <tableColumn id="10" xr3:uid="{B6DD458D-13AC-4708-8F4F-6101E431DF14}" name="S'd porcentual">
      <calculatedColumnFormula array="1">COND_INTERSTICIAL_GRÁF[[#This Row],[S''d]]/INDEX(SECCIONES[SdT],Gráf_sección)</calculatedColumnFormula>
    </tableColumn>
    <tableColumn id="8" xr3:uid="{82ABFE2F-7575-4ADB-B526-E1568F44EB2E}" name="Psat" dataDxfId="177">
      <calculatedColumnFormula array="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calculatedColumnFormula>
    </tableColumn>
    <tableColumn id="4" xr3:uid="{309581E4-7036-49AB-8CB4-E5989C1B8418}" name="Ma" dataDxfId="176">
      <calculatedColumnFormula>IFERROR(INDEX(COND_INTERSTICIAL[Ma],MATCH(COND_INTERSTICIAL_GRÁF[[#This Row],[llave capa]],COND_INTERSTICIAL[llave capa],0)),0)</calculatedColumnFormula>
    </tableColumn>
    <tableColumn id="18" xr3:uid="{9248E3A0-79B1-4583-A79A-F744BB3651EE}" name="agua líquida" dataDxfId="175">
      <calculatedColumnFormula>IF(COND_INTERSTICIAL_GRÁF[[#This Row],[Ma]]&gt;0,TRUE,FALSE)</calculatedColumnFormula>
    </tableColumn>
    <tableColumn id="22" xr3:uid="{CF7B0117-CF0A-4169-9ABA-308446AC6E67}" name="Interfaz" dataDxfId="174">
      <calculatedColumnFormula>"Interfaz "&amp;COND_INTERSTICIAL_GRÁF[[#This Row],[Capa]]</calculatedColumnFormula>
    </tableColumn>
    <tableColumn id="21" xr3:uid="{2BEEC437-8EC4-43CC-A8F9-76F99EEDC3A4}" name="Interfaz condensación" dataDxfId="173">
      <calculatedColumnFormula>IF(COND_INTERSTICIAL_GRÁF[[#This Row],[agua líquida]],COND_INTERSTICIAL_GRÁF[[#This Row],[Psat]],NA())</calculatedColumnFormula>
    </tableColumn>
    <tableColumn id="14" xr3:uid="{9B2C34C2-1E29-4234-B3C7-3E0EA3FB36FD}" name="Pn" dataDxfId="172">
      <calculatedColumnFormula array="1">IFERROR(IF(COND_INTERSTICIAL_GRÁF[[#This Row],[Capa]]=0,INDEX(CLIMA[Pe],COND_INTERSTICIAL_GRÁF[[#This Row],[Mes]]),INDEX(COND_INTERSTICIAL[Pn],MATCH(COND_INTERSTICIAL_GRÁF[[#This Row],[llave capa]],COND_INTERSTICIAL[llave capa],0))),NA())</calculatedColumnFormula>
    </tableColumn>
    <tableColumn id="11" xr3:uid="{B318977F-45D5-4565-A1B3-C48E7881C14D}" name="Pn_gráf" dataDxfId="171" totalsRowDxfId="170">
      <calculatedColumnFormula array="1">IFERROR(IF(capa_interior_μ_inf,NA(),IF(COND_INTERSTICIAL_GRÁF[[#This Row],[Capa]]=0,INDEX(CLIMA[Pe],COND_INTERSTICIAL_GRÁF[[#This Row],[Mes]]),INDEX(COND_INTERSTICIAL[Pn gráf],MATCH(COND_INTERSTICIAL_GRÁF[[#This Row],[llave capa]],COND_INTERSTICIAL[llave capa],0)))),NA())</calculatedColumnFormula>
    </tableColum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08484B4-F261-4EBD-8413-3F9789DC2C07}" name="COND_INTERSTICIAL_AGUA_ACUMULADA" displayName="COND_INTERSTICIAL_AGUA_ACUMULADA" ref="CP19:CU43">
  <autoFilter ref="CP19:CU43" xr:uid="{408484B4-F261-4EBD-8413-3F9789DC2C07}">
    <filterColumn colId="0" hiddenButton="1"/>
    <filterColumn colId="1" hiddenButton="1"/>
    <filterColumn colId="2" hiddenButton="1"/>
    <filterColumn colId="3" hiddenButton="1"/>
    <filterColumn colId="4" hiddenButton="1"/>
    <filterColumn colId="5" hiddenButton="1"/>
  </autoFilter>
  <tableColumns count="6">
    <tableColumn id="6" xr3:uid="{E534B2B0-6D9D-451A-8492-9343C57E1088}" name="orden" dataDxfId="169">
      <calculatedColumnFormula array="1">ROUNDUP((ROW()-$CN$18)/(N_secciones),0)</calculatedColumnFormula>
    </tableColumn>
    <tableColumn id="1" xr3:uid="{4199B0C4-5547-4383-A719-A38D01A62E97}" name="Mes" totalsRowLabel="Total" dataDxfId="168">
      <calculatedColumnFormula array="1">ROUNDUP((ROW()-$CN$18+(Mes_inicial_de_análisis-1)*N_secciones)/(N_secciones),0)-12*IF(ROW()-$CN$18&gt;(12-Mes_inicial_de_análisis+1)*N_secciones,1,0)</calculatedColumnFormula>
    </tableColumn>
    <tableColumn id="2" xr3:uid="{E06692F9-609B-485F-83FE-461CD0CDB77A}" name="Sección" dataDxfId="167">
      <calculatedColumnFormula array="1">ROW()-$CN$18-(ROUNDUP((ROW()-$CN$18)/(N_secciones),0)-1)*N_secciones</calculatedColumnFormula>
    </tableColumn>
    <tableColumn id="5" xr3:uid="{D7A42D38-AE9E-4548-AEB3-74653EC57D5E}" name="llave" dataDxfId="166">
      <calculatedColumnFormula>COND_INTERSTICIAL_AGUA_ACUMULADA[[#This Row],[orden]]&amp;"-"&amp;COND_INTERSTICIAL_AGUA_ACUMULADA[[#This Row],[Sección]]</calculatedColumnFormula>
    </tableColumn>
    <tableColumn id="3" xr3:uid="{892A8A02-0FE9-4AFF-8E24-D6D30FF6AE02}" name="interfases con agua líquida" dataDxfId="165">
      <calculatedColumnFormula>COUNTIFS(COND_INTERSTICIAL[agua líquida],TRUE,COND_INTERSTICIAL[Mes],COND_INTERSTICIAL_AGUA_ACUMULADA[[#This Row],[Mes]],COND_INTERSTICIAL[Sección],COND_INTERSTICIAL_AGUA_ACUMULADA[[#This Row],[Sección]])</calculatedColumnFormula>
    </tableColumn>
    <tableColumn id="4" xr3:uid="{49D142A0-476E-48E8-8C6F-D938A3B49A81}" name="agua acumulada" totalsRowFunction="sum" dataDxfId="164" totalsRowDxfId="163">
      <calculatedColumnFormula>SUMIFS(COND_INTERSTICIAL[Ma],COND_INTERSTICIAL[Mes],COND_INTERSTICIAL_AGUA_ACUMULADA[[#This Row],[Mes]],COND_INTERSTICIAL[Sección],COND_INTERSTICIAL_AGUA_ACUMULADA[[#This Row],[Sección]])</calculatedColumnFormula>
    </tableColumn>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506BEF9-C27F-45BB-B857-DB7CB9CEBDA9}" name="COND_SUPERFICIAL_CONDICIONES" displayName="COND_SUPERFICIAL_CONDICIONES" ref="CD19:CI31" totalsRowShown="0" headerRowDxfId="162" headerRowBorderDxfId="161" tableBorderDxfId="160">
  <autoFilter ref="CD19:CI31" xr:uid="{7506BEF9-C27F-45BB-B857-DB7CB9CEBDA9}">
    <filterColumn colId="0" hiddenButton="1"/>
    <filterColumn colId="1" hiddenButton="1"/>
    <filterColumn colId="2" hiddenButton="1"/>
    <filterColumn colId="3" hiddenButton="1"/>
    <filterColumn colId="4" hiddenButton="1"/>
    <filterColumn colId="5" hiddenButton="1"/>
  </autoFilter>
  <tableColumns count="6">
    <tableColumn id="1" xr3:uid="{4C0F7044-686B-4746-8377-02CA59D32D51}" name="Mes" dataDxfId="159"/>
    <tableColumn id="2" xr3:uid="{BD5787B0-3475-4C6B-9C68-07CA9A1A0A5B}" name="Psat(ϴ_si)" dataDxfId="158">
      <calculatedColumnFormula array="1">INDEX(CLIMA[Pi],COND_SUPERFICIAL_CONDICIONES[[#This Row],[Mes]])/ϕsicr</calculatedColumnFormula>
    </tableColumn>
    <tableColumn id="3" xr3:uid="{55BC4B2B-D49B-42C5-B79E-3CFC5EA4F3D9}" name="ϴsi_mín" dataDxfId="157">
      <calculatedColumnFormula>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calculatedColumnFormula>
    </tableColumn>
    <tableColumn id="4" xr3:uid="{73B45ED9-CA01-4F82-83BC-8142DEA0826F}" name="fRsi_mín" dataDxfId="156">
      <calculatedColumnFormula array="1">(COND_SUPERFICIAL_CONDICIONES[[#This Row],[ϴsi_mín]]-INDEX(CLIMA[ϴe],COND_SUPERFICIAL_CONDICIONES[[#This Row],[Mes]]))/(INDEX(CLIMA[ϴi],COND_SUPERFICIAL_CONDICIONES[[#This Row],[Mes]])-INDEX(CLIMA[ϴe],COND_SUPERFICIAL_CONDICIONES[[#This Row],[Mes]]))</calculatedColumnFormula>
    </tableColumn>
    <tableColumn id="5" xr3:uid="{01685EDC-240E-41D9-B376-8D6D9BF22E5F}" name="Rt_mín" dataDxfId="155">
      <calculatedColumnFormula>Rsi_condensación/(1-COND_SUPERFICIAL_CONDICIONES[[#This Row],[fRsi_mín]])</calculatedColumnFormula>
    </tableColumn>
    <tableColumn id="7" xr3:uid="{1ADCC667-EB98-403D-AC06-8E81D91E932C}" name="U_máx" dataDxfId="154">
      <calculatedColumnFormula>1/COND_SUPERFICIAL_CONDICIONES[[#This Row],[Rt_mín]]</calculatedColumnFormula>
    </tableColumn>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514BB27-6E92-4D39-9FA9-FEE54101EE9F}" name="Tabla43" displayName="Tabla43" ref="FG25:FU29" headerRowCount="0" totalsRowShown="0" headerRowDxfId="153" dataDxfId="152" tableBorderDxfId="151">
  <tableColumns count="15">
    <tableColumn id="1" xr3:uid="{D91831C9-EEC8-4833-B6E4-AB892D4ADD12}" name="Columna1" headerRowDxfId="150" dataDxfId="149"/>
    <tableColumn id="2" xr3:uid="{481D96D4-764E-4A03-BC95-CD637147486A}" name="Columna2" headerRowDxfId="148" dataDxfId="147"/>
    <tableColumn id="15" xr3:uid="{2836D479-66F7-4B71-87E4-46E45A057588}" name="Columna15" headerRowDxfId="146" dataDxfId="145">
      <calculatedColumnFormula>Tabla43[[#This Row],[Columna1]]&amp;"-"&amp;Tabla43[[#This Row],[Columna2]]</calculatedColumnFormula>
    </tableColumn>
    <tableColumn id="3" xr3:uid="{287080DF-D5FD-4609-92C7-9C8521D32574}" name="Columna3" headerRowDxfId="144" dataDxfId="143">
      <calculatedColumnFormula>INDEX(COND_INTERSTICIAL[Ma],MATCH(FJ$24&amp;"-"&amp;Tabla43[[#This Row],[Columna15]],COND_INTERSTICIAL[llave capa],0))</calculatedColumnFormula>
    </tableColumn>
    <tableColumn id="4" xr3:uid="{90123987-3752-4A27-8564-57B5FD16A9B5}" name="Columna4" headerRowDxfId="142" dataDxfId="141">
      <calculatedColumnFormula>INDEX(COND_INTERSTICIAL[Ma],MATCH(FK$24&amp;"-"&amp;Tabla43[[#This Row],[Columna15]],COND_INTERSTICIAL[llave capa],0))</calculatedColumnFormula>
    </tableColumn>
    <tableColumn id="5" xr3:uid="{EDEDF5AE-DDAA-4204-A066-FF72335553AF}" name="Columna5" headerRowDxfId="140" dataDxfId="139">
      <calculatedColumnFormula>INDEX(COND_INTERSTICIAL[Ma],MATCH(FL$24&amp;"-"&amp;Tabla43[[#This Row],[Columna15]],COND_INTERSTICIAL[llave capa],0))</calculatedColumnFormula>
    </tableColumn>
    <tableColumn id="6" xr3:uid="{409D059A-C2FE-40FB-A876-874B424B976B}" name="Columna6" headerRowDxfId="138" dataDxfId="137">
      <calculatedColumnFormula>INDEX(COND_INTERSTICIAL[Ma],MATCH(FM$24&amp;"-"&amp;Tabla43[[#This Row],[Columna15]],COND_INTERSTICIAL[llave capa],0))</calculatedColumnFormula>
    </tableColumn>
    <tableColumn id="7" xr3:uid="{E7FE4CC5-4FE9-4B5A-A4B2-9217365A96DB}" name="Columna7" headerRowDxfId="136" dataDxfId="135">
      <calculatedColumnFormula>INDEX(COND_INTERSTICIAL[Ma],MATCH(FN$24&amp;"-"&amp;Tabla43[[#This Row],[Columna15]],COND_INTERSTICIAL[llave capa],0))</calculatedColumnFormula>
    </tableColumn>
    <tableColumn id="8" xr3:uid="{0EDA14A8-8F01-4544-8E34-6114E9D90F00}" name="Columna8" headerRowDxfId="134" dataDxfId="133">
      <calculatedColumnFormula>INDEX(COND_INTERSTICIAL[Ma],MATCH(FO$24&amp;"-"&amp;Tabla43[[#This Row],[Columna15]],COND_INTERSTICIAL[llave capa],0))</calculatedColumnFormula>
    </tableColumn>
    <tableColumn id="9" xr3:uid="{5E4903E7-8EF4-4C7F-911E-66FC7A830BDA}" name="Columna9" headerRowDxfId="132" dataDxfId="131">
      <calculatedColumnFormula>INDEX(COND_INTERSTICIAL[Ma],MATCH(FP$24&amp;"-"&amp;Tabla43[[#This Row],[Columna15]],COND_INTERSTICIAL[llave capa],0))</calculatedColumnFormula>
    </tableColumn>
    <tableColumn id="10" xr3:uid="{B7439F8B-CCBA-4451-81C0-E69119497C1E}" name="Columna10" headerRowDxfId="130" dataDxfId="129">
      <calculatedColumnFormula>INDEX(COND_INTERSTICIAL[Ma],MATCH(FQ$24&amp;"-"&amp;Tabla43[[#This Row],[Columna15]],COND_INTERSTICIAL[llave capa],0))</calculatedColumnFormula>
    </tableColumn>
    <tableColumn id="11" xr3:uid="{1866E0CC-6411-4377-BA59-60AA8F2CA452}" name="Columna11" headerRowDxfId="128" dataDxfId="127">
      <calculatedColumnFormula>INDEX(COND_INTERSTICIAL[Ma],MATCH(FR$24&amp;"-"&amp;Tabla43[[#This Row],[Columna15]],COND_INTERSTICIAL[llave capa],0))</calculatedColumnFormula>
    </tableColumn>
    <tableColumn id="12" xr3:uid="{A5AFC268-9DD3-4B29-A0B4-74C66DD3423A}" name="Columna12" headerRowDxfId="126" dataDxfId="125">
      <calculatedColumnFormula>INDEX(COND_INTERSTICIAL[Ma],MATCH(FS$24&amp;"-"&amp;Tabla43[[#This Row],[Columna15]],COND_INTERSTICIAL[llave capa],0))</calculatedColumnFormula>
    </tableColumn>
    <tableColumn id="13" xr3:uid="{242A077B-12AA-4A20-8044-CE877D9678C6}" name="Columna13" headerRowDxfId="124" dataDxfId="123">
      <calculatedColumnFormula>INDEX(COND_INTERSTICIAL[Ma],MATCH(FT$24&amp;"-"&amp;Tabla43[[#This Row],[Columna15]],COND_INTERSTICIAL[llave capa],0))</calculatedColumnFormula>
    </tableColumn>
    <tableColumn id="14" xr3:uid="{45804AA3-92FF-4AC3-9FE2-DA5000A351DE}" name="Columna14" headerRowDxfId="122" dataDxfId="121">
      <calculatedColumnFormula>INDEX(COND_INTERSTICIAL[Ma],MATCH(FU$24&amp;"-"&amp;Tabla43[[#This Row],[Columna15]],COND_INTERSTICIAL[llave capa],0))</calculatedColumnFormula>
    </tableColumn>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91AC3D2-F239-4DF1-A31F-0A1B49D5A2D2}" name="resultados_acum" displayName="resultados_acum" ref="GK2:HH3" insertRow="1" totalsRowShown="0">
  <autoFilter ref="GK2:HH3" xr:uid="{891AC3D2-F239-4DF1-A31F-0A1B49D5A2D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2" xr3:uid="{D4362D01-56B6-4C17-99FF-F841EDDD14E8}" name="Tipo de elemento"/>
    <tableColumn id="3" xr3:uid="{ABCE6B2F-9F58-4882-B1FF-A3F703A52B63}" name="Descripción"/>
    <tableColumn id="4" xr3:uid="{9B37D8D3-D778-48E8-95D2-7D9B4ABBAFC4}" name="Emplazamiento"/>
    <tableColumn id="5" xr3:uid="{2DDB9BE0-B7D0-4E1F-B7FD-DC7E36F22188}" name="Secciones/capas"/>
    <tableColumn id="6" xr3:uid="{24851AC8-5C7D-43A0-8A23-37FD4562F5B3}" name="Método de acreditación"/>
    <tableColumn id="7" xr3:uid="{EF2055F7-1BCC-4FAB-984F-683511C5A025}" name="Indicador térmico"/>
    <tableColumn id="8" xr3:uid="{8750B620-2C7B-4830-AC71-89717A6BA403}" name="exigencia térmica"/>
    <tableColumn id="9" xr3:uid="{5359C232-4AE5-4428-B9B3-8B5C0E258573}" name="valor"/>
    <tableColumn id="10" xr3:uid="{6EE93B30-B668-42D2-8322-C95A4A2FBA74}" name="error"/>
    <tableColumn id="11" xr3:uid="{60B46108-7052-4DBC-BD5E-2A6B3603FA64}" name="¿Cumple exigencia térmica?"/>
    <tableColumn id="12" xr3:uid="{0FC71E3F-7AEF-44EA-A110-A967CEFD7967}" name="Resistencia mínima a cumplir"/>
    <tableColumn id="13" xr3:uid="{5B07B6EF-93BE-49B3-B309-7D436F418205}" name="mínima resistencia del sistema"/>
    <tableColumn id="14" xr3:uid="{F71CA49A-1853-47FD-9723-BB4D37C25673}" name="¿Cumple condensación superficial?"/>
    <tableColumn id="15" xr3:uid="{BAC9B8F5-0087-4FFC-838A-FF54381A941F}" name="Nº interfases condensación"/>
    <tableColumn id="16" xr3:uid="{3FBDA501-FA0C-4C9F-ACAB-5F2659872F7E}" name="meses inicio condensación"/>
    <tableColumn id="17" xr3:uid="{3A790D72-DEB1-415D-9340-FA5D88EAE740}" name="meses con condensación"/>
    <tableColumn id="18" xr3:uid="{B2CCC632-2A7C-4C15-A61C-B431F900001E}" name="agua acumulada"/>
    <tableColumn id="19" xr3:uid="{E47692D1-30F0-498D-87C0-F57696B955A8}" name="mes de mayor acumulación"/>
    <tableColumn id="20" xr3:uid="{62BAFE78-FA13-43AD-BB00-2D5F4818DDA9}" name="¿Cumple condensación intersticial?"/>
    <tableColumn id="21" xr3:uid="{AB55CA09-FEC0-4200-AE09-66F9BD6FA112}" name="Método temperatura exterior"/>
    <tableColumn id="22" xr3:uid="{CECFA549-4A0B-47A7-BEA0-C143B688E6B6}" name="Método humedad relativa exterior"/>
    <tableColumn id="23" xr3:uid="{785422F8-0CEC-4EA3-BBC6-5DC4ADE194F2}" name="Método temperatura interior"/>
    <tableColumn id="24" xr3:uid="{50DC9481-8517-485F-A5BB-5A196F4B4896}" name="Método humedad relativa interior"/>
    <tableColumn id="25" xr3:uid="{06984ED9-6F0A-4692-8A1A-9C7F6097006D}" name="ϕsicr"/>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299237E-20A8-4857-8BEB-DDE434D38074}" name="R_Capa_aire" displayName="R_Capa_aire" ref="B8:E17" totalsRowShown="0">
  <autoFilter ref="B8:E17" xr:uid="{3299237E-20A8-4857-8BEB-DDE434D38074}">
    <filterColumn colId="0" hiddenButton="1"/>
    <filterColumn colId="1" hiddenButton="1"/>
    <filterColumn colId="2" hiddenButton="1"/>
    <filterColumn colId="3" hiddenButton="1"/>
  </autoFilter>
  <tableColumns count="4">
    <tableColumn id="1" xr3:uid="{25CC3A70-059A-4056-8F8E-11B8BAD26666}" name="espesor [mm]"/>
    <tableColumn id="2" xr3:uid="{952127C1-07B1-4F40-9D26-F1F62D8D24BF}" name="Ascendente"/>
    <tableColumn id="3" xr3:uid="{47F18C93-A029-453E-A660-DC84989B34A0}" name="Horizontal"/>
    <tableColumn id="4" xr3:uid="{62E5ED33-5118-4D2D-B8A1-17F374EDE4B0}" name="Descendente"/>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4DEB1F-11B6-4B11-897B-1FD197FFF8D1}" name="R_superficial" displayName="R_superficial" ref="B3:E5" totalsRowShown="0">
  <autoFilter ref="B3:E5" xr:uid="{A84DEB1F-11B6-4B11-897B-1FD197FFF8D1}">
    <filterColumn colId="0" hiddenButton="1"/>
    <filterColumn colId="1" hiddenButton="1"/>
    <filterColumn colId="2" hiddenButton="1"/>
    <filterColumn colId="3" hiddenButton="1"/>
  </autoFilter>
  <tableColumns count="4">
    <tableColumn id="1" xr3:uid="{ABB21499-BBD7-44D6-9EFE-E9CD64450B32}" name="Ubicación"/>
    <tableColumn id="2" xr3:uid="{BA482845-F057-4307-A5E7-192A1E001FDF}" name="Ascendente"/>
    <tableColumn id="3" xr3:uid="{1BC0603E-0AE9-4108-9B3B-F88B0FFA04FA}" name="Horizontal"/>
    <tableColumn id="4" xr3:uid="{D1AB1931-13BB-4466-BFD4-60C82E38D518}" name="Descendente"/>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780B22-89CC-4AC6-AF05-3AB6B70480EA}" name="R_espacios_techo" displayName="R_espacios_techo" ref="B27:D32" totalsRowShown="0">
  <autoFilter ref="B27:D32" xr:uid="{82780B22-89CC-4AC6-AF05-3AB6B70480EA}"/>
  <tableColumns count="3">
    <tableColumn id="1" xr3:uid="{9705F243-096F-455E-AFB1-911DF3B01F29}" name="id"/>
    <tableColumn id="2" xr3:uid="{2FAB1190-3BEF-4D64-8E86-C5D637CF1CAD}" name="características del techo"/>
    <tableColumn id="3" xr3:uid="{05DB1019-6321-4186-A6C1-1321D8477A6A}" name="Ru"/>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13EBBA5-B2C2-4B55-984F-7D1023BA432A}" name="correción_huecos" displayName="correción_huecos" ref="B21:E24" totalsRowShown="0">
  <autoFilter ref="B21:E24" xr:uid="{E13EBBA5-B2C2-4B55-984F-7D1023BA432A}">
    <filterColumn colId="0" hiddenButton="1"/>
    <filterColumn colId="1" hiddenButton="1"/>
    <filterColumn colId="2" hiddenButton="1"/>
    <filterColumn colId="3" hiddenButton="1"/>
  </autoFilter>
  <tableColumns count="4">
    <tableColumn id="1" xr3:uid="{B98178FD-D976-4975-BA3A-4873DA4BB7EE}" name="id"/>
    <tableColumn id="4" xr3:uid="{7490A277-DDA4-4DB6-ACEC-A316B9E4DC0C}" name="Nivel"/>
    <tableColumn id="2" xr3:uid="{E593E541-A03A-4B35-AF46-0BBF726BFEB3}" name="descripción"/>
    <tableColumn id="3" xr3:uid="{0F48F70B-B046-489A-91BC-4B8B19FC5FDA}" name="corrección"/>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E722B3-BBDF-4B2B-8BBA-0ED16B2374A8}" name="DATOS_TEMPERATURA_MEDIA" displayName="DATOS_TEMPERATURA_MEDIA" ref="V2:AN45" totalsRowShown="0" headerRowDxfId="119" headerRowBorderDxfId="118">
  <autoFilter ref="V2:AN45" xr:uid="{26E722B3-BBDF-4B2B-8BBA-0ED16B2374A8}"/>
  <sortState xmlns:xlrd2="http://schemas.microsoft.com/office/spreadsheetml/2017/richdata2" ref="V3:AN45">
    <sortCondition ref="W2:W45"/>
  </sortState>
  <tableColumns count="19">
    <tableColumn id="1" xr3:uid="{D5DD055B-B3B9-46A8-B6B7-DC41B3EF9CE2}" name="Estación Meteorológica" dataDxfId="117"/>
    <tableColumn id="2" xr3:uid="{6D87F432-3C83-4110-90A8-E4039A7A2252}" name="Zona térmica" dataDxfId="116"/>
    <tableColumn id="3" xr3:uid="{EE34D02A-3E5B-4B13-8172-9EC31A997D19}" name="Enero" dataDxfId="115"/>
    <tableColumn id="4" xr3:uid="{915E92F3-A302-469F-9023-C05833A409AE}" name="Febrero" dataDxfId="114"/>
    <tableColumn id="5" xr3:uid="{97E4DFFF-B2A6-4AA0-9DAE-7CFE2CF39A39}" name="Marzo" dataDxfId="113"/>
    <tableColumn id="6" xr3:uid="{239BDD17-6887-482A-B0A0-98E8031CCF63}" name="Abril" dataDxfId="112"/>
    <tableColumn id="7" xr3:uid="{5918021B-72C8-4C5B-BFCD-0AC260F78246}" name="Mayo" dataDxfId="111"/>
    <tableColumn id="8" xr3:uid="{8CCCED35-DEB5-44AD-9EA6-026FEB799119}" name="Junio" dataDxfId="110"/>
    <tableColumn id="9" xr3:uid="{2BA696F8-5ED3-4067-ABED-EEFA055DBE82}" name="Julio" dataDxfId="109"/>
    <tableColumn id="10" xr3:uid="{570893F2-93D9-4DCB-A2CE-7EC20C72FB89}" name="Agosto" dataDxfId="108"/>
    <tableColumn id="11" xr3:uid="{FCE97A69-EA79-4F90-AEAD-77663AA4F9DC}" name="Septiembre" dataDxfId="107"/>
    <tableColumn id="12" xr3:uid="{9BE8A11A-A2E6-4CFB-A2D5-80E3C36038C4}" name="Octubre" dataDxfId="106"/>
    <tableColumn id="13" xr3:uid="{B91C1A55-BBDA-489D-900F-CB87FD37F045}" name="Noviembre" dataDxfId="105"/>
    <tableColumn id="14" xr3:uid="{A89A4691-0A29-4F7B-A466-A51062F10DB8}" name="Diciembre" dataDxfId="104"/>
    <tableColumn id="17" xr3:uid="{7107AD58-CA14-4F66-9F80-EEAC341EFA96}" name="Media anual" dataDxfId="103"/>
    <tableColumn id="18" xr3:uid="{9DC47332-2428-471D-B21E-CDD70A1ADCBE}" name="Latitud" dataDxfId="102"/>
    <tableColumn id="16" xr3:uid="{B75DA23F-52A8-4B4E-A8C7-C027856AEC14}" name="Longitud" dataDxfId="101"/>
    <tableColumn id="15" xr3:uid="{A81BD3DA-4EAF-4B11-B93E-66D151E16C2B}" name="Elevación" dataDxfId="100"/>
    <tableColumn id="19" xr3:uid="{168D6627-444D-40DA-9104-C8D993330E86}" name="oscilación térmica" dataDxfId="99">
      <calculatedColumnFormula>MAX(DATOS_TEMPERATURA_MEDIA[[#This Row],[Enero]:[Diciembre]])-MIN(DATOS_TEMPERATURA_MEDIA[[#This Row],[Enero]:[Diciembre]])</calculatedColumnFormula>
    </tableColum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D5BB220-40DE-4BED-89C9-4B2470BF19A7}" name="DATOS_HUMEDAD_MEDIA" displayName="DATOS_HUMEDAD_MEDIA" ref="V50:AM93" totalsRowShown="0" headerRowDxfId="98" headerRowBorderDxfId="97">
  <autoFilter ref="V50:AM93" xr:uid="{7D5BB220-40DE-4BED-89C9-4B2470BF19A7}"/>
  <sortState xmlns:xlrd2="http://schemas.microsoft.com/office/spreadsheetml/2017/richdata2" ref="V51:AM93">
    <sortCondition ref="W50:W93"/>
  </sortState>
  <tableColumns count="18">
    <tableColumn id="1" xr3:uid="{C7114BC6-7C37-4A8F-97DC-E2811DD6F14B}" name="Estación Meteorológica" dataDxfId="96"/>
    <tableColumn id="2" xr3:uid="{59B8585A-281C-41A0-9B7A-F9899D3FB2EE}" name="Zona térmica" dataDxfId="95"/>
    <tableColumn id="3" xr3:uid="{BAC37A18-0A07-4C69-B122-3F52F6F695E2}" name="Enero" dataDxfId="94"/>
    <tableColumn id="4" xr3:uid="{835436B0-BAA6-4C2E-B94E-A0C2DFAA19F8}" name="Febrero" dataDxfId="93"/>
    <tableColumn id="5" xr3:uid="{EE6CF2F8-3353-4E6C-98D1-E72B25CB4E4A}" name="Marzo" dataDxfId="92"/>
    <tableColumn id="6" xr3:uid="{7E54C9C1-5D3F-4B34-9339-0BBF87100CA9}" name="Abril" dataDxfId="91"/>
    <tableColumn id="7" xr3:uid="{BC68BFDC-C6AD-4D92-BB4D-C315718AE072}" name="Mayo" dataDxfId="90"/>
    <tableColumn id="8" xr3:uid="{E331A57F-7127-491E-A03B-BD5BB085908F}" name="Junio" dataDxfId="89"/>
    <tableColumn id="9" xr3:uid="{138BEFB7-6449-4E7B-AA73-19B512057094}" name="Julio" dataDxfId="88"/>
    <tableColumn id="10" xr3:uid="{59C0D6E9-3E4D-453B-B23B-29CDAEBD5161}" name="Agosto" dataDxfId="87"/>
    <tableColumn id="11" xr3:uid="{390681D3-3B4B-42CB-A3F9-3F4E49267994}" name="Septiembre" dataDxfId="86"/>
    <tableColumn id="12" xr3:uid="{45F0C023-077C-4C40-8C12-3A77B64A7710}" name="Octubre" dataDxfId="85"/>
    <tableColumn id="13" xr3:uid="{B61A3CDF-C480-4829-B24D-25C62196BEF7}" name="Noviembre" dataDxfId="84"/>
    <tableColumn id="14" xr3:uid="{45E62AF6-4FE8-4CE6-A07A-165B7FD89D33}" name="Diciembre" dataDxfId="83"/>
    <tableColumn id="15" xr3:uid="{067A18D5-F3BD-44AA-9DC8-42965768E058}" name="media anual" dataDxfId="82"/>
    <tableColumn id="16" xr3:uid="{863E3F09-4D1D-4CCB-9169-7E70DD41A478}" name="Latitud" dataDxfId="81"/>
    <tableColumn id="17" xr3:uid="{DA1CE90D-8A94-48B2-A164-4C149B3DAC9F}" name="Longitud" dataDxfId="80"/>
    <tableColumn id="18" xr3:uid="{89AAB3DF-2726-42E0-984D-164EEBF32C82}" name="Elevación" dataDxfId="79"/>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6DA69A9-A28F-4125-8F62-5A413BF7D69E}" name="U_zona_térmica" displayName="U_zona_térmica" ref="B35:E44" totalsRowShown="0">
  <autoFilter ref="B35:E44" xr:uid="{06DA69A9-A28F-4125-8F62-5A413BF7D69E}">
    <filterColumn colId="0" hiddenButton="1"/>
    <filterColumn colId="1" hiddenButton="1"/>
    <filterColumn colId="2" hiddenButton="1"/>
    <filterColumn colId="3" hiddenButton="1"/>
  </autoFilter>
  <tableColumns count="4">
    <tableColumn id="1" xr3:uid="{3AA8E164-0BF7-48FE-A8DC-DB0DA39E9A85}" name="zona"/>
    <tableColumn id="2" xr3:uid="{A62A5B07-8AD8-4364-80FE-A5781EF04975}" name="Muro" dataDxfId="78"/>
    <tableColumn id="3" xr3:uid="{A3CEE168-401F-4D4E-AAE6-31C4BBF99931}" name="Techo"/>
    <tableColumn id="4" xr3:uid="{6AF5A2EF-43E1-4AAD-834E-F3410812D00C}" name="Piso ventilado"/>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E295334-F7D3-414F-81A3-6B9A553865CE}" name="DATOS_TEMPERATURA_MEDIA_ZT" displayName="DATOS_TEMPERATURA_MEDIA_ZT" ref="V96:AJ123" totalsRowShown="0" headerRowDxfId="77">
  <autoFilter ref="V96:AJ123" xr:uid="{CE295334-F7D3-414F-81A3-6B9A553865C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E882017B-CE73-4540-A662-E6D0DC169E09}" name="Zona térmica"/>
    <tableColumn id="2" xr3:uid="{10D9028F-FFEE-47BB-82F0-D123336CC124}" name="Estación meteorológica NCh1079" dataDxfId="76"/>
    <tableColumn id="3" xr3:uid="{413C2875-3ED6-4634-9F18-1593375A2D02}" name="Enero"/>
    <tableColumn id="4" xr3:uid="{05915E71-4986-499A-BB5F-5260EAC712B0}" name="Febrero"/>
    <tableColumn id="5" xr3:uid="{BB0F16B9-240D-4B90-938D-9AECBF8CEA87}" name="Marzo"/>
    <tableColumn id="6" xr3:uid="{E44591AE-7894-4EFE-AFFD-E12F88A58D66}" name="Abril"/>
    <tableColumn id="7" xr3:uid="{79A9284F-65DB-49E6-B627-EF72EE470CC4}" name="Mayo"/>
    <tableColumn id="8" xr3:uid="{9EC6CD77-F7AB-4F84-967B-5F53478EA5C7}" name="Junio"/>
    <tableColumn id="9" xr3:uid="{22BA0776-9C09-4351-B325-A4F530FFC689}" name="Julio"/>
    <tableColumn id="10" xr3:uid="{84BFCF2A-F7F4-467B-99B9-4F802F8DF87B}" name="Agosto"/>
    <tableColumn id="11" xr3:uid="{E867C591-6063-4DF4-A97C-21648DD29016}" name="Septiembre"/>
    <tableColumn id="12" xr3:uid="{4F9F4C79-37CD-4323-BAE7-4C1E0F8ECB9A}" name="Octubre"/>
    <tableColumn id="13" xr3:uid="{48CED6DC-34F2-4641-9FD7-89241822903C}" name="Noviembre"/>
    <tableColumn id="14" xr3:uid="{5906146B-E806-42C4-98DD-8336E0F272F3}" name="Diciembre"/>
    <tableColumn id="15" xr3:uid="{EDC62917-BBAE-4BE0-B68C-E4B8BD983E33}" name="Media anual"/>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E6DF368-F292-4A40-B6E0-62173DF01257}" name="DATOS_HUMEDAD_MEDIA_ZT" displayName="DATOS_HUMEDAD_MEDIA_ZT" ref="U126:AI153" totalsRowShown="0" headerRowDxfId="75">
  <autoFilter ref="U126:AI153" xr:uid="{3E6DF368-F292-4A40-B6E0-62173DF0125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D14BC0B8-D2FC-4FE1-83E0-E5F292EE5096}" name="Zona térmica"/>
    <tableColumn id="2" xr3:uid="{5A4A2D8B-942F-44B0-BC75-C1A91133275F}" name="Estación meteorológica NCh1079" dataDxfId="74"/>
    <tableColumn id="3" xr3:uid="{3A39FC98-011A-4F1E-8E55-F7A33DDF9529}" name="Enero"/>
    <tableColumn id="4" xr3:uid="{84A43B71-E585-4D35-8501-B2846C39864B}" name="Febrero"/>
    <tableColumn id="5" xr3:uid="{0EED0291-4A14-45AD-BDF1-6D4B74897186}" name="Marzo"/>
    <tableColumn id="6" xr3:uid="{AC4919C5-AD43-4493-93B2-4D810296A380}" name="Abril"/>
    <tableColumn id="7" xr3:uid="{AE226EB1-6E7A-4485-96CE-08121C08570A}" name="Mayo"/>
    <tableColumn id="8" xr3:uid="{79643682-D9A2-4960-84B5-7D98043038DD}" name="Junio"/>
    <tableColumn id="9" xr3:uid="{7198FA4E-2E49-4577-9440-D736DC9DB001}" name="Julio"/>
    <tableColumn id="10" xr3:uid="{2E1F14FD-FDD4-44C2-86D2-9B5C161141B0}" name="Agosto"/>
    <tableColumn id="11" xr3:uid="{F67B7139-FF51-44A0-86D2-B5266A4AAA38}" name="Septiembre"/>
    <tableColumn id="12" xr3:uid="{B9A94495-7A2B-4C24-8EAC-0E782B250579}" name="Octubre"/>
    <tableColumn id="13" xr3:uid="{CF64B57E-C697-46F2-AF35-6448C3ECB9D7}" name="Noviembre"/>
    <tableColumn id="14" xr3:uid="{15F83543-C2CD-4597-A846-F5AF2D22CEDD}" name="Diciembre"/>
    <tableColumn id="15" xr3:uid="{B2A0A727-6181-4633-B00F-4C856DBAF70E}" name="Media anual"/>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39FFF98-F280-43C4-8A52-C22F13831ED9}" name="DATOS_TEMPERATURA_MEDIA_MÍNIMA" displayName="DATOS_TEMPERATURA_MEDIA_MÍNIMA" ref="AQ2:BD58" totalsRowShown="0" headerRowDxfId="73">
  <autoFilter ref="AQ2:BD58" xr:uid="{739FFF98-F280-43C4-8A52-C22F13831ED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8778CDE5-240B-4D46-A433-0D0EDF8D16A5}" name="Provincia" dataDxfId="72"/>
    <tableColumn id="2" xr3:uid="{C5063351-AB14-48EA-AB17-E2C287A458D1}" name="Enero"/>
    <tableColumn id="3" xr3:uid="{AF2ED959-282F-49F6-A929-1F9E682D4E43}" name="Febrero"/>
    <tableColumn id="4" xr3:uid="{FABA7B53-9643-47F1-9CAA-68A9F9AD7918}" name="Marzo"/>
    <tableColumn id="5" xr3:uid="{3593787D-E1A4-4F35-8D48-C85847842B89}" name="Abril"/>
    <tableColumn id="6" xr3:uid="{FFAD14E5-71F5-4B77-9440-00152FA93063}" name="Mayo"/>
    <tableColumn id="7" xr3:uid="{D83B62FF-99A2-4998-AF9B-480F8AB8C034}" name="Junio"/>
    <tableColumn id="8" xr3:uid="{C9F5F3F7-F3A5-47CB-93C1-8107B3C07C14}" name="Julio" dataDxfId="71"/>
    <tableColumn id="9" xr3:uid="{306B16C5-16F9-45C3-9C2F-35E4FDB0CF7C}" name="Agosto"/>
    <tableColumn id="10" xr3:uid="{02C68DBE-D380-4181-85F7-E71E118BCB2C}" name="Septiembre"/>
    <tableColumn id="11" xr3:uid="{E949BAD0-474B-4E77-ABDC-6E3C9DA64456}" name="Octubre"/>
    <tableColumn id="12" xr3:uid="{B4D2F63F-09D9-4AE0-A590-81E421DC3871}" name="Noviembre"/>
    <tableColumn id="13" xr3:uid="{22D8A75A-55A7-4F4B-A2FC-72EA34D4A328}" name="Diciembre"/>
    <tableColumn id="14" xr3:uid="{8BFB8C58-45E2-4C36-91C7-6CAC489B2B1F}" name="Delta T" dataDxfId="70">
      <calculatedColumnFormula>Temperatura_interior_fija-DATOS_TEMPERATURA_MEDIA_MÍNIMA[[#This Row],[Julio]]</calculatedColumnFormula>
    </tableColumn>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3E7A388-0E2C-42F2-9357-1F3B379AF851}" name="DATOS_HUMEDAD_MEDIA_MÍNIMA" displayName="DATOS_HUMEDAD_MEDIA_MÍNIMA" ref="AQ62:BD118" totalsRowShown="0" headerRowDxfId="69" headerRowBorderDxfId="68" tableBorderDxfId="67">
  <autoFilter ref="AQ62:BD118" xr:uid="{A3E7A388-0E2C-42F2-9357-1F3B379AF85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E4841C56-C5D5-4337-AE80-4A0EBA841403}" name="Provincia" dataDxfId="66"/>
    <tableColumn id="2" xr3:uid="{997DAF3F-9FEF-45DB-80DB-BCE41E8C99B2}" name="Enero"/>
    <tableColumn id="3" xr3:uid="{5791B05C-58E3-4B91-B03A-F64EFA36E681}" name="Febrero"/>
    <tableColumn id="4" xr3:uid="{0A2DCC2A-AD50-4843-A8AC-69272F638C9D}" name="Marzo"/>
    <tableColumn id="5" xr3:uid="{587E7AA7-58AE-451B-BD2D-96553F7C531C}" name="Abril"/>
    <tableColumn id="6" xr3:uid="{2D9E45F8-73EC-43CF-BC88-76FD57FFD65D}" name="Mayo"/>
    <tableColumn id="7" xr3:uid="{B6BB0D62-F084-4E7C-9F35-6B992C83588E}" name="Junio"/>
    <tableColumn id="8" xr3:uid="{EF7075E6-B9D5-4858-920D-A6F2F2FAD93D}" name="Julio" dataDxfId="65"/>
    <tableColumn id="9" xr3:uid="{1132D85B-9701-4049-AB62-804D77A61C74}" name="Agosto"/>
    <tableColumn id="10" xr3:uid="{3E13EFEF-4C9E-4B4F-979B-AA2D1E42BB61}" name="Septiembre"/>
    <tableColumn id="11" xr3:uid="{4C65F6A3-C5ED-48FA-9A59-3761C18C5949}" name="Octubre"/>
    <tableColumn id="12" xr3:uid="{377B2292-5F68-4660-BAA5-2BBEC2FC2CEC}" name="Noviembre"/>
    <tableColumn id="13" xr3:uid="{BE54E49D-17AF-4A69-9447-DBFE8C507806}" name="Diciembre"/>
    <tableColumn id="14" xr3:uid="{306AB126-7E14-4A1D-A455-1F7717F2429B}" name="delta HR"/>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4899625-4562-44A6-A703-3733102D6F0E}" name="zonas_térmicas_comunas" displayName="zonas_térmicas_comunas" ref="A128:P474" totalsRowShown="0">
  <autoFilter ref="A128:P474" xr:uid="{C4899625-4562-44A6-A703-3733102D6F0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BD848C1D-2D7A-4EB6-A5D5-51552FCBA0BD}" name="# Región"/>
    <tableColumn id="2" xr3:uid="{90266722-B3B9-42B6-A376-D2F14593A05E}" name="Región"/>
    <tableColumn id="3" xr3:uid="{DDB00106-BDC7-4ED9-855D-754F1E2E811C}" name="Provincia"/>
    <tableColumn id="4" xr3:uid="{9547210B-874A-4A0F-A146-94BC5A10B7AE}" name="Comuna"/>
    <tableColumn id="5" xr3:uid="{AEF25474-4129-4D01-9F7B-173A0D91E285}" name="Longitud"/>
    <tableColumn id="6" xr3:uid="{4063E2EA-7FBD-45E8-A042-F5A93A9AFA35}" name="Latitud"/>
    <tableColumn id="7" xr3:uid="{7724EDA3-490F-44DC-80FE-4AA5458F0558}" name="A"/>
    <tableColumn id="8" xr3:uid="{A69BFAC6-BEC9-44B5-BA21-D55657C3B716}" name="B"/>
    <tableColumn id="9" xr3:uid="{28A27DD3-3F0E-478B-9C5B-7DC6F9B75059}" name="C"/>
    <tableColumn id="10" xr3:uid="{98F84A04-D8A3-4EAA-B85C-0CC041104C49}" name="D"/>
    <tableColumn id="11" xr3:uid="{D994347A-BAFA-4B45-9561-FBDDBFAB1ED5}" name="E"/>
    <tableColumn id="12" xr3:uid="{11F9D2DF-F023-4FF7-A09A-D3ACA6BF3457}" name="F"/>
    <tableColumn id="13" xr3:uid="{14B3D87E-25A5-46E3-94C0-F9995B0A2886}" name="G"/>
    <tableColumn id="14" xr3:uid="{58AA2EAF-AFF8-4212-B4F8-A6446C170E60}" name="H"/>
    <tableColumn id="15" xr3:uid="{E21C4A2E-CBEF-4DE1-B81A-2A49E6AD81E9}" name="I"/>
    <tableColumn id="16" xr3:uid="{4D8ACA24-052F-41E6-85E9-3879F461CBF1}" name="Columna1" dataDxfId="64"/>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290001E-5EBF-456E-B419-A5DF8E7438FB}" name="DATOS_REQUERIMIENTOS_TÉRMICOS" displayName="DATOS_REQUERIMIENTOS_TÉRMICOS" ref="U155:AB179" totalsRowShown="0" headerRowDxfId="63" dataDxfId="62">
  <autoFilter ref="U155:AB179" xr:uid="{6290001E-5EBF-456E-B419-A5DF8E7438F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171CA30-B824-4EE7-9A65-52C3FCDD9C51}" name="zona"/>
    <tableColumn id="2" xr3:uid="{CBF13394-05B0-4D43-AC61-2AC27808831E}" name="U Muro" dataDxfId="61"/>
    <tableColumn id="3" xr3:uid="{91B6F2F9-47D0-48D6-92BA-99F3206BCB6C}" name="U Techo" dataDxfId="60"/>
    <tableColumn id="4" xr3:uid="{29EAB278-310B-4D9E-86B9-8296B0B5EB62}" name="U Piso ventilado" dataDxfId="59"/>
    <tableColumn id="5" xr3:uid="{D1D75D67-B4FF-483C-827F-DBD992977A46}" name="R100 Muro" dataDxfId="58"/>
    <tableColumn id="6" xr3:uid="{F458844A-28D3-4A6D-A472-A477D5F371C0}" name="R100 Techo" dataDxfId="57"/>
    <tableColumn id="7" xr3:uid="{1C611574-EFF4-4B34-8040-10485621E3F1}" name="R100 Piso ventilado" dataDxfId="56"/>
    <tableColumn id="8" xr3:uid="{B377A57D-6753-40F6-BFBE-04B2EB4F2FB2}" name="tipo clima NCh1973" dataDxfId="55"/>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B6ECE43-183B-4B01-A380-AD2785340864}" name="clase_humedad_clima_marítimo" displayName="clase_humedad_clima_marítimo" ref="B103:I108" totalsRowShown="0" headerRowDxfId="54">
  <autoFilter ref="B103:I108" xr:uid="{3B6ECE43-183B-4B01-A380-AD27853408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F78CAF91-8C45-4AC7-AF67-8D262FEDD759}" name="Clase de humedad (clima marítimo)"/>
    <tableColumn id="2" xr3:uid="{3D868A8D-65A0-46A7-931F-9060816F07BA}" name="Columna1"/>
    <tableColumn id="3" xr3:uid="{AAF5AEFB-E403-4793-93FF-4ACD02BD1CFB}" name="m Δv"/>
    <tableColumn id="4" xr3:uid="{784AFCED-B226-4643-9B05-F16339EE8A86}" name="y1 Δv"/>
    <tableColumn id="5" xr3:uid="{3DC91A1B-7315-45F3-AD5B-EFEB50A561BE}" name="y0 Δv"/>
    <tableColumn id="6" xr3:uid="{31252324-35C5-44DF-86E4-FCB17E4A167C}" name="m Δp">
      <calculatedColumnFormula>(H104-I104)/20</calculatedColumnFormula>
    </tableColumn>
    <tableColumn id="7" xr3:uid="{A4A6AB3F-F7C5-4AD6-89D6-0CCDD4E798EB}" name="y1 Δp"/>
    <tableColumn id="8" xr3:uid="{5240F0B7-4060-4725-B392-C572E674204F}" name="y0 Δp"/>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49CFD7F-BC29-49CF-8E4B-351AD85FE072}" name="DATOS_TEMPERATURA_MIN_ZT" displayName="DATOS_TEMPERATURA_MIN_ZT" ref="AP126:BC153" totalsRowShown="0" headerRowDxfId="53" tableBorderDxfId="52">
  <autoFilter ref="AP126:BC153" xr:uid="{A49CFD7F-BC29-49CF-8E4B-351AD85FE07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1F683B5E-6E10-488A-AE3E-C1C0424A71DF}" name="Zona térmica" dataDxfId="51"/>
    <tableColumn id="2" xr3:uid="{A9DC5729-B9D5-4553-A1D2-317C1949248F}" name="Dato provincial"/>
    <tableColumn id="3" xr3:uid="{ACF22D97-4587-40A9-9C37-F8B2600256CA}" name="Enero"/>
    <tableColumn id="4" xr3:uid="{8076F19C-2E80-442B-9868-BAF11DB68F18}" name="Febrero"/>
    <tableColumn id="5" xr3:uid="{D78C5DBA-C175-4633-B499-DE9B892E5D0D}" name="Marzo"/>
    <tableColumn id="6" xr3:uid="{3FB92C13-9977-4435-A39B-8392EE42904F}" name="Abril"/>
    <tableColumn id="7" xr3:uid="{A4F59781-3B75-4E12-A7FE-76AD6E35C7D0}" name="Mayo"/>
    <tableColumn id="8" xr3:uid="{10A4BC9D-78DE-463C-AA54-B183A1831588}" name="Junio"/>
    <tableColumn id="9" xr3:uid="{320D8B4C-D845-4A47-90EA-7B71D74C29E5}" name="Julio"/>
    <tableColumn id="10" xr3:uid="{7A10D93D-9EA9-4A42-88C1-781876C8D5BB}" name="Agosto"/>
    <tableColumn id="11" xr3:uid="{53FACAA4-1D52-4436-BE40-45959C956762}" name="Septiembre"/>
    <tableColumn id="12" xr3:uid="{515583FE-9EA0-493F-91A5-2483F0705D23}" name="Octubre"/>
    <tableColumn id="13" xr3:uid="{2AC76A97-82A5-44F0-988D-DE7B1DFA3485}" name="Noviembre"/>
    <tableColumn id="14" xr3:uid="{A2653D6A-61BF-4977-8499-06E7B5B8FBDD}" name="Diciembre"/>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99DA4232-D574-4634-B2FF-0E66BE90F667}" name="DATOS_HUMEDAD_MIN_ZT" displayName="DATOS_HUMEDAD_MIN_ZT" ref="AP155:BC182" totalsRowShown="0" headerRowDxfId="50" tableBorderDxfId="49">
  <autoFilter ref="AP155:BC182" xr:uid="{99DA4232-D574-4634-B2FF-0E66BE90F66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51572A2-8F6B-4846-894C-C51C9B749624}" name="Zona térmica" dataDxfId="48"/>
    <tableColumn id="2" xr3:uid="{F9A3E516-8309-4FC5-ABF9-19577CE7F75A}" name="Dato provincial"/>
    <tableColumn id="3" xr3:uid="{679F5986-222B-4C0B-846E-C12C04847D42}" name="Enero"/>
    <tableColumn id="4" xr3:uid="{4687B1CA-D506-4A10-9A5D-C1B781F8C152}" name="Febrero"/>
    <tableColumn id="5" xr3:uid="{F5321D99-483E-430F-B2AC-2E2D5177230B}" name="Marzo"/>
    <tableColumn id="6" xr3:uid="{753FA48B-8435-40E9-BB2F-79F35B6D3712}" name="Abril"/>
    <tableColumn id="7" xr3:uid="{4A65BDA5-AFAD-443C-A5F1-AB76680575DB}" name="Mayo"/>
    <tableColumn id="8" xr3:uid="{6C09F319-CDE2-423C-9580-60BA90911486}" name="Junio"/>
    <tableColumn id="9" xr3:uid="{060266F4-7CF8-4789-9DF7-77A4126E7EBA}" name="Julio" dataDxfId="47"/>
    <tableColumn id="10" xr3:uid="{508CBE1D-1667-4745-93AA-C8C83D559941}" name="Agosto"/>
    <tableColumn id="11" xr3:uid="{348D9C30-4FC3-4FFF-B9D8-56870C1AD216}" name="Septiembre"/>
    <tableColumn id="12" xr3:uid="{F197F40E-E9F5-4945-A4C5-4C9BEF336E7F}" name="Octubre"/>
    <tableColumn id="13" xr3:uid="{7FDCD5B6-39B6-42CA-B022-C3E7D0C6008D}" name="Noviembre"/>
    <tableColumn id="14" xr3:uid="{57E338C7-C3B7-488E-A05B-553FA13F5131}" name="Diciembre"/>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8FF5B8A-E05D-426E-9961-B7CF6E4E489A}" name="Tabla32" displayName="Tabla32" ref="BG2:BV68" totalsRowShown="0" headerRowDxfId="46" tableBorderDxfId="45">
  <autoFilter ref="BG2:BV68" xr:uid="{88FF5B8A-E05D-426E-9961-B7CF6E4E489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6610E70D-231A-45AB-8B8B-815C0087AB0E}" name="Estación Meteorológica"/>
    <tableColumn id="2" xr3:uid="{5E884994-362B-40BA-A773-FDBE9B3F44A5}" name="Enero" dataDxfId="44"/>
    <tableColumn id="3" xr3:uid="{5728D3BA-5DEF-46FF-863F-71CBF5F75A42}" name="Febrero" dataDxfId="43"/>
    <tableColumn id="4" xr3:uid="{87B73562-0CF4-4F2F-B211-B26586F2E360}" name="Marzo" dataDxfId="42"/>
    <tableColumn id="5" xr3:uid="{5C5DFA8B-AD94-41E6-9055-C64BDF0A435A}" name="Abril" dataDxfId="41"/>
    <tableColumn id="6" xr3:uid="{9BDE4C46-3CF6-4986-8669-03265B03F9C6}" name="Mayo" dataDxfId="40"/>
    <tableColumn id="7" xr3:uid="{2C72E0DD-4444-4671-B082-111A473785CB}" name="Junio" dataDxfId="39"/>
    <tableColumn id="8" xr3:uid="{5E6F94DE-E596-4DBE-A3FC-C616B5436EE4}" name="Julio" dataDxfId="38"/>
    <tableColumn id="9" xr3:uid="{AF55BC01-D81B-44F5-9476-030C0D483BAC}" name="Agosto" dataDxfId="37"/>
    <tableColumn id="10" xr3:uid="{1475A46A-9A40-410F-AE80-810FFAAF328E}" name="Septiembre" dataDxfId="36"/>
    <tableColumn id="11" xr3:uid="{8A90F241-31C5-47E1-8492-46D0C4333327}" name="Octubre" dataDxfId="35"/>
    <tableColumn id="12" xr3:uid="{EB59CC2F-C562-40E2-99AD-EDF2CAEF61D5}" name="Noviembre" dataDxfId="34"/>
    <tableColumn id="13" xr3:uid="{C538D720-E72D-4448-8617-1D31766224DA}" name="Diciembre" dataDxfId="33"/>
    <tableColumn id="14" xr3:uid="{46A60ADB-12DA-48F5-B369-24A81F941E83}" name="Anual" dataDxfId="32"/>
    <tableColumn id="15" xr3:uid="{F513A8AE-D085-4FC3-BA37-1895E12F464B}" name="Máx 24h" dataDxfId="31"/>
    <tableColumn id="16" xr3:uid="{7BC6C17B-DCC0-4F9E-9920-80FF6A6E4B21}" name="Promedio diario temporada fría" dataDxfId="30">
      <calculatedColumnFormula>AVERAGE(Tabla32[[#This Row],[Mayo]:[Septiembre]])/30</calculatedColumnFormula>
    </tableColumn>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1D61871-7F3E-4818-902E-A3791034DE53}" name="DATOS_TEMPERATURA_MEDIA45" displayName="DATOS_TEMPERATURA_MEDIA45" ref="CA2:DA45" totalsRowShown="0" headerRowDxfId="29" headerRowBorderDxfId="28">
  <autoFilter ref="CA2:DA45" xr:uid="{D1D61871-7F3E-4818-902E-A3791034DE53}"/>
  <sortState xmlns:xlrd2="http://schemas.microsoft.com/office/spreadsheetml/2017/richdata2" ref="CA3:DA45">
    <sortCondition ref="DA2:DA45"/>
  </sortState>
  <tableColumns count="27">
    <tableColumn id="1" xr3:uid="{82F74162-B0A8-4581-8219-3AA3657343A0}" name="Estación Meteorológica" dataDxfId="27"/>
    <tableColumn id="2" xr3:uid="{319EBE23-B365-4156-9D64-2D74C7D8D1AD}" name="Enero" dataDxfId="26"/>
    <tableColumn id="3" xr3:uid="{2B3B860B-F914-4721-9212-56395C8D9D8B}" name="Febrero" dataDxfId="25"/>
    <tableColumn id="4" xr3:uid="{7F0460F7-AF7A-4DD0-95AD-F9766467ED8E}" name="Marzo" dataDxfId="24"/>
    <tableColumn id="5" xr3:uid="{8ED3609D-4CE7-41AC-88F4-701E8A91547C}" name="Abril" dataDxfId="23"/>
    <tableColumn id="6" xr3:uid="{BA5B80D6-8654-41CE-9813-BEF40E0F8A23}" name="Mayo" dataDxfId="22"/>
    <tableColumn id="7" xr3:uid="{812B0663-E74F-4F1D-A397-B4B7450165E6}" name="Junio" dataDxfId="21"/>
    <tableColumn id="8" xr3:uid="{67F167FF-74F2-4BD8-BAA2-1A33A477F0F7}" name="Julio" dataDxfId="20"/>
    <tableColumn id="9" xr3:uid="{C8FE760C-61F6-4F25-89AB-501542D1F326}" name="Agosto" dataDxfId="19"/>
    <tableColumn id="10" xr3:uid="{468AD100-0DF6-4D1A-ABAA-58AEA82893E2}" name="Septiembre" dataDxfId="18"/>
    <tableColumn id="11" xr3:uid="{B3E369BD-FC88-4570-A1BB-E118E61256EF}" name="Octubre" dataDxfId="17"/>
    <tableColumn id="12" xr3:uid="{A87D6831-5DAE-4CD7-AC4B-FADBF2C68590}" name="Noviembre" dataDxfId="16"/>
    <tableColumn id="13" xr3:uid="{D23B9379-4E39-4D5F-9132-1EFF2E427B49}" name="Diciembre" dataDxfId="15"/>
    <tableColumn id="14" xr3:uid="{C5E4AC0E-4ED9-40CF-8A27-62B5885F9444}" name="Media anual" dataDxfId="14"/>
    <tableColumn id="15" xr3:uid="{18444A06-3FBA-4334-9E8D-38E6271D231E}" name="GDC 1" dataDxfId="13">
      <calculatedColumnFormula>IF(DATOS_TEMPERATURA_MEDIA45[[#This Row],[Enero]]&gt;$DA$1,0,20-DATOS_TEMPERATURA_MEDIA45[[#This Row],[Enero]])*CO$1</calculatedColumnFormula>
    </tableColumn>
    <tableColumn id="16" xr3:uid="{7C837BA6-2068-4C0A-BAB5-9C9A7B015471}" name="GDC 2" dataDxfId="12">
      <calculatedColumnFormula>IF(DATOS_TEMPERATURA_MEDIA45[[#This Row],[Febrero]]&gt;$DA$1,0,20-DATOS_TEMPERATURA_MEDIA45[[#This Row],[Febrero]])*CP$1</calculatedColumnFormula>
    </tableColumn>
    <tableColumn id="17" xr3:uid="{C0FF1776-E8AC-44D3-A8DB-B53B1EFCF7C4}" name="GDC 3" dataDxfId="11">
      <calculatedColumnFormula>IF(DATOS_TEMPERATURA_MEDIA45[[#This Row],[Marzo]]&gt;$DA$1,0,20-DATOS_TEMPERATURA_MEDIA45[[#This Row],[Marzo]])*CQ$1</calculatedColumnFormula>
    </tableColumn>
    <tableColumn id="18" xr3:uid="{E1A70E3C-98CC-499D-B26B-8D05AA7CDB6A}" name="GDC 4" dataDxfId="10">
      <calculatedColumnFormula>IF(DATOS_TEMPERATURA_MEDIA45[[#This Row],[Abril]]&gt;$DA$1,0,20-DATOS_TEMPERATURA_MEDIA45[[#This Row],[Abril]])*CR$1</calculatedColumnFormula>
    </tableColumn>
    <tableColumn id="19" xr3:uid="{393EC802-A4BB-4F81-844C-9B9DAF44A2ED}" name="GDC 5" dataDxfId="9">
      <calculatedColumnFormula>IF(DATOS_TEMPERATURA_MEDIA45[[#This Row],[Mayo]]&gt;$DA$1,0,20-DATOS_TEMPERATURA_MEDIA45[[#This Row],[Mayo]])*CS$1</calculatedColumnFormula>
    </tableColumn>
    <tableColumn id="20" xr3:uid="{26E8E506-AA93-40E9-9037-E8AFCCBF7E87}" name="GDC 6" dataDxfId="8">
      <calculatedColumnFormula>IF(DATOS_TEMPERATURA_MEDIA45[[#This Row],[Junio]]&gt;$DA$1,0,20-DATOS_TEMPERATURA_MEDIA45[[#This Row],[Junio]])*CT$1</calculatedColumnFormula>
    </tableColumn>
    <tableColumn id="21" xr3:uid="{F020879B-5435-4BEA-92E4-7E8FF3A8B71D}" name="GDC 7" dataDxfId="7">
      <calculatedColumnFormula>IF(DATOS_TEMPERATURA_MEDIA45[[#This Row],[Julio]]&gt;$DA$1,0,20-DATOS_TEMPERATURA_MEDIA45[[#This Row],[Julio]])*CU$1</calculatedColumnFormula>
    </tableColumn>
    <tableColumn id="22" xr3:uid="{11063159-3B86-4D30-9F90-6501D95BC4B4}" name="GDC 8" dataDxfId="6">
      <calculatedColumnFormula>IF(DATOS_TEMPERATURA_MEDIA45[[#This Row],[Agosto]]&gt;$DA$1,0,20-DATOS_TEMPERATURA_MEDIA45[[#This Row],[Agosto]])*CV$1</calculatedColumnFormula>
    </tableColumn>
    <tableColumn id="23" xr3:uid="{6E24B6D7-2189-4E7D-B0C4-14A58756730F}" name="GDC 9" dataDxfId="5">
      <calculatedColumnFormula>IF(DATOS_TEMPERATURA_MEDIA45[[#This Row],[Septiembre]]&gt;$DA$1,0,20-DATOS_TEMPERATURA_MEDIA45[[#This Row],[Septiembre]])*CW$1</calculatedColumnFormula>
    </tableColumn>
    <tableColumn id="24" xr3:uid="{F10A1F2F-4962-481A-871F-DCFFF4AE4B41}" name="GDC 10" dataDxfId="4">
      <calculatedColumnFormula>IF(DATOS_TEMPERATURA_MEDIA45[[#This Row],[Octubre]]&gt;$DA$1,0,20-DATOS_TEMPERATURA_MEDIA45[[#This Row],[Octubre]])*CX$1</calculatedColumnFormula>
    </tableColumn>
    <tableColumn id="25" xr3:uid="{478713FF-5AFE-4AD8-8854-A14999696B17}" name="GDC 11" dataDxfId="3">
      <calculatedColumnFormula>IF(DATOS_TEMPERATURA_MEDIA45[[#This Row],[Noviembre]]&gt;$DA$1,0,20-DATOS_TEMPERATURA_MEDIA45[[#This Row],[Noviembre]])*CY$1</calculatedColumnFormula>
    </tableColumn>
    <tableColumn id="26" xr3:uid="{DFF67AA7-EA1B-40AB-8C64-17C7FC0BFC76}" name="GDC 12" dataDxfId="2">
      <calculatedColumnFormula>IF(DATOS_TEMPERATURA_MEDIA45[[#This Row],[Diciembre]]&gt;$DA$1,0,20-DATOS_TEMPERATURA_MEDIA45[[#This Row],[Diciembre]])*CZ$1</calculatedColumnFormula>
    </tableColumn>
    <tableColumn id="31" xr3:uid="{A917558C-FE99-4441-92F2-0C7806D2CA7D}" name="GDC total" dataDxfId="1">
      <calculatedColumnFormula>SUM(DATOS_TEMPERATURA_MEDIA45[[#This Row],[GDC 1]:[GDC 12]])</calculatedColumnFormula>
    </tableColumn>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5C15332-D2BB-4608-9E97-D295EE15C896}" name="condiciones_comuna" displayName="condiciones_comuna" ref="V251:AC681" totalsRowShown="0">
  <autoFilter ref="V251:AC681" xr:uid="{B5C15332-D2BB-4608-9E97-D295EE15C896}">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8" xr3:uid="{DB1AC10D-248C-465A-924D-11FFED578E74}" name="indice" dataDxfId="0">
      <calculatedColumnFormula>condiciones_comuna[[#This Row],[Zona Térmica]]&amp;" - "&amp;condiciones_comuna[[#This Row],[Comuna / localidad]]</calculatedColumnFormula>
    </tableColumn>
    <tableColumn id="1" xr3:uid="{CDD1615E-1649-4D25-B6AF-604FE78B7690}" name="Zona Térmica"/>
    <tableColumn id="2" xr3:uid="{EC0647E0-2279-4337-9D9A-C7133FB94E10}" name="Comuna / localidad"/>
    <tableColumn id="3" xr3:uid="{E55CF8BE-4C62-4D01-8B38-5AAE90F006F6}" name="Meridiano"/>
    <tableColumn id="4" xr3:uid="{B4BFC1F8-4B6A-4DFC-B19C-EE08E06F02C4}" name="Altitud [msnm]"/>
    <tableColumn id="7" xr3:uid="{CC3344C7-B359-49EB-A782-9CCCE92B3CA9}" name="Dato"/>
    <tableColumn id="5" xr3:uid="{C34DA6FB-0182-4CEA-8497-E9F98E32F0B4}" name="T°"/>
    <tableColumn id="6" xr3:uid="{BA6E089D-D31A-42D3-83E2-EEF9A24F44C1}" name="HR"/>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B2AD6BA2-67A6-471B-9071-FE60A40EB765}" name="excepciones_ZT" displayName="excepciones_ZT" ref="AS221:AU231" totalsRowShown="0">
  <autoFilter ref="AS221:AU231" xr:uid="{B2AD6BA2-67A6-471B-9071-FE60A40EB765}"/>
  <tableColumns count="3">
    <tableColumn id="1" xr3:uid="{5F1CBB90-8D61-48C8-B864-C9C64D5A0B35}" name="Zona Térmica"/>
    <tableColumn id="3" xr3:uid="{34F9B3E7-048F-4C3D-9D40-A5911A1F8194}" name="hay excepciones"/>
    <tableColumn id="2" xr3:uid="{6751AE6B-FA0F-4305-BFED-0064DBCC5E7C}" name="Excepciones"/>
  </tableColumns>
  <tableStyleInfo name="TableStyleLight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table" Target="../tables/table2.xml"/><Relationship Id="rId5" Type="http://schemas.openxmlformats.org/officeDocument/2006/relationships/ctrlProp" Target="../ctrlProps/ctrlProp2.xml"/><Relationship Id="rId15" Type="http://schemas.openxmlformats.org/officeDocument/2006/relationships/table" Target="../tables/table6.xml"/><Relationship Id="rId10"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12"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1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2.xml"/><Relationship Id="rId13" Type="http://schemas.openxmlformats.org/officeDocument/2006/relationships/table" Target="../tables/table27.xml"/><Relationship Id="rId3" Type="http://schemas.openxmlformats.org/officeDocument/2006/relationships/vmlDrawing" Target="../drawings/vmlDrawing5.vml"/><Relationship Id="rId7" Type="http://schemas.openxmlformats.org/officeDocument/2006/relationships/table" Target="../tables/table21.xml"/><Relationship Id="rId12" Type="http://schemas.openxmlformats.org/officeDocument/2006/relationships/table" Target="../tables/table26.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table" Target="../tables/table20.xml"/><Relationship Id="rId11" Type="http://schemas.openxmlformats.org/officeDocument/2006/relationships/table" Target="../tables/table25.xml"/><Relationship Id="rId5" Type="http://schemas.openxmlformats.org/officeDocument/2006/relationships/table" Target="../tables/table19.xml"/><Relationship Id="rId15" Type="http://schemas.openxmlformats.org/officeDocument/2006/relationships/comments" Target="../comments1.xml"/><Relationship Id="rId10" Type="http://schemas.openxmlformats.org/officeDocument/2006/relationships/table" Target="../tables/table24.xml"/><Relationship Id="rId4" Type="http://schemas.openxmlformats.org/officeDocument/2006/relationships/table" Target="../tables/table18.xml"/><Relationship Id="rId9" Type="http://schemas.openxmlformats.org/officeDocument/2006/relationships/table" Target="../tables/table23.xml"/><Relationship Id="rId14" Type="http://schemas.openxmlformats.org/officeDocument/2006/relationships/table" Target="../tables/table28.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4.xml"/><Relationship Id="rId13" Type="http://schemas.openxmlformats.org/officeDocument/2006/relationships/table" Target="../tables/table39.xml"/><Relationship Id="rId18" Type="http://schemas.openxmlformats.org/officeDocument/2006/relationships/table" Target="../tables/table44.xml"/><Relationship Id="rId3" Type="http://schemas.openxmlformats.org/officeDocument/2006/relationships/table" Target="../tables/table29.xml"/><Relationship Id="rId21" Type="http://schemas.openxmlformats.org/officeDocument/2006/relationships/table" Target="../tables/table47.xml"/><Relationship Id="rId7" Type="http://schemas.openxmlformats.org/officeDocument/2006/relationships/table" Target="../tables/table33.xml"/><Relationship Id="rId12" Type="http://schemas.openxmlformats.org/officeDocument/2006/relationships/table" Target="../tables/table38.xml"/><Relationship Id="rId17" Type="http://schemas.openxmlformats.org/officeDocument/2006/relationships/table" Target="../tables/table43.xml"/><Relationship Id="rId2" Type="http://schemas.openxmlformats.org/officeDocument/2006/relationships/drawing" Target="../drawings/drawing7.xml"/><Relationship Id="rId16" Type="http://schemas.openxmlformats.org/officeDocument/2006/relationships/table" Target="../tables/table42.xml"/><Relationship Id="rId20" Type="http://schemas.openxmlformats.org/officeDocument/2006/relationships/table" Target="../tables/table46.xml"/><Relationship Id="rId1" Type="http://schemas.openxmlformats.org/officeDocument/2006/relationships/printerSettings" Target="../printerSettings/printerSettings8.bin"/><Relationship Id="rId6" Type="http://schemas.openxmlformats.org/officeDocument/2006/relationships/table" Target="../tables/table32.xml"/><Relationship Id="rId11" Type="http://schemas.openxmlformats.org/officeDocument/2006/relationships/table" Target="../tables/table37.xml"/><Relationship Id="rId5" Type="http://schemas.openxmlformats.org/officeDocument/2006/relationships/table" Target="../tables/table31.xml"/><Relationship Id="rId15" Type="http://schemas.openxmlformats.org/officeDocument/2006/relationships/table" Target="../tables/table41.xml"/><Relationship Id="rId10" Type="http://schemas.openxmlformats.org/officeDocument/2006/relationships/table" Target="../tables/table36.xml"/><Relationship Id="rId19" Type="http://schemas.openxmlformats.org/officeDocument/2006/relationships/table" Target="../tables/table45.xml"/><Relationship Id="rId4" Type="http://schemas.openxmlformats.org/officeDocument/2006/relationships/table" Target="../tables/table30.xml"/><Relationship Id="rId9" Type="http://schemas.openxmlformats.org/officeDocument/2006/relationships/table" Target="../tables/table35.xml"/><Relationship Id="rId14" Type="http://schemas.openxmlformats.org/officeDocument/2006/relationships/table" Target="../tables/table40.xml"/><Relationship Id="rId22" Type="http://schemas.openxmlformats.org/officeDocument/2006/relationships/table" Target="../tables/table4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04621-2AE8-4D63-98CC-7322FB0D40B3}">
  <sheetPr codeName="Hoja5"/>
  <dimension ref="A1"/>
  <sheetViews>
    <sheetView showOutlineSymbols="0" topLeftCell="A7" workbookViewId="0"/>
  </sheetViews>
  <sheetFormatPr defaultColWidth="11.3984375" defaultRowHeight="14.25" x14ac:dyDescent="0.4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AE37E-2C62-4A9F-8E4A-E05ACB42C9E2}">
  <sheetPr codeName="Hoja1">
    <tabColor rgb="FF00B050"/>
  </sheetPr>
  <dimension ref="B1:O286"/>
  <sheetViews>
    <sheetView tabSelected="1" showOutlineSymbols="0" zoomScaleNormal="100" workbookViewId="0">
      <pane ySplit="1" topLeftCell="A2" activePane="bottomLeft" state="frozen"/>
      <selection pane="bottomLeft" activeCell="G62" sqref="G62"/>
    </sheetView>
  </sheetViews>
  <sheetFormatPr defaultColWidth="11.3984375" defaultRowHeight="14.25" x14ac:dyDescent="0.45"/>
  <cols>
    <col min="1" max="1" width="4.59765625" style="40" customWidth="1"/>
    <col min="2" max="2" width="20.265625" style="40" bestFit="1" customWidth="1"/>
    <col min="3" max="3" width="79.1328125" style="40" hidden="1" customWidth="1"/>
    <col min="4" max="4" width="21" style="40" hidden="1" customWidth="1"/>
    <col min="5" max="5" width="22.1328125" style="40" bestFit="1" customWidth="1"/>
    <col min="6" max="6" width="74.59765625" style="40" bestFit="1" customWidth="1"/>
    <col min="7" max="7" width="19.3984375" style="40" customWidth="1"/>
    <col min="8" max="8" width="16.265625" style="40" customWidth="1"/>
    <col min="9" max="9" width="21.59765625" style="40" customWidth="1"/>
    <col min="10" max="10" width="15.59765625" style="40" customWidth="1"/>
    <col min="11" max="11" width="14" style="40" customWidth="1"/>
    <col min="12" max="12" width="17.265625" style="40" customWidth="1"/>
    <col min="13" max="13" width="15.3984375" style="40" customWidth="1"/>
    <col min="14" max="16384" width="11.3984375" style="40"/>
  </cols>
  <sheetData>
    <row r="1" spans="2:13" s="162" customFormat="1" ht="23.25" x14ac:dyDescent="0.7">
      <c r="B1" s="163" t="s">
        <v>0</v>
      </c>
    </row>
    <row r="2" spans="2:13" x14ac:dyDescent="0.45">
      <c r="B2" s="328" t="s">
        <v>1636</v>
      </c>
      <c r="C2" s="329" t="s">
        <v>1636</v>
      </c>
      <c r="D2" s="329" t="s">
        <v>1636</v>
      </c>
      <c r="E2" s="329"/>
      <c r="F2" s="329"/>
      <c r="G2" s="329"/>
      <c r="H2" s="330"/>
      <c r="I2" s="330"/>
      <c r="J2" s="330"/>
      <c r="K2" s="330"/>
      <c r="L2" s="330"/>
      <c r="M2" s="331"/>
    </row>
    <row r="3" spans="2:13" ht="19.899999999999999" thickBot="1" x14ac:dyDescent="0.65">
      <c r="B3" s="440" t="s">
        <v>1637</v>
      </c>
      <c r="C3" s="440"/>
      <c r="D3" s="440"/>
      <c r="E3" s="440"/>
      <c r="F3" s="440"/>
      <c r="G3" s="440"/>
      <c r="H3" s="440"/>
      <c r="I3" s="440"/>
      <c r="J3" s="440"/>
      <c r="K3" s="440"/>
      <c r="L3" s="440"/>
      <c r="M3" s="440"/>
    </row>
    <row r="4" spans="2:13" ht="45" customHeight="1" thickTop="1" x14ac:dyDescent="0.45">
      <c r="B4" s="447" t="s">
        <v>1638</v>
      </c>
      <c r="C4" s="447"/>
      <c r="D4" s="447"/>
      <c r="E4" s="447"/>
      <c r="F4" s="447"/>
      <c r="G4" s="447"/>
      <c r="H4" s="447"/>
      <c r="I4" s="447"/>
      <c r="J4" s="447"/>
      <c r="K4" s="170"/>
      <c r="L4" s="170"/>
      <c r="M4" s="170"/>
    </row>
    <row r="5" spans="2:13" ht="16.5" customHeight="1" x14ac:dyDescent="0.45">
      <c r="C5" s="170"/>
      <c r="D5" s="170"/>
      <c r="E5" s="170"/>
      <c r="F5" s="170"/>
      <c r="G5" s="170"/>
      <c r="H5" s="170"/>
      <c r="I5" s="170"/>
      <c r="J5" s="170"/>
      <c r="K5" s="170"/>
      <c r="L5" s="170"/>
      <c r="M5" s="170"/>
    </row>
    <row r="6" spans="2:13" ht="9" customHeight="1" x14ac:dyDescent="0.6">
      <c r="B6" s="136"/>
      <c r="C6" s="94"/>
      <c r="E6" s="94"/>
      <c r="F6" s="94"/>
      <c r="G6" s="94"/>
      <c r="H6" s="170"/>
      <c r="I6" s="170"/>
      <c r="J6" s="170"/>
      <c r="K6" s="170"/>
    </row>
    <row r="7" spans="2:13" ht="42.75" x14ac:dyDescent="0.45">
      <c r="B7" s="101" t="s">
        <v>1</v>
      </c>
      <c r="C7" s="103" t="s">
        <v>2</v>
      </c>
      <c r="D7" s="145" t="s">
        <v>4</v>
      </c>
      <c r="E7" s="103" t="s">
        <v>3</v>
      </c>
      <c r="F7" s="103" t="s">
        <v>5</v>
      </c>
      <c r="G7" s="128" t="s">
        <v>6</v>
      </c>
      <c r="H7" s="128" t="s">
        <v>7</v>
      </c>
      <c r="I7" s="128" t="s">
        <v>8</v>
      </c>
      <c r="J7" s="129" t="s">
        <v>9</v>
      </c>
      <c r="K7" s="130" t="s">
        <v>10</v>
      </c>
    </row>
    <row r="8" spans="2:13" x14ac:dyDescent="0.45">
      <c r="B8" s="97">
        <f>ROW()-ROW(INDEX(MATERIALES[],1,1))+1</f>
        <v>1</v>
      </c>
      <c r="C8"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8" s="80"/>
      <c r="E8" s="125"/>
      <c r="F8" s="125"/>
      <c r="G8" s="69"/>
      <c r="H8"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8"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8"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8"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9" spans="2:13" x14ac:dyDescent="0.45">
      <c r="B9" s="97">
        <f>ROW()-ROW(INDEX(MATERIALES[],1,1))+1</f>
        <v>2</v>
      </c>
      <c r="C9"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9" s="80"/>
      <c r="E9" s="125"/>
      <c r="F9" s="125"/>
      <c r="G9" s="69"/>
      <c r="H9"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9"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9"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9"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0" spans="2:13" x14ac:dyDescent="0.45">
      <c r="B10" s="97">
        <f>ROW()-ROW(INDEX(MATERIALES[],1,1))+1</f>
        <v>3</v>
      </c>
      <c r="C10"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0" s="80"/>
      <c r="E10" s="125"/>
      <c r="F10" s="125"/>
      <c r="G10" s="69"/>
      <c r="H10"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0"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0"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0"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1" spans="2:13" x14ac:dyDescent="0.45">
      <c r="B11" s="97">
        <f>ROW()-ROW(INDEX(MATERIALES[],1,1))+1</f>
        <v>4</v>
      </c>
      <c r="C11"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1" s="80"/>
      <c r="E11" s="125"/>
      <c r="F11" s="125"/>
      <c r="G11" s="69"/>
      <c r="H11"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1"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1"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1"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2" spans="2:13" x14ac:dyDescent="0.45">
      <c r="B12" s="97">
        <f>ROW()-ROW(INDEX(MATERIALES[],1,1))+1</f>
        <v>5</v>
      </c>
      <c r="C12"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2" s="80"/>
      <c r="E12" s="125"/>
      <c r="F12" s="125"/>
      <c r="G12" s="69"/>
      <c r="H12"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2"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2"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2"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3" spans="2:13" x14ac:dyDescent="0.45">
      <c r="B13" s="97">
        <f>ROW()-ROW(INDEX(MATERIALES[],1,1))+1</f>
        <v>6</v>
      </c>
      <c r="C13"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3" s="80"/>
      <c r="E13" s="125"/>
      <c r="F13" s="125"/>
      <c r="G13" s="69"/>
      <c r="H13"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3"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3"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3"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4" spans="2:13" x14ac:dyDescent="0.45">
      <c r="B14" s="97">
        <f>ROW()-ROW(INDEX(MATERIALES[],1,1))+1</f>
        <v>7</v>
      </c>
      <c r="C14"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4" s="80"/>
      <c r="E14" s="125"/>
      <c r="F14" s="125"/>
      <c r="G14" s="69"/>
      <c r="H14"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4"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4"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4"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5" spans="2:13" x14ac:dyDescent="0.45">
      <c r="B15" s="97">
        <f>ROW()-ROW(INDEX(MATERIALES[],1,1))+1</f>
        <v>8</v>
      </c>
      <c r="C15"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5" s="80"/>
      <c r="E15" s="125"/>
      <c r="F15" s="125"/>
      <c r="G15" s="69"/>
      <c r="H15"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5"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5"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5"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6" spans="2:13" x14ac:dyDescent="0.45">
      <c r="B16" s="97">
        <f>ROW()-ROW(INDEX(MATERIALES[],1,1))+1</f>
        <v>9</v>
      </c>
      <c r="C16"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6" s="80"/>
      <c r="E16" s="125"/>
      <c r="F16" s="125"/>
      <c r="G16" s="69"/>
      <c r="H16"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6"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6"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6"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7" spans="2:15" x14ac:dyDescent="0.45">
      <c r="B17" s="97">
        <f>ROW()-ROW(INDEX(MATERIALES[],1,1))+1</f>
        <v>10</v>
      </c>
      <c r="C17"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7" s="80"/>
      <c r="E17" s="125"/>
      <c r="F17" s="125"/>
      <c r="G17" s="69"/>
      <c r="H17"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7"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7"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7"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8" spans="2:15" x14ac:dyDescent="0.45">
      <c r="B18" s="97">
        <f>ROW()-ROW(INDEX(MATERIALES[],1,1))+1</f>
        <v>11</v>
      </c>
      <c r="C18"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8" s="80"/>
      <c r="E18" s="125"/>
      <c r="F18" s="125"/>
      <c r="G18" s="69"/>
      <c r="H18"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8"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8"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8"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9" spans="2:15" x14ac:dyDescent="0.45">
      <c r="B19" s="97">
        <f>ROW()-ROW(INDEX(MATERIALES[],1,1))+1</f>
        <v>12</v>
      </c>
      <c r="C19"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9" s="80"/>
      <c r="E19" s="125"/>
      <c r="F19" s="125"/>
      <c r="G19" s="69"/>
      <c r="H19"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9"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9"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9"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20" spans="2:15" x14ac:dyDescent="0.45">
      <c r="B20" s="97">
        <f>ROW()-ROW(INDEX(MATERIALES[],1,1))+1</f>
        <v>13</v>
      </c>
      <c r="C20"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20" s="80"/>
      <c r="E20" s="125"/>
      <c r="F20" s="125"/>
      <c r="G20" s="69"/>
      <c r="H20"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20"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20"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20"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21" spans="2:15" x14ac:dyDescent="0.45">
      <c r="B21" s="97">
        <f>ROW()-ROW(INDEX(MATERIALES[],1,1))+1</f>
        <v>14</v>
      </c>
      <c r="C21"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21" s="80"/>
      <c r="E21" s="125"/>
      <c r="F21" s="125"/>
      <c r="G21" s="69"/>
      <c r="H21"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21"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21"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21"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22" spans="2:15" x14ac:dyDescent="0.45">
      <c r="B22" s="97">
        <f>ROW()-ROW(INDEX(MATERIALES[],1,1))+1</f>
        <v>15</v>
      </c>
      <c r="C22"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22" s="80"/>
      <c r="E22" s="125"/>
      <c r="F22" s="125"/>
      <c r="G22" s="69"/>
      <c r="H22"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22"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22"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22"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24" spans="2:15" ht="19.899999999999999" thickBot="1" x14ac:dyDescent="0.65">
      <c r="B24" s="440" t="s">
        <v>1639</v>
      </c>
      <c r="C24" s="440"/>
      <c r="D24" s="440"/>
      <c r="E24" s="440"/>
      <c r="F24" s="440"/>
      <c r="G24" s="440"/>
      <c r="H24" s="440"/>
      <c r="I24" s="440"/>
      <c r="J24" s="440"/>
      <c r="K24" s="440"/>
      <c r="L24" s="440"/>
      <c r="M24" s="440"/>
    </row>
    <row r="25" spans="2:15" ht="30.75" customHeight="1" thickTop="1" x14ac:dyDescent="0.45">
      <c r="B25" s="448" t="s">
        <v>25</v>
      </c>
      <c r="C25" s="448"/>
      <c r="D25" s="448"/>
      <c r="E25" s="448"/>
      <c r="F25" s="448"/>
      <c r="G25" s="448"/>
      <c r="H25" s="448"/>
      <c r="I25" s="448"/>
      <c r="J25" s="448"/>
    </row>
    <row r="26" spans="2:15" ht="15" customHeight="1" x14ac:dyDescent="0.45">
      <c r="B26" s="170"/>
      <c r="C26" s="170"/>
      <c r="D26" s="170"/>
      <c r="E26" s="170"/>
      <c r="F26" s="170"/>
      <c r="G26" s="170"/>
      <c r="H26" s="170"/>
      <c r="I26" s="170"/>
      <c r="J26" s="170"/>
      <c r="K26" s="170"/>
      <c r="L26" s="170"/>
      <c r="M26" s="170"/>
    </row>
    <row r="27" spans="2:15" ht="8.25" customHeight="1" x14ac:dyDescent="0.45">
      <c r="B27" s="136"/>
      <c r="C27" s="41"/>
      <c r="E27" s="41"/>
    </row>
    <row r="28" spans="2:15" ht="42.75" x14ac:dyDescent="0.45">
      <c r="C28" s="102" t="s">
        <v>2</v>
      </c>
      <c r="D28" s="145" t="s">
        <v>4</v>
      </c>
      <c r="E28" s="159" t="s">
        <v>1</v>
      </c>
      <c r="F28" s="144" t="s">
        <v>5</v>
      </c>
      <c r="G28" s="145" t="s">
        <v>26</v>
      </c>
      <c r="H28" s="145" t="s">
        <v>7</v>
      </c>
      <c r="I28" s="145" t="s">
        <v>8</v>
      </c>
      <c r="J28" s="145" t="s">
        <v>27</v>
      </c>
      <c r="K28" s="145" t="s">
        <v>9</v>
      </c>
      <c r="L28" s="145" t="s">
        <v>10</v>
      </c>
      <c r="M28" s="145" t="s">
        <v>28</v>
      </c>
      <c r="O28" s="41"/>
    </row>
    <row r="29" spans="2:15" x14ac:dyDescent="0.45">
      <c r="C29" s="97" t="str">
        <f>IFERROR(IF((MATERIALES_USUARIO[[#This Row],[Material]]=Aux!$H$29)+(MATERIALES_USUARIO[[#This Row],[Material]]=Aux!$H$33),MATERIALES_USUARIO[[#This Row],[Material]],MATERIALES_USUARIO[[#This Row],[Material]]&amp;", "&amp;INDEX(Aux!$G$18:$G$19,MATCH(MATERIALES_USUARIO[[#This Row],[Propiedad térmica]],Aux!$H$18:$H$19,0))&amp;" = "&amp;MATERIALES_USUARIO[[#This Row],[Valor propiedad térmica]]&amp;" "&amp;INDEX(Aux!$I$18:$I$19,MATCH(MATERIALES_USUARIO[[#This Row],[Propiedad térmica]],Aux!$H$18:$H$19,0))&amp;", "&amp;INDEX(Aux!$G$20:$G$27,MATCH(MATERIALES_USUARIO[[#This Row],[Propiedad difusión de vapor]],Aux!$H$20:$H$27,0))&amp;" = "&amp;MATERIALES_USUARIO[[#This Row],[Valor propiedad difusión de vapor]]&amp;" "&amp;INDEX(Aux!$I$20:$I$27,MATCH(MATERIALES_USUARIO[[#This Row],[Propiedad difusión de vapor]],Aux!$H$20:$H$27,0))),"")</f>
        <v/>
      </c>
      <c r="D29" s="125"/>
      <c r="E29" s="98">
        <f>ROW()-ROW(INDEX(MATERIALES_USUARIO[],1,1))+1</f>
        <v>1</v>
      </c>
      <c r="F29" s="125"/>
      <c r="G29" s="125"/>
      <c r="H29" s="125"/>
      <c r="I29" s="125"/>
      <c r="J29" s="286"/>
      <c r="K29" s="125"/>
      <c r="L29" s="335"/>
      <c r="M29" s="286"/>
      <c r="N29" s="105"/>
    </row>
    <row r="30" spans="2:15" x14ac:dyDescent="0.45">
      <c r="C30" s="97" t="str">
        <f>IFERROR(IF((MATERIALES_USUARIO[[#This Row],[Material]]=Aux!$H$29)+(MATERIALES_USUARIO[[#This Row],[Material]]=Aux!$H$33),MATERIALES_USUARIO[[#This Row],[Material]],MATERIALES_USUARIO[[#This Row],[Material]]&amp;", "&amp;INDEX(Aux!$G$18:$G$19,MATCH(MATERIALES_USUARIO[[#This Row],[Propiedad térmica]],Aux!$H$18:$H$19,0))&amp;" = "&amp;MATERIALES_USUARIO[[#This Row],[Valor propiedad térmica]]&amp;" "&amp;INDEX(Aux!$I$18:$I$19,MATCH(MATERIALES_USUARIO[[#This Row],[Propiedad térmica]],Aux!$H$18:$H$19,0))&amp;", "&amp;INDEX(Aux!$G$20:$G$27,MATCH(MATERIALES_USUARIO[[#This Row],[Propiedad difusión de vapor]],Aux!$H$20:$H$27,0))&amp;" = "&amp;MATERIALES_USUARIO[[#This Row],[Valor propiedad difusión de vapor]]&amp;" "&amp;INDEX(Aux!$I$20:$I$27,MATCH(MATERIALES_USUARIO[[#This Row],[Propiedad difusión de vapor]],Aux!$H$20:$H$27,0))),"")</f>
        <v/>
      </c>
      <c r="D30" s="125"/>
      <c r="E30" s="98">
        <f>ROW()-ROW(INDEX(MATERIALES_USUARIO[],1,1))+1</f>
        <v>2</v>
      </c>
      <c r="F30" s="125"/>
      <c r="G30" s="125"/>
      <c r="H30" s="125"/>
      <c r="I30" s="125"/>
      <c r="J30" s="125"/>
      <c r="K30" s="125"/>
      <c r="L30" s="125"/>
      <c r="M30" s="125"/>
      <c r="N30" s="105"/>
    </row>
    <row r="31" spans="2:15" x14ac:dyDescent="0.45">
      <c r="C31" s="97" t="str">
        <f>IFERROR(IF((MATERIALES_USUARIO[[#This Row],[Material]]=Aux!$H$29)+(MATERIALES_USUARIO[[#This Row],[Material]]=Aux!$H$33),MATERIALES_USUARIO[[#This Row],[Material]],MATERIALES_USUARIO[[#This Row],[Material]]&amp;", "&amp;INDEX(Aux!$G$18:$G$19,MATCH(MATERIALES_USUARIO[[#This Row],[Propiedad térmica]],Aux!$H$18:$H$19,0))&amp;" = "&amp;MATERIALES_USUARIO[[#This Row],[Valor propiedad térmica]]&amp;" "&amp;INDEX(Aux!$I$18:$I$19,MATCH(MATERIALES_USUARIO[[#This Row],[Propiedad térmica]],Aux!$H$18:$H$19,0))&amp;", "&amp;INDEX(Aux!$G$20:$G$27,MATCH(MATERIALES_USUARIO[[#This Row],[Propiedad difusión de vapor]],Aux!$H$20:$H$27,0))&amp;" = "&amp;MATERIALES_USUARIO[[#This Row],[Valor propiedad difusión de vapor]]&amp;" "&amp;INDEX(Aux!$I$20:$I$27,MATCH(MATERIALES_USUARIO[[#This Row],[Propiedad difusión de vapor]],Aux!$H$20:$H$27,0))),"")</f>
        <v/>
      </c>
      <c r="D31" s="125"/>
      <c r="E31" s="98">
        <f>ROW()-ROW(INDEX(MATERIALES_USUARIO[],1,1))+1</f>
        <v>3</v>
      </c>
      <c r="F31" s="125"/>
      <c r="G31" s="125"/>
      <c r="H31" s="125"/>
      <c r="I31" s="125"/>
      <c r="J31" s="125"/>
      <c r="K31" s="125"/>
      <c r="L31" s="125"/>
      <c r="M31" s="125"/>
      <c r="N31" s="105"/>
    </row>
    <row r="32" spans="2:15" x14ac:dyDescent="0.45">
      <c r="C32" s="97" t="str">
        <f>IFERROR(IF((MATERIALES_USUARIO[[#This Row],[Material]]=Aux!$H$29)+(MATERIALES_USUARIO[[#This Row],[Material]]=Aux!$H$33),MATERIALES_USUARIO[[#This Row],[Material]],MATERIALES_USUARIO[[#This Row],[Material]]&amp;", "&amp;INDEX(Aux!$G$18:$G$19,MATCH(MATERIALES_USUARIO[[#This Row],[Propiedad térmica]],Aux!$H$18:$H$19,0))&amp;" = "&amp;MATERIALES_USUARIO[[#This Row],[Valor propiedad térmica]]&amp;" "&amp;INDEX(Aux!$I$18:$I$19,MATCH(MATERIALES_USUARIO[[#This Row],[Propiedad térmica]],Aux!$H$18:$H$19,0))&amp;", "&amp;INDEX(Aux!$G$20:$G$27,MATCH(MATERIALES_USUARIO[[#This Row],[Propiedad difusión de vapor]],Aux!$H$20:$H$27,0))&amp;" = "&amp;MATERIALES_USUARIO[[#This Row],[Valor propiedad difusión de vapor]]&amp;" "&amp;INDEX(Aux!$I$20:$I$27,MATCH(MATERIALES_USUARIO[[#This Row],[Propiedad difusión de vapor]],Aux!$H$20:$H$27,0))),"")</f>
        <v/>
      </c>
      <c r="D32" s="125"/>
      <c r="E32" s="98">
        <f>ROW()-ROW(INDEX(MATERIALES_USUARIO[],1,1))+1</f>
        <v>4</v>
      </c>
      <c r="F32" s="125"/>
      <c r="G32" s="125"/>
      <c r="H32" s="125"/>
      <c r="I32" s="125"/>
      <c r="J32" s="125"/>
      <c r="K32" s="125"/>
      <c r="L32" s="125"/>
      <c r="M32" s="125"/>
      <c r="N32" s="105"/>
    </row>
    <row r="33" spans="2:14" x14ac:dyDescent="0.45">
      <c r="C33" s="97" t="str">
        <f>IFERROR(IF((MATERIALES_USUARIO[[#This Row],[Material]]=Aux!$H$29)+(MATERIALES_USUARIO[[#This Row],[Material]]=Aux!$H$33),MATERIALES_USUARIO[[#This Row],[Material]],MATERIALES_USUARIO[[#This Row],[Material]]&amp;", "&amp;INDEX(Aux!$G$18:$G$19,MATCH(MATERIALES_USUARIO[[#This Row],[Propiedad térmica]],Aux!$H$18:$H$19,0))&amp;" = "&amp;MATERIALES_USUARIO[[#This Row],[Valor propiedad térmica]]&amp;" "&amp;INDEX(Aux!$I$18:$I$19,MATCH(MATERIALES_USUARIO[[#This Row],[Propiedad térmica]],Aux!$H$18:$H$19,0))&amp;", "&amp;INDEX(Aux!$G$20:$G$27,MATCH(MATERIALES_USUARIO[[#This Row],[Propiedad difusión de vapor]],Aux!$H$20:$H$27,0))&amp;" = "&amp;MATERIALES_USUARIO[[#This Row],[Valor propiedad difusión de vapor]]&amp;" "&amp;INDEX(Aux!$I$20:$I$27,MATCH(MATERIALES_USUARIO[[#This Row],[Propiedad difusión de vapor]],Aux!$H$20:$H$27,0))),"")</f>
        <v/>
      </c>
      <c r="D33" s="125"/>
      <c r="E33" s="98">
        <f>ROW()-ROW(INDEX(MATERIALES_USUARIO[],1,1))+1</f>
        <v>5</v>
      </c>
      <c r="F33" s="125"/>
      <c r="G33" s="125"/>
      <c r="H33" s="125"/>
      <c r="I33" s="125"/>
      <c r="J33" s="125"/>
      <c r="K33" s="125"/>
      <c r="L33" s="125"/>
      <c r="M33" s="125"/>
      <c r="N33" s="105"/>
    </row>
    <row r="34" spans="2:14" x14ac:dyDescent="0.45">
      <c r="C34" s="132"/>
      <c r="D34" s="132"/>
      <c r="E34" s="133"/>
      <c r="F34" s="133"/>
      <c r="G34" s="133"/>
      <c r="H34" s="133"/>
      <c r="I34" s="134"/>
      <c r="J34" s="133"/>
      <c r="K34" s="133"/>
      <c r="L34" s="135"/>
    </row>
    <row r="35" spans="2:14" ht="19.899999999999999" thickBot="1" x14ac:dyDescent="0.65">
      <c r="B35" s="440" t="s">
        <v>32</v>
      </c>
      <c r="C35" s="440"/>
      <c r="D35" s="440"/>
      <c r="E35" s="440"/>
      <c r="F35" s="440"/>
      <c r="G35" s="440"/>
      <c r="H35" s="440"/>
      <c r="I35" s="440"/>
      <c r="J35" s="440"/>
      <c r="K35" s="440"/>
      <c r="L35" s="440"/>
      <c r="M35" s="440"/>
    </row>
    <row r="36" spans="2:14" ht="20.25" customHeight="1" thickTop="1" x14ac:dyDescent="0.45">
      <c r="B36" s="446" t="s">
        <v>1816</v>
      </c>
      <c r="C36" s="446"/>
      <c r="D36" s="446"/>
      <c r="E36" s="446"/>
      <c r="F36" s="446"/>
      <c r="G36" s="446"/>
      <c r="H36" s="446"/>
      <c r="I36" s="446"/>
      <c r="J36" s="446"/>
      <c r="K36" s="446"/>
      <c r="L36" s="446"/>
      <c r="M36" s="446"/>
    </row>
    <row r="37" spans="2:14" ht="7.5" customHeight="1" x14ac:dyDescent="0.6">
      <c r="B37" s="136"/>
      <c r="C37" s="94"/>
      <c r="D37" s="94"/>
      <c r="E37" s="94"/>
      <c r="F37" s="94"/>
      <c r="G37" s="94"/>
      <c r="H37" s="94"/>
      <c r="I37" s="94"/>
      <c r="J37" s="94"/>
      <c r="K37" s="95"/>
    </row>
    <row r="38" spans="2:14" ht="42.75" x14ac:dyDescent="0.45">
      <c r="C38" s="96" t="s">
        <v>2</v>
      </c>
      <c r="D38" s="145" t="s">
        <v>4</v>
      </c>
      <c r="E38" s="159" t="s">
        <v>1</v>
      </c>
      <c r="F38" s="160" t="s">
        <v>5</v>
      </c>
      <c r="G38" s="129" t="s">
        <v>26</v>
      </c>
      <c r="H38" s="129" t="s">
        <v>7</v>
      </c>
      <c r="I38" s="129" t="s">
        <v>8</v>
      </c>
      <c r="J38" s="129" t="s">
        <v>9</v>
      </c>
      <c r="K38" s="129" t="s">
        <v>10</v>
      </c>
      <c r="L38" s="161" t="s">
        <v>33</v>
      </c>
    </row>
    <row r="39" spans="2:14" x14ac:dyDescent="0.45">
      <c r="C39"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Adhesivo EIFS, R = 0 [m²K/W], μ = 60 []</v>
      </c>
      <c r="D39" s="97"/>
      <c r="E39" s="97">
        <f>ROW()-ROW(INDEX(MATERIALES_DITEC[],1,1))+1</f>
        <v>1</v>
      </c>
      <c r="F39" s="98" t="s">
        <v>19</v>
      </c>
      <c r="G39" s="70">
        <v>1E-3</v>
      </c>
      <c r="H39" s="70" t="s">
        <v>12</v>
      </c>
      <c r="I39" s="70">
        <v>0</v>
      </c>
      <c r="J39" s="70" t="s">
        <v>30</v>
      </c>
      <c r="K39" s="419">
        <v>60</v>
      </c>
      <c r="L39" s="212" t="s">
        <v>1187</v>
      </c>
    </row>
    <row r="40" spans="2:14" x14ac:dyDescent="0.45">
      <c r="C40"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Adobe de celulosa, 72% celulosa, 14% viruta y 14% arcilla ρ = 584 kg/m³, λ = 0,181 [W/mK], μ = 10,84 []</v>
      </c>
      <c r="D40" s="416"/>
      <c r="E40" s="417">
        <f>ROW()-ROW(INDEX(MATERIALES_DITEC[],1,1))+1</f>
        <v>2</v>
      </c>
      <c r="F40" s="98" t="s">
        <v>1851</v>
      </c>
      <c r="G40" s="70">
        <v>2.5000000000000001E-3</v>
      </c>
      <c r="H40" s="70" t="s">
        <v>29</v>
      </c>
      <c r="I40" s="70">
        <v>0.18099999999999999</v>
      </c>
      <c r="J40" s="70" t="s">
        <v>30</v>
      </c>
      <c r="K40" s="419">
        <v>10.84</v>
      </c>
      <c r="L40" s="212"/>
    </row>
    <row r="41" spans="2:14" x14ac:dyDescent="0.45">
      <c r="C41"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Cáscara de ladrillo hecho a máquina Princesa, λ = 0,252 [W/mK], μ = 140 []</v>
      </c>
      <c r="D41" s="416"/>
      <c r="E41" s="417">
        <f>ROW()-ROW(INDEX(MATERIALES_DITEC[],1,1))+1</f>
        <v>3</v>
      </c>
      <c r="F41" s="98" t="s">
        <v>1850</v>
      </c>
      <c r="G41" s="70">
        <v>8.9999999999999993E-3</v>
      </c>
      <c r="H41" s="70" t="s">
        <v>29</v>
      </c>
      <c r="I41" s="70">
        <v>0.252</v>
      </c>
      <c r="J41" s="70" t="s">
        <v>30</v>
      </c>
      <c r="K41" s="419">
        <v>140</v>
      </c>
      <c r="L41" s="212"/>
    </row>
    <row r="42" spans="2:14" x14ac:dyDescent="0.45">
      <c r="C42"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Celulosa proyectada ρ = 75 kg/m³, λ = 0,04 [W/mK], μ = 3 []</v>
      </c>
      <c r="D42" s="97" t="s">
        <v>34</v>
      </c>
      <c r="E42" s="97">
        <f>ROW()-ROW(INDEX(MATERIALES_DITEC[],1,1))+1</f>
        <v>4</v>
      </c>
      <c r="F42" s="98" t="s">
        <v>1779</v>
      </c>
      <c r="G42" s="70">
        <v>4.3999999999999997E-2</v>
      </c>
      <c r="H42" s="70" t="s">
        <v>29</v>
      </c>
      <c r="I42" s="70">
        <v>0.04</v>
      </c>
      <c r="J42" s="70" t="s">
        <v>30</v>
      </c>
      <c r="K42" s="419">
        <v>3</v>
      </c>
      <c r="L42" s="137"/>
    </row>
    <row r="43" spans="2:14" x14ac:dyDescent="0.45">
      <c r="C43"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Corcho aglomerado ρ = 105-125 kg/m³, λ = 0,046 [W/mK], μ = 16 []</v>
      </c>
      <c r="D43" s="97" t="s">
        <v>34</v>
      </c>
      <c r="E43" s="97">
        <f>ROW()-ROW(INDEX(MATERIALES_DITEC[],1,1))+1</f>
        <v>5</v>
      </c>
      <c r="F43" s="98" t="s">
        <v>35</v>
      </c>
      <c r="G43" s="70">
        <v>0.04</v>
      </c>
      <c r="H43" s="70" t="s">
        <v>29</v>
      </c>
      <c r="I43" s="70">
        <v>4.5999999999999999E-2</v>
      </c>
      <c r="J43" s="70" t="s">
        <v>30</v>
      </c>
      <c r="K43" s="419">
        <v>16</v>
      </c>
      <c r="L43" s="137" t="s">
        <v>36</v>
      </c>
    </row>
    <row r="44" spans="2:14" x14ac:dyDescent="0.45">
      <c r="C44"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Enchape cerámico, λ = 1,75 [W/mK], μ = 308 []</v>
      </c>
      <c r="D44" s="97" t="s">
        <v>37</v>
      </c>
      <c r="E44" s="97">
        <f>ROW()-ROW(INDEX(MATERIALES_DITEC[],1,1))+1</f>
        <v>6</v>
      </c>
      <c r="F44" s="98" t="s">
        <v>38</v>
      </c>
      <c r="G44" s="70">
        <v>1.2999999999999999E-2</v>
      </c>
      <c r="H44" s="70" t="s">
        <v>29</v>
      </c>
      <c r="I44" s="70">
        <v>1.75</v>
      </c>
      <c r="J44" s="70" t="s">
        <v>30</v>
      </c>
      <c r="K44" s="419">
        <v>308</v>
      </c>
      <c r="L44" s="137" t="s">
        <v>36</v>
      </c>
    </row>
    <row r="45" spans="2:14" x14ac:dyDescent="0.45">
      <c r="C45"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Enchape de madera contrachapada con resina fenólica ρ = 595 kg/m³, λ = 0,23 [W/mK], μ = 134 []</v>
      </c>
      <c r="D45" s="97" t="s">
        <v>37</v>
      </c>
      <c r="E45" s="97">
        <f>ROW()-ROW(INDEX(MATERIALES_DITEC[],1,1))+1</f>
        <v>7</v>
      </c>
      <c r="F45" s="98" t="s">
        <v>39</v>
      </c>
      <c r="G45" s="70">
        <v>3.0000000000000001E-3</v>
      </c>
      <c r="H45" s="70" t="s">
        <v>29</v>
      </c>
      <c r="I45" s="70">
        <v>0.23</v>
      </c>
      <c r="J45" s="70" t="s">
        <v>30</v>
      </c>
      <c r="K45" s="419">
        <v>134</v>
      </c>
      <c r="L45" s="137" t="s">
        <v>36</v>
      </c>
    </row>
    <row r="46" spans="2:14" x14ac:dyDescent="0.45">
      <c r="C46"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Enchape de madera contrachapada con resina ureica ρ = 635 kg/m³, λ = 0,23 [W/mK], μ = 207 []</v>
      </c>
      <c r="D46" s="97" t="s">
        <v>37</v>
      </c>
      <c r="E46" s="97">
        <f>ROW()-ROW(INDEX(MATERIALES_DITEC[],1,1))+1</f>
        <v>8</v>
      </c>
      <c r="F46" s="98" t="s">
        <v>40</v>
      </c>
      <c r="G46" s="70">
        <v>3.0000000000000001E-3</v>
      </c>
      <c r="H46" s="70" t="s">
        <v>29</v>
      </c>
      <c r="I46" s="70">
        <v>0.23</v>
      </c>
      <c r="J46" s="70" t="s">
        <v>30</v>
      </c>
      <c r="K46" s="419">
        <v>207</v>
      </c>
      <c r="L46" s="137" t="s">
        <v>36</v>
      </c>
    </row>
    <row r="47" spans="2:14" x14ac:dyDescent="0.45">
      <c r="C47"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EPS ρ = 10 kg/m³ - archipex, λ = 0,043 [W/mK], μ = 31 []</v>
      </c>
      <c r="D47" s="97" t="s">
        <v>34</v>
      </c>
      <c r="E47" s="97">
        <f>ROW()-ROW(INDEX(MATERIALES_DITEC[],1,1))+1</f>
        <v>9</v>
      </c>
      <c r="F47" s="98" t="s">
        <v>41</v>
      </c>
      <c r="G47" s="70">
        <v>0.05</v>
      </c>
      <c r="H47" s="70" t="s">
        <v>29</v>
      </c>
      <c r="I47" s="70">
        <v>4.2999999999999997E-2</v>
      </c>
      <c r="J47" s="70" t="s">
        <v>30</v>
      </c>
      <c r="K47" s="419">
        <v>31</v>
      </c>
      <c r="L47" s="137" t="s">
        <v>36</v>
      </c>
    </row>
    <row r="48" spans="2:14" x14ac:dyDescent="0.45">
      <c r="C48"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EPS ρ = 15 kg/m³ - archipex, λ = 0,0413 [W/mK], μ = 35 []</v>
      </c>
      <c r="D48" s="97" t="s">
        <v>34</v>
      </c>
      <c r="E48" s="97">
        <f>ROW()-ROW(INDEX(MATERIALES_DITEC[],1,1))+1</f>
        <v>10</v>
      </c>
      <c r="F48" s="98" t="s">
        <v>17</v>
      </c>
      <c r="G48" s="70">
        <v>0.05</v>
      </c>
      <c r="H48" s="70" t="s">
        <v>29</v>
      </c>
      <c r="I48" s="70">
        <v>4.1300000000000003E-2</v>
      </c>
      <c r="J48" s="70" t="s">
        <v>30</v>
      </c>
      <c r="K48" s="419">
        <v>35</v>
      </c>
      <c r="L48" s="137" t="s">
        <v>36</v>
      </c>
    </row>
    <row r="49" spans="3:12" x14ac:dyDescent="0.45">
      <c r="C49"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EPS ρ = 20 kg/m³ - archipex, λ = 0,0384 [W/mK], μ = 38 []</v>
      </c>
      <c r="D49" s="97" t="s">
        <v>34</v>
      </c>
      <c r="E49" s="97">
        <f>ROW()-ROW(INDEX(MATERIALES_DITEC[],1,1))+1</f>
        <v>11</v>
      </c>
      <c r="F49" s="98" t="s">
        <v>42</v>
      </c>
      <c r="G49" s="70">
        <v>0.05</v>
      </c>
      <c r="H49" s="70" t="s">
        <v>29</v>
      </c>
      <c r="I49" s="70">
        <v>3.8399999999999997E-2</v>
      </c>
      <c r="J49" s="70" t="s">
        <v>30</v>
      </c>
      <c r="K49" s="419">
        <v>38</v>
      </c>
      <c r="L49" s="137" t="s">
        <v>36</v>
      </c>
    </row>
    <row r="50" spans="3:12" x14ac:dyDescent="0.45">
      <c r="C50"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EPS ρ = 25 kg/m³ - archipex, λ = 0,0384 [W/mK], μ = 46 []</v>
      </c>
      <c r="D50" s="97" t="s">
        <v>34</v>
      </c>
      <c r="E50" s="97">
        <f>ROW()-ROW(INDEX(MATERIALES_DITEC[],1,1))+1</f>
        <v>12</v>
      </c>
      <c r="F50" s="98" t="s">
        <v>43</v>
      </c>
      <c r="G50" s="70">
        <v>0.05</v>
      </c>
      <c r="H50" s="70" t="s">
        <v>29</v>
      </c>
      <c r="I50" s="70">
        <v>3.8399999999999997E-2</v>
      </c>
      <c r="J50" s="70" t="s">
        <v>30</v>
      </c>
      <c r="K50" s="419">
        <v>46</v>
      </c>
      <c r="L50" s="137" t="s">
        <v>36</v>
      </c>
    </row>
    <row r="51" spans="3:12" x14ac:dyDescent="0.45">
      <c r="C51"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EPS ρ = 30 kg/m³ - archipex, λ = 0,0361 [W/mK], μ = 55 []</v>
      </c>
      <c r="D51" s="97" t="s">
        <v>34</v>
      </c>
      <c r="E51" s="97">
        <f>ROW()-ROW(INDEX(MATERIALES_DITEC[],1,1))+1</f>
        <v>13</v>
      </c>
      <c r="F51" s="98" t="s">
        <v>44</v>
      </c>
      <c r="G51" s="70">
        <v>0.05</v>
      </c>
      <c r="H51" s="70" t="s">
        <v>29</v>
      </c>
      <c r="I51" s="70">
        <v>3.61E-2</v>
      </c>
      <c r="J51" s="70" t="s">
        <v>30</v>
      </c>
      <c r="K51" s="419">
        <v>55</v>
      </c>
      <c r="L51" s="137" t="s">
        <v>36</v>
      </c>
    </row>
    <row r="52" spans="3:12" x14ac:dyDescent="0.45">
      <c r="C52"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Espuma niveladora, R = 0 [m²K/W], μ = 3029 []</v>
      </c>
      <c r="D52" s="97" t="s">
        <v>34</v>
      </c>
      <c r="E52" s="97">
        <f>ROW()-ROW(INDEX(MATERIALES_DITEC[],1,1))+1</f>
        <v>14</v>
      </c>
      <c r="F52" s="98" t="s">
        <v>45</v>
      </c>
      <c r="G52" s="70">
        <v>2E-3</v>
      </c>
      <c r="H52" s="70" t="s">
        <v>12</v>
      </c>
      <c r="I52" s="70">
        <v>0</v>
      </c>
      <c r="J52" s="70" t="s">
        <v>30</v>
      </c>
      <c r="K52" s="419">
        <v>3029</v>
      </c>
      <c r="L52" s="212" t="s">
        <v>1187</v>
      </c>
    </row>
    <row r="53" spans="3:12" x14ac:dyDescent="0.45">
      <c r="C53"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Estuco EIFS, R = 0 [m²K/W], μ = 13 []</v>
      </c>
      <c r="D53" s="97"/>
      <c r="E53" s="97">
        <f>ROW()-ROW(INDEX(MATERIALES_DITEC[],1,1))+1</f>
        <v>15</v>
      </c>
      <c r="F53" s="98" t="s">
        <v>20</v>
      </c>
      <c r="G53" s="70">
        <v>3.0000000000000001E-3</v>
      </c>
      <c r="H53" s="70" t="s">
        <v>12</v>
      </c>
      <c r="I53" s="70">
        <v>0</v>
      </c>
      <c r="J53" s="70" t="s">
        <v>30</v>
      </c>
      <c r="K53" s="419">
        <v>13</v>
      </c>
      <c r="L53" s="212" t="s">
        <v>1187</v>
      </c>
    </row>
    <row r="54" spans="3:12" x14ac:dyDescent="0.45">
      <c r="C54"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Estuco cemento (18% agua), λ = 1,4 [W/mK], μ = 32 []</v>
      </c>
      <c r="D54" s="97"/>
      <c r="E54" s="97">
        <f>ROW()-ROW(INDEX(MATERIALES_DITEC[],1,1))+1</f>
        <v>16</v>
      </c>
      <c r="F54" s="98" t="s">
        <v>46</v>
      </c>
      <c r="G54" s="70">
        <v>1.2999999999999999E-2</v>
      </c>
      <c r="H54" s="70" t="s">
        <v>29</v>
      </c>
      <c r="I54" s="70">
        <v>1.4</v>
      </c>
      <c r="J54" s="70" t="s">
        <v>30</v>
      </c>
      <c r="K54" s="419">
        <v>32</v>
      </c>
      <c r="L54" s="137" t="s">
        <v>36</v>
      </c>
    </row>
    <row r="55" spans="3:12" x14ac:dyDescent="0.45">
      <c r="C55"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Fibra de poliéster ρ = 8 kg/m³, λ = 0,06 [W/mK], μ = 2 []</v>
      </c>
      <c r="D55" s="97" t="s">
        <v>34</v>
      </c>
      <c r="E55" s="97">
        <f>ROW()-ROW(INDEX(MATERIALES_DITEC[],1,1))+1</f>
        <v>17</v>
      </c>
      <c r="F55" s="98" t="s">
        <v>47</v>
      </c>
      <c r="G55" s="70">
        <v>5.5E-2</v>
      </c>
      <c r="H55" s="70" t="s">
        <v>29</v>
      </c>
      <c r="I55" s="70">
        <v>0.06</v>
      </c>
      <c r="J55" s="70" t="s">
        <v>30</v>
      </c>
      <c r="K55" s="419">
        <v>2</v>
      </c>
      <c r="L55" s="137" t="s">
        <v>36</v>
      </c>
    </row>
    <row r="56" spans="3:12" x14ac:dyDescent="0.45">
      <c r="C56"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Fibrocemento ρ = 1250 kg/m³, λ = 0,23 [W/mK], μ = 194 []</v>
      </c>
      <c r="D56" s="97" t="s">
        <v>37</v>
      </c>
      <c r="E56" s="97">
        <f>ROW()-ROW(INDEX(MATERIALES_DITEC[],1,1))+1</f>
        <v>18</v>
      </c>
      <c r="F56" s="98" t="s">
        <v>48</v>
      </c>
      <c r="G56" s="70">
        <v>6.0000000000000001E-3</v>
      </c>
      <c r="H56" s="70" t="s">
        <v>29</v>
      </c>
      <c r="I56" s="70">
        <v>0.23</v>
      </c>
      <c r="J56" s="70" t="s">
        <v>30</v>
      </c>
      <c r="K56" s="419">
        <v>194</v>
      </c>
      <c r="L56" s="137" t="s">
        <v>36</v>
      </c>
    </row>
    <row r="57" spans="3:12" x14ac:dyDescent="0.45">
      <c r="C57"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Fibrocemento ρ = 1350 kg/m³, λ = 0,23 [W/mK], μ = 200 []</v>
      </c>
      <c r="D57" s="97" t="s">
        <v>37</v>
      </c>
      <c r="E57" s="97">
        <f>ROW()-ROW(INDEX(MATERIALES_DITEC[],1,1))+1</f>
        <v>19</v>
      </c>
      <c r="F57" s="98" t="s">
        <v>22</v>
      </c>
      <c r="G57" s="70">
        <v>8.0000000000000002E-3</v>
      </c>
      <c r="H57" s="70" t="s">
        <v>29</v>
      </c>
      <c r="I57" s="70">
        <v>0.23</v>
      </c>
      <c r="J57" s="70" t="s">
        <v>30</v>
      </c>
      <c r="K57" s="419">
        <v>200</v>
      </c>
      <c r="L57" s="137" t="s">
        <v>36</v>
      </c>
    </row>
    <row r="58" spans="3:12" x14ac:dyDescent="0.45">
      <c r="C58"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Fibrocemento Volcanboard, λ = 0,23 [W/mK], μ = 117,72 []</v>
      </c>
      <c r="D58" s="416"/>
      <c r="E58" s="417">
        <f>ROW()-ROW(INDEX(MATERIALES_DITEC[],1,1))+1</f>
        <v>20</v>
      </c>
      <c r="F58" s="98" t="s">
        <v>1844</v>
      </c>
      <c r="G58" s="70">
        <v>6.0000000000000001E-3</v>
      </c>
      <c r="H58" s="70" t="s">
        <v>29</v>
      </c>
      <c r="I58" s="70">
        <v>0.23</v>
      </c>
      <c r="J58" s="70" t="s">
        <v>30</v>
      </c>
      <c r="K58" s="419">
        <v>117.72</v>
      </c>
      <c r="L58" s="137" t="s">
        <v>36</v>
      </c>
    </row>
    <row r="59" spans="3:12" x14ac:dyDescent="0.45">
      <c r="C59"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Fibrocemento Simplísima - Cedral ETEX, λ = 0,23 [W/mK], μ = 321 []</v>
      </c>
      <c r="D59" s="416"/>
      <c r="E59" s="417">
        <f>ROW()-ROW(INDEX(MATERIALES_DITEC[],1,1))+1</f>
        <v>21</v>
      </c>
      <c r="F59" s="98" t="s">
        <v>1849</v>
      </c>
      <c r="G59" s="70">
        <v>6.0000000000000001E-3</v>
      </c>
      <c r="H59" s="70" t="s">
        <v>29</v>
      </c>
      <c r="I59" s="70">
        <v>0.23</v>
      </c>
      <c r="J59" s="70" t="s">
        <v>30</v>
      </c>
      <c r="K59" s="419">
        <v>321</v>
      </c>
      <c r="L59" s="137" t="s">
        <v>36</v>
      </c>
    </row>
    <row r="60" spans="3:12" x14ac:dyDescent="0.45">
      <c r="C60"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Fieltro M-1: 10-40, R = 0 [m²K/W], μ = 536 []</v>
      </c>
      <c r="D60" s="97" t="s">
        <v>49</v>
      </c>
      <c r="E60" s="97">
        <f>ROW()-ROW(INDEX(MATERIALES_DITEC[],1,1))+1</f>
        <v>22</v>
      </c>
      <c r="F60" s="98" t="s">
        <v>50</v>
      </c>
      <c r="G60" s="70">
        <v>2.7E-4</v>
      </c>
      <c r="H60" s="70" t="s">
        <v>12</v>
      </c>
      <c r="I60" s="70">
        <v>0</v>
      </c>
      <c r="J60" s="70" t="s">
        <v>30</v>
      </c>
      <c r="K60" s="419">
        <v>536</v>
      </c>
      <c r="L60" s="212" t="s">
        <v>1187</v>
      </c>
    </row>
    <row r="61" spans="3:12" x14ac:dyDescent="0.45">
      <c r="C61"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Fieltro M-2: 15-40 (N°15), R = 0 [m²K/W], μ = 365 []</v>
      </c>
      <c r="D61" s="97" t="s">
        <v>49</v>
      </c>
      <c r="E61" s="97">
        <f>ROW()-ROW(INDEX(MATERIALES_DITEC[],1,1))+1</f>
        <v>23</v>
      </c>
      <c r="F61" s="98" t="s">
        <v>51</v>
      </c>
      <c r="G61" s="70">
        <v>3.3E-4</v>
      </c>
      <c r="H61" s="70" t="s">
        <v>12</v>
      </c>
      <c r="I61" s="70">
        <v>0</v>
      </c>
      <c r="J61" s="70" t="s">
        <v>30</v>
      </c>
      <c r="K61" s="419">
        <v>365</v>
      </c>
      <c r="L61" s="212" t="s">
        <v>1187</v>
      </c>
    </row>
    <row r="62" spans="3:12" x14ac:dyDescent="0.45">
      <c r="C62"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Fieltro M-3: 15 Libras, R = 0 [m²K/W], μ = 294 []</v>
      </c>
      <c r="D62" s="97" t="s">
        <v>49</v>
      </c>
      <c r="E62" s="97">
        <f>ROW()-ROW(INDEX(MATERIALES_DITEC[],1,1))+1</f>
        <v>24</v>
      </c>
      <c r="F62" s="98" t="s">
        <v>52</v>
      </c>
      <c r="G62" s="70">
        <v>3.6999999999999999E-4</v>
      </c>
      <c r="H62" s="70" t="s">
        <v>12</v>
      </c>
      <c r="I62" s="70">
        <v>0</v>
      </c>
      <c r="J62" s="70" t="s">
        <v>30</v>
      </c>
      <c r="K62" s="419">
        <v>294</v>
      </c>
      <c r="L62" s="212" t="s">
        <v>1187</v>
      </c>
    </row>
    <row r="63" spans="3:12" x14ac:dyDescent="0.45">
      <c r="C63"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Hormigón premezclado H20 (3L agua por saco) ρ = 2100 kg/m³, λ = 1,63 [W/mK], μ = 44 []</v>
      </c>
      <c r="D63" s="97"/>
      <c r="E63" s="97">
        <f>ROW()-ROW(INDEX(MATERIALES_DITEC[],1,1))+1</f>
        <v>25</v>
      </c>
      <c r="F63" s="98" t="s">
        <v>18</v>
      </c>
      <c r="G63" s="70">
        <v>1.7999999999999999E-2</v>
      </c>
      <c r="H63" s="70" t="s">
        <v>29</v>
      </c>
      <c r="I63" s="70">
        <v>1.63</v>
      </c>
      <c r="J63" s="70" t="s">
        <v>30</v>
      </c>
      <c r="K63" s="419">
        <v>44</v>
      </c>
      <c r="L63" s="137" t="s">
        <v>36</v>
      </c>
    </row>
    <row r="64" spans="3:12" x14ac:dyDescent="0.45">
      <c r="C64"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Impermeabilizante, R = 0 [m²K/W], μ = 4545 []</v>
      </c>
      <c r="D64" s="97"/>
      <c r="E64" s="97">
        <f>ROW()-ROW(INDEX(MATERIALES_DITEC[],1,1))+1</f>
        <v>26</v>
      </c>
      <c r="F64" s="98" t="s">
        <v>53</v>
      </c>
      <c r="G64" s="70">
        <v>1E-4</v>
      </c>
      <c r="H64" s="70" t="s">
        <v>12</v>
      </c>
      <c r="I64" s="70">
        <v>0</v>
      </c>
      <c r="J64" s="70" t="s">
        <v>30</v>
      </c>
      <c r="K64" s="419">
        <v>4545</v>
      </c>
      <c r="L64" s="212" t="s">
        <v>1187</v>
      </c>
    </row>
    <row r="65" spans="3:12" x14ac:dyDescent="0.45">
      <c r="C65"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Klober, R = 0 [m²K/W], μ = 549 []</v>
      </c>
      <c r="D65" s="97" t="s">
        <v>49</v>
      </c>
      <c r="E65" s="97">
        <f>ROW()-ROW(INDEX(MATERIALES_DITEC[],1,1))+1</f>
        <v>27</v>
      </c>
      <c r="F65" s="98" t="s">
        <v>54</v>
      </c>
      <c r="G65" s="70">
        <v>1.75E-4</v>
      </c>
      <c r="H65" s="70" t="s">
        <v>12</v>
      </c>
      <c r="I65" s="70">
        <v>0</v>
      </c>
      <c r="J65" s="70" t="s">
        <v>30</v>
      </c>
      <c r="K65" s="419">
        <v>549</v>
      </c>
      <c r="L65" s="212" t="s">
        <v>1187</v>
      </c>
    </row>
    <row r="66" spans="3:12" x14ac:dyDescent="0.45">
      <c r="C66"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Ladrillo fiscal ρ = 1500 kg/m³, λ = 0,5 [W/mK], μ = 9 []</v>
      </c>
      <c r="D66" s="97"/>
      <c r="E66" s="97">
        <f>ROW()-ROW(INDEX(MATERIALES_DITEC[],1,1))+1</f>
        <v>28</v>
      </c>
      <c r="F66" s="98" t="s">
        <v>55</v>
      </c>
      <c r="G66" s="70">
        <v>4.5999999999999999E-2</v>
      </c>
      <c r="H66" s="70" t="s">
        <v>29</v>
      </c>
      <c r="I66" s="70">
        <v>0.5</v>
      </c>
      <c r="J66" s="70" t="s">
        <v>30</v>
      </c>
      <c r="K66" s="419">
        <v>9</v>
      </c>
      <c r="L66" s="137" t="s">
        <v>36</v>
      </c>
    </row>
    <row r="67" spans="3:12" x14ac:dyDescent="0.45">
      <c r="C67"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Lana de oveja ρ = 12 kg/m³, λ = 0,043 [W/mK], μ = 2 []</v>
      </c>
      <c r="D67" s="97" t="s">
        <v>34</v>
      </c>
      <c r="E67" s="97">
        <f>ROW()-ROW(INDEX(MATERIALES_DITEC[],1,1))+1</f>
        <v>29</v>
      </c>
      <c r="F67" s="98" t="s">
        <v>56</v>
      </c>
      <c r="G67" s="70">
        <v>0.05</v>
      </c>
      <c r="H67" s="70" t="s">
        <v>29</v>
      </c>
      <c r="I67" s="70">
        <v>4.2999999999999997E-2</v>
      </c>
      <c r="J67" s="70" t="s">
        <v>30</v>
      </c>
      <c r="K67" s="419">
        <v>2</v>
      </c>
      <c r="L67" s="137" t="s">
        <v>36</v>
      </c>
    </row>
    <row r="68" spans="3:12" x14ac:dyDescent="0.45">
      <c r="C68"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Lana de vidrio ρ = 11 kg/m³, λ = 0,042 [W/mK], μ = 5 []</v>
      </c>
      <c r="D68" s="97" t="s">
        <v>34</v>
      </c>
      <c r="E68" s="97">
        <f>ROW()-ROW(INDEX(MATERIALES_DITEC[],1,1))+1</f>
        <v>30</v>
      </c>
      <c r="F68" s="98" t="s">
        <v>1780</v>
      </c>
      <c r="G68" s="70">
        <v>0.05</v>
      </c>
      <c r="H68" s="70" t="s">
        <v>29</v>
      </c>
      <c r="I68" s="70">
        <v>4.2000000000000003E-2</v>
      </c>
      <c r="J68" s="70" t="s">
        <v>30</v>
      </c>
      <c r="K68" s="419">
        <v>5</v>
      </c>
      <c r="L68" s="137" t="s">
        <v>36</v>
      </c>
    </row>
    <row r="69" spans="3:12" x14ac:dyDescent="0.45">
      <c r="C69"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Lana de vidrio en colchoneta con papel a 1 cara ρ = 35 kg/m³, λ = 0,042 [W/mK], μ = 4 []</v>
      </c>
      <c r="D69" s="97" t="s">
        <v>34</v>
      </c>
      <c r="E69" s="97">
        <f>ROW()-ROW(INDEX(MATERIALES_DITEC[],1,1))+1</f>
        <v>31</v>
      </c>
      <c r="F69" s="98" t="s">
        <v>57</v>
      </c>
      <c r="G69" s="70">
        <v>0.1</v>
      </c>
      <c r="H69" s="70" t="s">
        <v>29</v>
      </c>
      <c r="I69" s="68">
        <v>4.2000000000000003E-2</v>
      </c>
      <c r="J69" s="70" t="s">
        <v>30</v>
      </c>
      <c r="K69" s="419">
        <v>4</v>
      </c>
      <c r="L69" s="137"/>
    </row>
    <row r="70" spans="3:12" x14ac:dyDescent="0.45">
      <c r="C70"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Lana mineral en colchoneta ρ = 36 kg/m³, λ = 0,042 [W/mK], μ = 11 []</v>
      </c>
      <c r="D70" s="97" t="s">
        <v>34</v>
      </c>
      <c r="E70" s="97">
        <f>ROW()-ROW(INDEX(MATERIALES_DITEC[],1,1))+1</f>
        <v>32</v>
      </c>
      <c r="F70" s="98" t="s">
        <v>58</v>
      </c>
      <c r="G70" s="70">
        <v>0.04</v>
      </c>
      <c r="H70" s="70" t="s">
        <v>29</v>
      </c>
      <c r="I70" s="70">
        <v>4.2000000000000003E-2</v>
      </c>
      <c r="J70" s="70" t="s">
        <v>30</v>
      </c>
      <c r="K70" s="419">
        <v>11</v>
      </c>
      <c r="L70" s="137" t="s">
        <v>36</v>
      </c>
    </row>
    <row r="71" spans="3:12" x14ac:dyDescent="0.45">
      <c r="C71"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Lana vidrio en rollo ρ = 12 kg/m³, λ = 0,042 [W/mK], μ = 2 []</v>
      </c>
      <c r="D71" s="97" t="s">
        <v>34</v>
      </c>
      <c r="E71" s="97">
        <f>ROW()-ROW(INDEX(MATERIALES_DITEC[],1,1))+1</f>
        <v>33</v>
      </c>
      <c r="F71" s="98" t="s">
        <v>59</v>
      </c>
      <c r="G71" s="70">
        <v>0.05</v>
      </c>
      <c r="H71" s="70" t="s">
        <v>29</v>
      </c>
      <c r="I71" s="70">
        <v>4.2000000000000003E-2</v>
      </c>
      <c r="J71" s="70" t="s">
        <v>30</v>
      </c>
      <c r="K71" s="419">
        <v>2</v>
      </c>
      <c r="L71" s="137" t="s">
        <v>36</v>
      </c>
    </row>
    <row r="72" spans="3:12" x14ac:dyDescent="0.45">
      <c r="C72"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Lana de vidrio Aislanglass ® ρ = 14 kg/m³, λ = 0,04 [W/mK], μ = 2,88 []</v>
      </c>
      <c r="D72" s="416"/>
      <c r="E72" s="417">
        <f>ROW()-ROW(INDEX(MATERIALES_DITEC[],1,1))+1</f>
        <v>34</v>
      </c>
      <c r="F72" s="98" t="s">
        <v>1840</v>
      </c>
      <c r="G72" s="70">
        <v>0.04</v>
      </c>
      <c r="H72" s="70" t="s">
        <v>29</v>
      </c>
      <c r="I72" s="70">
        <v>0.04</v>
      </c>
      <c r="J72" s="70" t="s">
        <v>30</v>
      </c>
      <c r="K72" s="419">
        <v>2.88</v>
      </c>
      <c r="L72" s="137"/>
    </row>
    <row r="73" spans="3:12" x14ac:dyDescent="0.45">
      <c r="C73"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Lana de vidrio Aislanglass ® ρ = 32 kg/m³, λ = 0,036 [W/mK], μ = 2,91 []</v>
      </c>
      <c r="D73" s="416"/>
      <c r="E73" s="417">
        <f>ROW()-ROW(INDEX(MATERIALES_DITEC[],1,1))+1</f>
        <v>35</v>
      </c>
      <c r="F73" s="98" t="s">
        <v>1841</v>
      </c>
      <c r="G73" s="70">
        <v>0.04</v>
      </c>
      <c r="H73" s="70" t="s">
        <v>29</v>
      </c>
      <c r="I73" s="70">
        <v>3.5999999999999997E-2</v>
      </c>
      <c r="J73" s="70" t="s">
        <v>30</v>
      </c>
      <c r="K73" s="419">
        <v>2.91</v>
      </c>
      <c r="L73" s="137"/>
    </row>
    <row r="74" spans="3:12" x14ac:dyDescent="0.45">
      <c r="C74"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Mortero de pega albañilería (21,6% agua), λ = 1,4 [W/mK], μ = 21 []</v>
      </c>
      <c r="D74" s="97"/>
      <c r="E74" s="97">
        <f>ROW()-ROW(INDEX(MATERIALES_DITEC[],1,1))+1</f>
        <v>36</v>
      </c>
      <c r="F74" s="98" t="s">
        <v>60</v>
      </c>
      <c r="G74" s="70">
        <v>1.2999999999999999E-2</v>
      </c>
      <c r="H74" s="70" t="s">
        <v>29</v>
      </c>
      <c r="I74" s="70">
        <v>1.4</v>
      </c>
      <c r="J74" s="70" t="s">
        <v>30</v>
      </c>
      <c r="K74" s="419">
        <v>21</v>
      </c>
      <c r="L74" s="137" t="s">
        <v>36</v>
      </c>
    </row>
    <row r="75" spans="3:12" x14ac:dyDescent="0.45">
      <c r="C75"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Mortero de pega para pisos (5L agua por saco) ρ = 1800 kg/m³, λ = 1,4 [W/mK], μ = 17 []</v>
      </c>
      <c r="D75" s="97"/>
      <c r="E75" s="97">
        <f>ROW()-ROW(INDEX(MATERIALES_DITEC[],1,1))+1</f>
        <v>37</v>
      </c>
      <c r="F75" s="98" t="s">
        <v>61</v>
      </c>
      <c r="G75" s="70">
        <v>1.9E-2</v>
      </c>
      <c r="H75" s="70" t="s">
        <v>29</v>
      </c>
      <c r="I75" s="70">
        <v>1.4</v>
      </c>
      <c r="J75" s="70" t="s">
        <v>30</v>
      </c>
      <c r="K75" s="419">
        <v>17</v>
      </c>
      <c r="L75" s="137" t="s">
        <v>36</v>
      </c>
    </row>
    <row r="76" spans="3:12" x14ac:dyDescent="0.45">
      <c r="C76"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OSB ρ = 650 kg/m³, λ = 0,14 [W/mK], μ = 371 []</v>
      </c>
      <c r="D76" s="97" t="s">
        <v>37</v>
      </c>
      <c r="E76" s="97">
        <f>ROW()-ROW(INDEX(MATERIALES_DITEC[],1,1))+1</f>
        <v>38</v>
      </c>
      <c r="F76" s="98" t="s">
        <v>1854</v>
      </c>
      <c r="G76" s="70">
        <v>1.11E-2</v>
      </c>
      <c r="H76" s="70" t="s">
        <v>29</v>
      </c>
      <c r="I76" s="70">
        <v>0.14000000000000001</v>
      </c>
      <c r="J76" s="70" t="s">
        <v>30</v>
      </c>
      <c r="K76" s="419">
        <v>371</v>
      </c>
      <c r="L76" s="137" t="s">
        <v>36</v>
      </c>
    </row>
    <row r="77" spans="3:12" x14ac:dyDescent="0.45">
      <c r="C77"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OSB PaintPanel Louisiana Pacific ρ = 685,4 kg/m³, λ = 0,13 [W/mK], μ = 259,64 []</v>
      </c>
      <c r="D77" s="97" t="s">
        <v>37</v>
      </c>
      <c r="E77" s="97">
        <f>ROW()-ROW(INDEX(MATERIALES_DITEC[],1,1))+1</f>
        <v>39</v>
      </c>
      <c r="F77" s="98" t="s">
        <v>1845</v>
      </c>
      <c r="G77" s="70">
        <v>9.4999999999999998E-3</v>
      </c>
      <c r="H77" s="70" t="s">
        <v>29</v>
      </c>
      <c r="I77" s="68">
        <v>0.13</v>
      </c>
      <c r="J77" s="70" t="s">
        <v>30</v>
      </c>
      <c r="K77" s="419">
        <v>259.64</v>
      </c>
      <c r="L77" s="137"/>
    </row>
    <row r="78" spans="3:12" x14ac:dyDescent="0.45">
      <c r="C78"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OSB SmartPanel Louisiana Pacific ρ = 648 kg/m³, λ = 0,12 [W/mK], μ = 286,16 []</v>
      </c>
      <c r="D78" s="97" t="s">
        <v>37</v>
      </c>
      <c r="E78" s="97">
        <f>ROW()-ROW(INDEX(MATERIALES_DITEC[],1,1))+1</f>
        <v>40</v>
      </c>
      <c r="F78" s="98" t="s">
        <v>1848</v>
      </c>
      <c r="G78" s="70">
        <v>1.11E-2</v>
      </c>
      <c r="H78" s="70" t="s">
        <v>29</v>
      </c>
      <c r="I78" s="68">
        <v>0.12</v>
      </c>
      <c r="J78" s="70" t="s">
        <v>30</v>
      </c>
      <c r="K78" s="419">
        <v>286.16000000000003</v>
      </c>
      <c r="L78" s="137"/>
    </row>
    <row r="79" spans="3:12" x14ac:dyDescent="0.45">
      <c r="C79"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Papel decomural vinílico 240 g/m², R = 0 [m²K/W], μ = 1538 []</v>
      </c>
      <c r="D79" s="97"/>
      <c r="E79" s="97">
        <f>ROW()-ROW(INDEX(MATERIALES_DITEC[],1,1))+1</f>
        <v>41</v>
      </c>
      <c r="F79" s="98" t="s">
        <v>62</v>
      </c>
      <c r="G79" s="70">
        <v>5.0000000000000001E-4</v>
      </c>
      <c r="H79" s="70" t="s">
        <v>12</v>
      </c>
      <c r="I79" s="70">
        <v>0</v>
      </c>
      <c r="J79" s="70" t="s">
        <v>30</v>
      </c>
      <c r="K79" s="419">
        <v>1538</v>
      </c>
      <c r="L79" s="212" t="s">
        <v>1187</v>
      </c>
    </row>
    <row r="80" spans="3:12" x14ac:dyDescent="0.45">
      <c r="C80"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Papel Kraft librería 110 g/m², R = 0 [m²K/W], μ = 690 []</v>
      </c>
      <c r="D80" s="97"/>
      <c r="E80" s="97">
        <f>ROW()-ROW(INDEX(MATERIALES_DITEC[],1,1))+1</f>
        <v>42</v>
      </c>
      <c r="F80" s="98" t="s">
        <v>63</v>
      </c>
      <c r="G80" s="70">
        <v>1.5E-3</v>
      </c>
      <c r="H80" s="70" t="s">
        <v>12</v>
      </c>
      <c r="I80" s="70">
        <v>0</v>
      </c>
      <c r="J80" s="70" t="s">
        <v>30</v>
      </c>
      <c r="K80" s="419">
        <v>690</v>
      </c>
      <c r="L80" s="212" t="s">
        <v>1187</v>
      </c>
    </row>
    <row r="81" spans="3:12" x14ac:dyDescent="0.45">
      <c r="C81"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Papel mural 200 g/m², R = 0 [m²K/W], μ = 1546 []</v>
      </c>
      <c r="D81" s="416"/>
      <c r="E81" s="417">
        <f>ROW()-ROW(INDEX(MATERIALES_DITEC[],1,1))+1</f>
        <v>43</v>
      </c>
      <c r="F81" s="98" t="s">
        <v>1852</v>
      </c>
      <c r="G81" s="70">
        <v>3.6999999999999999E-4</v>
      </c>
      <c r="H81" s="70" t="s">
        <v>12</v>
      </c>
      <c r="I81" s="70">
        <v>0</v>
      </c>
      <c r="J81" s="70" t="s">
        <v>30</v>
      </c>
      <c r="K81" s="419">
        <v>1546</v>
      </c>
      <c r="L81" s="212" t="s">
        <v>1187</v>
      </c>
    </row>
    <row r="82" spans="3:12" x14ac:dyDescent="0.45">
      <c r="C82"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Pino insigne ρ = 410 kg/m³, λ = 0,104 [W/mK], μ = 64 []</v>
      </c>
      <c r="D82" s="97"/>
      <c r="E82" s="97">
        <f>ROW()-ROW(INDEX(MATERIALES_DITEC[],1,1))+1</f>
        <v>44</v>
      </c>
      <c r="F82" s="98" t="s">
        <v>1778</v>
      </c>
      <c r="G82" s="70">
        <v>0.02</v>
      </c>
      <c r="H82" s="70" t="s">
        <v>29</v>
      </c>
      <c r="I82" s="70">
        <v>0.104</v>
      </c>
      <c r="J82" s="70" t="s">
        <v>30</v>
      </c>
      <c r="K82" s="419">
        <v>64</v>
      </c>
      <c r="L82" s="137" t="s">
        <v>36</v>
      </c>
    </row>
    <row r="83" spans="3:12" x14ac:dyDescent="0.45">
      <c r="C83"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Pintura barniz marino, 2 manos, R = 0 [m²K/W], μ = 127600 []</v>
      </c>
      <c r="D83" s="97"/>
      <c r="E83" s="97">
        <f>ROW()-ROW(INDEX(MATERIALES_DITEC[],1,1))+1</f>
        <v>45</v>
      </c>
      <c r="F83" s="98" t="s">
        <v>64</v>
      </c>
      <c r="G83" s="70">
        <v>1.0000000000000001E-5</v>
      </c>
      <c r="H83" s="70" t="s">
        <v>12</v>
      </c>
      <c r="I83" s="70">
        <v>0</v>
      </c>
      <c r="J83" s="70" t="s">
        <v>30</v>
      </c>
      <c r="K83" s="419">
        <v>127600</v>
      </c>
      <c r="L83" s="212" t="s">
        <v>1187</v>
      </c>
    </row>
    <row r="84" spans="3:12" x14ac:dyDescent="0.45">
      <c r="C84"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Pintura esmalte al agua (10 micras), R = 0 [m²K/W], μ = 127160 []</v>
      </c>
      <c r="D84" s="97"/>
      <c r="E84" s="97">
        <f>ROW()-ROW(INDEX(MATERIALES_DITEC[],1,1))+1</f>
        <v>46</v>
      </c>
      <c r="F84" s="98" t="s">
        <v>65</v>
      </c>
      <c r="G84" s="70">
        <v>1.0000000000000001E-5</v>
      </c>
      <c r="H84" s="70" t="s">
        <v>12</v>
      </c>
      <c r="I84" s="70">
        <v>0</v>
      </c>
      <c r="J84" s="70" t="s">
        <v>30</v>
      </c>
      <c r="K84" s="419">
        <v>127160</v>
      </c>
      <c r="L84" s="212" t="s">
        <v>1187</v>
      </c>
    </row>
    <row r="85" spans="3:12" x14ac:dyDescent="0.45">
      <c r="C85"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Pintura esmalte al agua, 2 manos, R = 0 [m²K/W], μ = 90900 []</v>
      </c>
      <c r="D85" s="97"/>
      <c r="E85" s="97">
        <f>ROW()-ROW(INDEX(MATERIALES_DITEC[],1,1))+1</f>
        <v>47</v>
      </c>
      <c r="F85" s="98" t="s">
        <v>66</v>
      </c>
      <c r="G85" s="70">
        <v>1.0000000000000001E-5</v>
      </c>
      <c r="H85" s="70" t="s">
        <v>12</v>
      </c>
      <c r="I85" s="70">
        <v>0</v>
      </c>
      <c r="J85" s="70" t="s">
        <v>30</v>
      </c>
      <c r="K85" s="419">
        <v>90900</v>
      </c>
      <c r="L85" s="212" t="s">
        <v>1187</v>
      </c>
    </row>
    <row r="86" spans="3:12" x14ac:dyDescent="0.45">
      <c r="C86"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Pintura látex acrílico (10 micras), R = 0 [m²K/W], μ = 33440 []</v>
      </c>
      <c r="D86" s="97"/>
      <c r="E86" s="97">
        <f>ROW()-ROW(INDEX(MATERIALES_DITEC[],1,1))+1</f>
        <v>48</v>
      </c>
      <c r="F86" s="98" t="s">
        <v>67</v>
      </c>
      <c r="G86" s="70">
        <v>1.0000000000000001E-5</v>
      </c>
      <c r="H86" s="70" t="s">
        <v>12</v>
      </c>
      <c r="I86" s="70">
        <v>0</v>
      </c>
      <c r="J86" s="70" t="s">
        <v>30</v>
      </c>
      <c r="K86" s="419">
        <v>33440</v>
      </c>
      <c r="L86" s="212" t="s">
        <v>1187</v>
      </c>
    </row>
    <row r="87" spans="3:12" x14ac:dyDescent="0.45">
      <c r="C87"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Pintura óleo brillante, 2 manos, R = 0 [m²K/W], μ = 162400 []</v>
      </c>
      <c r="D87" s="97"/>
      <c r="E87" s="97">
        <f>ROW()-ROW(INDEX(MATERIALES_DITEC[],1,1))+1</f>
        <v>49</v>
      </c>
      <c r="F87" s="98" t="s">
        <v>68</v>
      </c>
      <c r="G87" s="70">
        <v>1.0000000000000001E-5</v>
      </c>
      <c r="H87" s="70" t="s">
        <v>12</v>
      </c>
      <c r="I87" s="70">
        <v>0</v>
      </c>
      <c r="J87" s="70" t="s">
        <v>30</v>
      </c>
      <c r="K87" s="419">
        <v>162400</v>
      </c>
      <c r="L87" s="212" t="s">
        <v>1187</v>
      </c>
    </row>
    <row r="88" spans="3:12" x14ac:dyDescent="0.45">
      <c r="C88"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Pintura piscina, 2 manos, R = 0 [m²K/W], μ = 313600 []</v>
      </c>
      <c r="D88" s="97"/>
      <c r="E88" s="97">
        <f>ROW()-ROW(INDEX(MATERIALES_DITEC[],1,1))+1</f>
        <v>50</v>
      </c>
      <c r="F88" s="98" t="s">
        <v>69</v>
      </c>
      <c r="G88" s="70">
        <v>1.0000000000000001E-5</v>
      </c>
      <c r="H88" s="70" t="s">
        <v>12</v>
      </c>
      <c r="I88" s="70">
        <v>0</v>
      </c>
      <c r="J88" s="70" t="s">
        <v>30</v>
      </c>
      <c r="K88" s="419">
        <v>313600</v>
      </c>
      <c r="L88" s="212" t="s">
        <v>1187</v>
      </c>
    </row>
    <row r="89" spans="3:12" x14ac:dyDescent="0.45">
      <c r="C89"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Piso flotante, e = 6 mm, λ = 0,103 [W/mK], μ = 1197 []</v>
      </c>
      <c r="D89" s="97" t="s">
        <v>37</v>
      </c>
      <c r="E89" s="97">
        <f>ROW()-ROW(INDEX(MATERIALES_DITEC[],1,1))+1</f>
        <v>51</v>
      </c>
      <c r="F89" s="98" t="s">
        <v>70</v>
      </c>
      <c r="G89" s="70">
        <v>6.0000000000000001E-3</v>
      </c>
      <c r="H89" s="70" t="s">
        <v>29</v>
      </c>
      <c r="I89" s="70">
        <v>0.10299999999999999</v>
      </c>
      <c r="J89" s="70" t="s">
        <v>30</v>
      </c>
      <c r="K89" s="419">
        <v>1197</v>
      </c>
      <c r="L89" s="137" t="s">
        <v>36</v>
      </c>
    </row>
    <row r="90" spans="3:12" x14ac:dyDescent="0.45">
      <c r="C90"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Placa de fibra de madera MDF ρ = 620 kg/m³, λ = 0,23 [W/mK], μ = 20 []</v>
      </c>
      <c r="D90" s="97" t="s">
        <v>37</v>
      </c>
      <c r="E90" s="97">
        <f>ROW()-ROW(INDEX(MATERIALES_DITEC[],1,1))+1</f>
        <v>52</v>
      </c>
      <c r="F90" s="98" t="s">
        <v>71</v>
      </c>
      <c r="G90" s="70">
        <v>1.2E-2</v>
      </c>
      <c r="H90" s="70" t="s">
        <v>29</v>
      </c>
      <c r="I90" s="70">
        <v>0.23</v>
      </c>
      <c r="J90" s="70" t="s">
        <v>30</v>
      </c>
      <c r="K90" s="419">
        <v>20</v>
      </c>
      <c r="L90" s="137" t="s">
        <v>36</v>
      </c>
    </row>
    <row r="91" spans="3:12" x14ac:dyDescent="0.45">
      <c r="C91"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placa de fibrosilicato ρ = 910 kg/m³, λ = 0,175 [W/mK], μ = 31 []</v>
      </c>
      <c r="D91" s="97" t="s">
        <v>37</v>
      </c>
      <c r="E91" s="97">
        <f>ROW()-ROW(INDEX(MATERIALES_DITEC[],1,1))+1</f>
        <v>53</v>
      </c>
      <c r="F91" s="98" t="s">
        <v>72</v>
      </c>
      <c r="G91" s="70">
        <v>0.01</v>
      </c>
      <c r="H91" s="70" t="s">
        <v>29</v>
      </c>
      <c r="I91" s="430">
        <v>0.17499999999999999</v>
      </c>
      <c r="J91" s="70" t="s">
        <v>30</v>
      </c>
      <c r="K91" s="419">
        <v>31</v>
      </c>
      <c r="L91" s="137"/>
    </row>
    <row r="92" spans="3:12" x14ac:dyDescent="0.45">
      <c r="C92"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Placa de madera contrachapada ρ = 550 kg/m³, λ = 0,23 [W/mK], μ = 51 []</v>
      </c>
      <c r="D92" s="97" t="s">
        <v>37</v>
      </c>
      <c r="E92" s="97">
        <f>ROW()-ROW(INDEX(MATERIALES_DITEC[],1,1))+1</f>
        <v>54</v>
      </c>
      <c r="F92" s="98" t="s">
        <v>73</v>
      </c>
      <c r="G92" s="70">
        <v>1.4999999999999999E-2</v>
      </c>
      <c r="H92" s="70" t="s">
        <v>29</v>
      </c>
      <c r="I92" s="70">
        <v>0.23</v>
      </c>
      <c r="J92" s="70" t="s">
        <v>30</v>
      </c>
      <c r="K92" s="419">
        <v>51</v>
      </c>
      <c r="L92" s="137" t="s">
        <v>36</v>
      </c>
    </row>
    <row r="93" spans="3:12" x14ac:dyDescent="0.45">
      <c r="C93"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Polietileno, R = 0 [m²K/W], μ = 151800 []</v>
      </c>
      <c r="D93" s="97" t="s">
        <v>74</v>
      </c>
      <c r="E93" s="97">
        <f>ROW()-ROW(INDEX(MATERIALES_DITEC[],1,1))+1</f>
        <v>55</v>
      </c>
      <c r="F93" s="98" t="s">
        <v>23</v>
      </c>
      <c r="G93" s="70">
        <v>2.0000000000000001E-4</v>
      </c>
      <c r="H93" s="70" t="s">
        <v>12</v>
      </c>
      <c r="I93" s="70">
        <v>0</v>
      </c>
      <c r="J93" s="70" t="s">
        <v>30</v>
      </c>
      <c r="K93" s="419">
        <v>151800</v>
      </c>
      <c r="L93" s="212" t="s">
        <v>1187</v>
      </c>
    </row>
    <row r="94" spans="3:12" x14ac:dyDescent="0.45">
      <c r="C94"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Revestimiento exterior de fibrocemento tinglado, λ = 0,23 [W/mK], μ = 139 []</v>
      </c>
      <c r="D94" s="97" t="s">
        <v>37</v>
      </c>
      <c r="E94" s="97">
        <f>ROW()-ROW(INDEX(MATERIALES_DITEC[],1,1))+1</f>
        <v>56</v>
      </c>
      <c r="F94" s="98" t="s">
        <v>75</v>
      </c>
      <c r="G94" s="70">
        <v>6.0000000000000001E-3</v>
      </c>
      <c r="H94" s="70" t="s">
        <v>29</v>
      </c>
      <c r="I94" s="70">
        <v>0.23</v>
      </c>
      <c r="J94" s="70" t="s">
        <v>30</v>
      </c>
      <c r="K94" s="419">
        <v>139</v>
      </c>
      <c r="L94" s="137" t="s">
        <v>36</v>
      </c>
    </row>
    <row r="95" spans="3:12" x14ac:dyDescent="0.45">
      <c r="C95"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Revoque fino de tierra (2½ arena gruesa, 1½ arena fina, 1 arcilla y agua), λ = 0,55 [W/mK], μ = 13 []</v>
      </c>
      <c r="D95" s="97"/>
      <c r="E95" s="97">
        <f>ROW()-ROW(INDEX(MATERIALES_DITEC[],1,1))+1</f>
        <v>57</v>
      </c>
      <c r="F95" s="98" t="s">
        <v>76</v>
      </c>
      <c r="G95" s="70">
        <v>0.03</v>
      </c>
      <c r="H95" s="70" t="s">
        <v>29</v>
      </c>
      <c r="I95" s="70">
        <v>0.55000000000000004</v>
      </c>
      <c r="J95" s="70" t="s">
        <v>30</v>
      </c>
      <c r="K95" s="419">
        <v>13</v>
      </c>
      <c r="L95" s="137"/>
    </row>
    <row r="96" spans="3:12" x14ac:dyDescent="0.45">
      <c r="C96"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Revoque grueso de tierra (2½ arena gruesa, 1½ arena fina, 1 arcilla, ½ paja, 1 agua), λ = 0,74 [W/mK], μ = 17 []</v>
      </c>
      <c r="D96" s="97"/>
      <c r="E96" s="97">
        <f>ROW()-ROW(INDEX(MATERIALES_DITEC[],1,1))+1</f>
        <v>58</v>
      </c>
      <c r="F96" s="98" t="s">
        <v>77</v>
      </c>
      <c r="G96" s="70">
        <v>0.03</v>
      </c>
      <c r="H96" s="70" t="s">
        <v>29</v>
      </c>
      <c r="I96" s="70">
        <v>0.74</v>
      </c>
      <c r="J96" s="70" t="s">
        <v>30</v>
      </c>
      <c r="K96" s="419">
        <v>17</v>
      </c>
      <c r="L96" s="137"/>
    </row>
    <row r="97" spans="2:13" x14ac:dyDescent="0.45">
      <c r="C97"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Superfieltro Volcán muro 40 m², R = 0 [m²K/W], μ = 420,5 []</v>
      </c>
      <c r="D97" s="416"/>
      <c r="E97" s="417">
        <f>ROW()-ROW(INDEX(MATERIALES_DITEC[],1,1))+1</f>
        <v>59</v>
      </c>
      <c r="F97" s="98" t="s">
        <v>1843</v>
      </c>
      <c r="G97" s="70">
        <v>2.7E-4</v>
      </c>
      <c r="H97" s="70" t="s">
        <v>12</v>
      </c>
      <c r="I97" s="70">
        <v>0</v>
      </c>
      <c r="J97" s="70" t="s">
        <v>30</v>
      </c>
      <c r="K97" s="419">
        <v>420.5</v>
      </c>
      <c r="L97" s="137"/>
    </row>
    <row r="98" spans="2:13" x14ac:dyDescent="0.45">
      <c r="C98"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Terciado ranurado ρ = 570 kg/m³, λ = 0,23 [W/mK], μ = 293 []</v>
      </c>
      <c r="D98" s="97" t="s">
        <v>37</v>
      </c>
      <c r="E98" s="97">
        <f>ROW()-ROW(INDEX(MATERIALES_DITEC[],1,1))+1</f>
        <v>60</v>
      </c>
      <c r="F98" s="98" t="s">
        <v>1781</v>
      </c>
      <c r="G98" s="70">
        <v>8.9999999999999993E-3</v>
      </c>
      <c r="H98" s="70" t="s">
        <v>29</v>
      </c>
      <c r="I98" s="70">
        <v>0.23</v>
      </c>
      <c r="J98" s="70" t="s">
        <v>30</v>
      </c>
      <c r="K98" s="419">
        <v>293</v>
      </c>
      <c r="L98" s="137"/>
    </row>
    <row r="99" spans="2:13" x14ac:dyDescent="0.45">
      <c r="C99"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Typro, R = 0 [m²K/W], μ = 253 []</v>
      </c>
      <c r="D99" s="97" t="s">
        <v>49</v>
      </c>
      <c r="E99" s="97">
        <f>ROW()-ROW(INDEX(MATERIALES_DITEC[],1,1))+1</f>
        <v>61</v>
      </c>
      <c r="F99" s="98" t="s">
        <v>78</v>
      </c>
      <c r="G99" s="70">
        <v>3.5000000000000001E-3</v>
      </c>
      <c r="H99" s="70" t="s">
        <v>12</v>
      </c>
      <c r="I99" s="70">
        <v>0</v>
      </c>
      <c r="J99" s="70" t="s">
        <v>30</v>
      </c>
      <c r="K99" s="419">
        <v>253</v>
      </c>
      <c r="L99" s="212" t="s">
        <v>1187</v>
      </c>
    </row>
    <row r="100" spans="2:13" x14ac:dyDescent="0.45">
      <c r="C100"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Tyvek homewrap, R = 0 [m²K/W], μ = 1761 []</v>
      </c>
      <c r="D100" s="97" t="s">
        <v>49</v>
      </c>
      <c r="E100" s="97">
        <f>ROW()-ROW(INDEX(MATERIALES_DITEC[],1,1))+1</f>
        <v>62</v>
      </c>
      <c r="F100" s="98" t="s">
        <v>79</v>
      </c>
      <c r="G100" s="70">
        <v>1.2E-4</v>
      </c>
      <c r="H100" s="70" t="s">
        <v>12</v>
      </c>
      <c r="I100" s="70">
        <v>0</v>
      </c>
      <c r="J100" s="70" t="s">
        <v>30</v>
      </c>
      <c r="K100" s="419">
        <v>1761</v>
      </c>
      <c r="L100" s="212" t="s">
        <v>1187</v>
      </c>
    </row>
    <row r="101" spans="2:13" x14ac:dyDescent="0.45">
      <c r="C101"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Volcán Wrap barrera de vapor, R = 0 [m²K/W], μ = 125839 []</v>
      </c>
      <c r="D101" s="97" t="s">
        <v>49</v>
      </c>
      <c r="E101" s="97">
        <f>ROW()-ROW(INDEX(MATERIALES_DITEC[],1,1))+1</f>
        <v>63</v>
      </c>
      <c r="F101" s="98" t="s">
        <v>1853</v>
      </c>
      <c r="G101" s="70">
        <v>9.5000000000000005E-5</v>
      </c>
      <c r="H101" s="70" t="s">
        <v>12</v>
      </c>
      <c r="I101" s="70">
        <v>0</v>
      </c>
      <c r="J101" s="70" t="s">
        <v>30</v>
      </c>
      <c r="K101" s="419">
        <v>125839</v>
      </c>
      <c r="L101" s="212" t="s">
        <v>1187</v>
      </c>
    </row>
    <row r="102" spans="2:13" x14ac:dyDescent="0.45">
      <c r="C102"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Volcanwrap Typar 125 m², R = 0 [m²K/W], μ = 1453,53 []</v>
      </c>
      <c r="D102" s="416"/>
      <c r="E102" s="417">
        <f>ROW()-ROW(INDEX(MATERIALES_DITEC[],1,1))+1</f>
        <v>64</v>
      </c>
      <c r="F102" s="98" t="s">
        <v>1842</v>
      </c>
      <c r="G102" s="70">
        <v>2.5000000000000001E-4</v>
      </c>
      <c r="H102" s="70" t="s">
        <v>12</v>
      </c>
      <c r="I102" s="70">
        <v>0</v>
      </c>
      <c r="J102" s="70" t="s">
        <v>30</v>
      </c>
      <c r="K102" s="419">
        <v>1453.53</v>
      </c>
      <c r="L102" s="212" t="s">
        <v>1187</v>
      </c>
    </row>
    <row r="103" spans="2:13" x14ac:dyDescent="0.45">
      <c r="C103"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XPS Cerámica Stgo Aislagreen 50mm, λ = 0,037 [W/mK], μ = 223,87 []</v>
      </c>
      <c r="D103" s="416"/>
      <c r="E103" s="417">
        <f>ROW()-ROW(INDEX(MATERIALES_DITEC[],1,1))+1</f>
        <v>65</v>
      </c>
      <c r="F103" s="98" t="s">
        <v>1860</v>
      </c>
      <c r="G103" s="70">
        <v>0.05</v>
      </c>
      <c r="H103" s="70" t="s">
        <v>29</v>
      </c>
      <c r="I103" s="70">
        <v>3.6999999999999998E-2</v>
      </c>
      <c r="J103" s="70" t="s">
        <v>30</v>
      </c>
      <c r="K103" s="419">
        <v>223.87</v>
      </c>
      <c r="L103" s="212"/>
    </row>
    <row r="104" spans="2:13" x14ac:dyDescent="0.45">
      <c r="C104"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Yeso cartón RF ρ = 840 kg/m³, λ = 0,31 [W/mK], μ = 12 []</v>
      </c>
      <c r="D104" s="97" t="s">
        <v>37</v>
      </c>
      <c r="E104" s="97">
        <f>ROW()-ROW(INDEX(MATERIALES_DITEC[],1,1))+1</f>
        <v>66</v>
      </c>
      <c r="F104" s="98" t="s">
        <v>80</v>
      </c>
      <c r="G104" s="70">
        <v>1.2500000000000001E-2</v>
      </c>
      <c r="H104" s="70" t="s">
        <v>29</v>
      </c>
      <c r="I104" s="70">
        <v>0.31</v>
      </c>
      <c r="J104" s="70" t="s">
        <v>30</v>
      </c>
      <c r="K104" s="419">
        <v>12</v>
      </c>
      <c r="L104" s="137" t="s">
        <v>36</v>
      </c>
    </row>
    <row r="105" spans="2:13" x14ac:dyDescent="0.45">
      <c r="C105"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Yeso cartón RH ρ = 760 kg/m³, λ = 0,26 [W/mK], μ = 11 []</v>
      </c>
      <c r="D105" s="97" t="s">
        <v>37</v>
      </c>
      <c r="E105" s="97">
        <f>ROW()-ROW(INDEX(MATERIALES_DITEC[],1,1))+1</f>
        <v>67</v>
      </c>
      <c r="F105" s="98" t="s">
        <v>24</v>
      </c>
      <c r="G105" s="70">
        <v>1.2500000000000001E-2</v>
      </c>
      <c r="H105" s="70" t="s">
        <v>29</v>
      </c>
      <c r="I105" s="70">
        <v>0.26</v>
      </c>
      <c r="J105" s="70" t="s">
        <v>30</v>
      </c>
      <c r="K105" s="419">
        <v>11</v>
      </c>
      <c r="L105" s="137" t="s">
        <v>36</v>
      </c>
    </row>
    <row r="106" spans="2:13" x14ac:dyDescent="0.45">
      <c r="C106"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Yeso Cartón ST ρ = 750 kg/m³, λ = 0,24 [W/mK], μ = 20 []</v>
      </c>
      <c r="D106" s="99" t="s">
        <v>37</v>
      </c>
      <c r="E106" s="97">
        <f>ROW()-ROW(INDEX(MATERIALES_DITEC[],1,1))+1</f>
        <v>68</v>
      </c>
      <c r="F106" s="100" t="s">
        <v>21</v>
      </c>
      <c r="G106" s="127">
        <v>0.01</v>
      </c>
      <c r="H106" s="127" t="s">
        <v>29</v>
      </c>
      <c r="I106" s="127">
        <v>0.24</v>
      </c>
      <c r="J106" s="127" t="s">
        <v>30</v>
      </c>
      <c r="K106" s="420">
        <v>20</v>
      </c>
      <c r="L106" s="137" t="s">
        <v>36</v>
      </c>
    </row>
    <row r="108" spans="2:13" ht="19.899999999999999" thickBot="1" x14ac:dyDescent="0.65">
      <c r="B108" s="440" t="s">
        <v>1526</v>
      </c>
      <c r="C108" s="440"/>
      <c r="D108" s="440"/>
      <c r="E108" s="440"/>
      <c r="F108" s="440"/>
      <c r="G108" s="440"/>
      <c r="H108" s="440"/>
      <c r="I108" s="440"/>
      <c r="J108" s="440"/>
      <c r="K108" s="440"/>
      <c r="L108" s="440"/>
      <c r="M108" s="440"/>
    </row>
    <row r="109" spans="2:13" ht="14.65" thickTop="1" x14ac:dyDescent="0.45">
      <c r="B109" s="445"/>
      <c r="C109" s="445"/>
      <c r="D109" s="445"/>
      <c r="E109" s="445"/>
      <c r="F109" s="445"/>
      <c r="G109" s="445"/>
      <c r="H109" s="445"/>
      <c r="I109" s="445"/>
      <c r="J109" s="445"/>
      <c r="K109" s="445"/>
      <c r="L109" s="445"/>
      <c r="M109" s="445"/>
    </row>
    <row r="112" spans="2:13" ht="28.5" x14ac:dyDescent="0.45">
      <c r="F112" s="288" t="s">
        <v>5</v>
      </c>
      <c r="G112" s="129" t="s">
        <v>7</v>
      </c>
      <c r="H112" s="129" t="s">
        <v>8</v>
      </c>
      <c r="I112" s="129" t="s">
        <v>9</v>
      </c>
      <c r="J112" s="130" t="s">
        <v>10</v>
      </c>
    </row>
    <row r="113" spans="2:13" ht="28.5" x14ac:dyDescent="0.45">
      <c r="F113" s="322" t="s">
        <v>11</v>
      </c>
      <c r="G113" s="323" t="s">
        <v>12</v>
      </c>
      <c r="H113" s="324" t="s">
        <v>1527</v>
      </c>
      <c r="I113" s="323" t="s">
        <v>13</v>
      </c>
      <c r="J113" s="323">
        <v>0.01</v>
      </c>
    </row>
    <row r="115" spans="2:13" ht="19.899999999999999" thickBot="1" x14ac:dyDescent="0.65">
      <c r="B115" s="440" t="s">
        <v>1200</v>
      </c>
      <c r="C115" s="440"/>
      <c r="D115" s="440"/>
      <c r="E115" s="440"/>
      <c r="F115" s="440"/>
      <c r="G115" s="440"/>
      <c r="H115" s="440"/>
      <c r="I115" s="440"/>
      <c r="J115" s="440"/>
      <c r="K115" s="440"/>
      <c r="L115" s="440"/>
      <c r="M115" s="440"/>
    </row>
    <row r="116" spans="2:13" ht="14.65" thickTop="1" x14ac:dyDescent="0.45">
      <c r="B116" s="445"/>
      <c r="C116" s="445"/>
      <c r="D116" s="445"/>
      <c r="E116" s="445"/>
      <c r="F116" s="445"/>
      <c r="G116" s="445"/>
      <c r="H116" s="445"/>
      <c r="I116" s="445"/>
      <c r="J116" s="445"/>
      <c r="K116" s="445"/>
      <c r="L116" s="445"/>
      <c r="M116" s="445"/>
    </row>
    <row r="117" spans="2:13" ht="71.25" x14ac:dyDescent="0.45">
      <c r="C117" s="220" t="s">
        <v>2</v>
      </c>
      <c r="D117" s="40" t="s">
        <v>688</v>
      </c>
      <c r="E117" s="220" t="s">
        <v>1207</v>
      </c>
      <c r="F117" s="220" t="s">
        <v>1201</v>
      </c>
      <c r="G117" s="221" t="s">
        <v>1202</v>
      </c>
      <c r="H117" s="221" t="s">
        <v>1203</v>
      </c>
      <c r="I117" s="221" t="s">
        <v>1204</v>
      </c>
      <c r="J117" s="222" t="s">
        <v>1205</v>
      </c>
      <c r="K117" s="223" t="s">
        <v>1206</v>
      </c>
    </row>
    <row r="118" spans="2:13" hidden="1" x14ac:dyDescent="0.45">
      <c r="C118" s="224" t="s">
        <v>1368</v>
      </c>
      <c r="D118"/>
      <c r="E118" s="225"/>
      <c r="F118" s="225"/>
      <c r="G118" s="226"/>
      <c r="H118" s="227"/>
      <c r="I118" s="227"/>
      <c r="J118" s="226"/>
      <c r="K118" s="228"/>
    </row>
    <row r="119" spans="2:13" x14ac:dyDescent="0.45">
      <c r="C119" s="101" t="str">
        <f>MATERIALES_ISO_TABLA3[[#This Row],[Materiales o aplicación]]&amp;", ρ = "&amp;MATERIALES_ISO_TABLA3[[#This Row],[Densidad
ρ
kg/m³]]&amp;" kg/m³"</f>
        <v>Asfalto, ρ = 2100 kg/m³</v>
      </c>
      <c r="D119"/>
      <c r="E119" s="229" t="s">
        <v>1208</v>
      </c>
      <c r="F119" s="229" t="s">
        <v>1208</v>
      </c>
      <c r="G119" s="218">
        <v>2100</v>
      </c>
      <c r="H119" s="230">
        <v>0.7</v>
      </c>
      <c r="I119" s="231">
        <v>1000</v>
      </c>
      <c r="J119" s="231">
        <v>50000</v>
      </c>
      <c r="K119" s="217">
        <v>50000</v>
      </c>
    </row>
    <row r="120" spans="2:13" hidden="1" x14ac:dyDescent="0.45">
      <c r="C120" s="224" t="s">
        <v>1209</v>
      </c>
      <c r="D120"/>
      <c r="E120" s="232"/>
      <c r="F120" s="233"/>
      <c r="G120" s="214"/>
      <c r="H120" s="234"/>
      <c r="I120" s="235"/>
      <c r="J120" s="235"/>
      <c r="K120" s="213"/>
    </row>
    <row r="121" spans="2:13" x14ac:dyDescent="0.45">
      <c r="C121" s="236" t="str">
        <f>MATERIALES_ISO_TABLA3[[#This Row],[Grupo]]&amp;" - "&amp;MATERIALES_ISO_TABLA3[[#This Row],[Materiales o aplicación]]&amp;", ρ = "&amp;MATERIALES_ISO_TABLA3[[#This Row],[Densidad
ρ
kg/m³]]&amp;" kg/m³"</f>
        <v>Bitumen - Puro, ρ = 1050 kg/m³</v>
      </c>
      <c r="D121"/>
      <c r="E121" s="237" t="s">
        <v>1210</v>
      </c>
      <c r="F121" s="238" t="s">
        <v>1211</v>
      </c>
      <c r="G121" s="216">
        <v>1050</v>
      </c>
      <c r="H121" s="239">
        <v>0.17</v>
      </c>
      <c r="I121" s="240">
        <v>1000</v>
      </c>
      <c r="J121" s="240">
        <v>50000</v>
      </c>
      <c r="K121" s="215">
        <v>50000</v>
      </c>
    </row>
    <row r="122" spans="2:13" x14ac:dyDescent="0.45">
      <c r="C122" s="241" t="str">
        <f>MATERIALES_ISO_TABLA3[[#This Row],[Grupo]]&amp;" - "&amp;MATERIALES_ISO_TABLA3[[#This Row],[Materiales o aplicación]]&amp;", ρ = "&amp;MATERIALES_ISO_TABLA3[[#This Row],[Densidad
ρ
kg/m³]]&amp;" kg/m³"</f>
        <v>Bitumen - Fieltro/lámina, ρ = 1100 kg/m³</v>
      </c>
      <c r="D122"/>
      <c r="E122" s="242" t="s">
        <v>1210</v>
      </c>
      <c r="F122" s="243" t="s">
        <v>1212</v>
      </c>
      <c r="G122" s="218">
        <v>1100</v>
      </c>
      <c r="H122" s="230">
        <v>0.23</v>
      </c>
      <c r="I122" s="231">
        <v>1000</v>
      </c>
      <c r="J122" s="231">
        <v>50000</v>
      </c>
      <c r="K122" s="217">
        <v>50000</v>
      </c>
    </row>
    <row r="123" spans="2:13" hidden="1" x14ac:dyDescent="0.45">
      <c r="C123" s="224" t="s">
        <v>1213</v>
      </c>
      <c r="D123"/>
      <c r="E123" s="244"/>
      <c r="F123" s="245"/>
      <c r="G123" s="214"/>
      <c r="H123" s="234"/>
      <c r="I123" s="235"/>
      <c r="J123" s="235"/>
      <c r="K123" s="213"/>
    </row>
    <row r="124" spans="2:13" x14ac:dyDescent="0.45">
      <c r="C124" s="246" t="str">
        <f>MATERIALES_ISO_TABLA3[[#This Row],[Grupo]]&amp;" - "&amp;MATERIALES_ISO_TABLA3[[#This Row],[Materiales o aplicación]]&amp;", ρ = "&amp;MATERIALES_ISO_TABLA3[[#This Row],[Densidad
ρ
kg/m³]]&amp;" kg/m³"</f>
        <v>Hormigón - Densidad media, ρ = 1800 kg/m³</v>
      </c>
      <c r="D124"/>
      <c r="E124" s="247" t="s">
        <v>1214</v>
      </c>
      <c r="F124" s="248" t="s">
        <v>1215</v>
      </c>
      <c r="G124" s="216">
        <v>1800</v>
      </c>
      <c r="H124" s="239">
        <v>1.1499999999999999</v>
      </c>
      <c r="I124" s="240">
        <v>1000</v>
      </c>
      <c r="J124" s="240">
        <v>100</v>
      </c>
      <c r="K124" s="215">
        <v>60</v>
      </c>
    </row>
    <row r="125" spans="2:13" x14ac:dyDescent="0.45">
      <c r="C125" s="246" t="str">
        <f>MATERIALES_ISO_TABLA3[[#This Row],[Grupo]]&amp;" - "&amp;MATERIALES_ISO_TABLA3[[#This Row],[Materiales o aplicación]]&amp;", ρ = "&amp;MATERIALES_ISO_TABLA3[[#This Row],[Densidad
ρ
kg/m³]]&amp;" kg/m³"</f>
        <v>Hormigón - Densidad media, ρ = 2000 kg/m³</v>
      </c>
      <c r="D125"/>
      <c r="E125" s="247" t="s">
        <v>1214</v>
      </c>
      <c r="F125" s="248" t="s">
        <v>1215</v>
      </c>
      <c r="G125" s="216">
        <v>2000</v>
      </c>
      <c r="H125" s="239">
        <v>1.35</v>
      </c>
      <c r="I125" s="240">
        <v>1000</v>
      </c>
      <c r="J125" s="240">
        <v>100</v>
      </c>
      <c r="K125" s="215">
        <v>60</v>
      </c>
    </row>
    <row r="126" spans="2:13" x14ac:dyDescent="0.45">
      <c r="C126" s="246" t="str">
        <f>MATERIALES_ISO_TABLA3[[#This Row],[Grupo]]&amp;" - "&amp;MATERIALES_ISO_TABLA3[[#This Row],[Materiales o aplicación]]&amp;", ρ = "&amp;MATERIALES_ISO_TABLA3[[#This Row],[Densidad
ρ
kg/m³]]&amp;" kg/m³"</f>
        <v>Hormigón - Densidad media, ρ = 2200 kg/m³</v>
      </c>
      <c r="D126"/>
      <c r="E126" s="247" t="s">
        <v>1214</v>
      </c>
      <c r="F126" s="248" t="s">
        <v>1215</v>
      </c>
      <c r="G126" s="216">
        <v>2200</v>
      </c>
      <c r="H126" s="239">
        <v>1.65</v>
      </c>
      <c r="I126" s="240">
        <v>1000</v>
      </c>
      <c r="J126" s="240">
        <v>120</v>
      </c>
      <c r="K126" s="215">
        <v>70</v>
      </c>
    </row>
    <row r="127" spans="2:13" x14ac:dyDescent="0.45">
      <c r="C127" s="246" t="str">
        <f>MATERIALES_ISO_TABLA3[[#This Row],[Grupo]]&amp;" - "&amp;MATERIALES_ISO_TABLA3[[#This Row],[Materiales o aplicación]]&amp;", ρ = "&amp;MATERIALES_ISO_TABLA3[[#This Row],[Densidad
ρ
kg/m³]]&amp;" kg/m³"</f>
        <v>Hormigón - Densidad alta, ρ = 2400 kg/m³</v>
      </c>
      <c r="D127"/>
      <c r="E127" s="247" t="s">
        <v>1214</v>
      </c>
      <c r="F127" s="238" t="s">
        <v>1216</v>
      </c>
      <c r="G127" s="216">
        <v>2400</v>
      </c>
      <c r="H127" s="239">
        <v>2</v>
      </c>
      <c r="I127" s="240">
        <v>1000</v>
      </c>
      <c r="J127" s="240">
        <v>130</v>
      </c>
      <c r="K127" s="215">
        <v>80</v>
      </c>
    </row>
    <row r="128" spans="2:13" x14ac:dyDescent="0.45">
      <c r="C128" s="246" t="str">
        <f>MATERIALES_ISO_TABLA3[[#This Row],[Grupo]]&amp;" - "&amp;MATERIALES_ISO_TABLA3[[#This Row],[Materiales o aplicación]]&amp;", ρ = "&amp;MATERIALES_ISO_TABLA3[[#This Row],[Densidad
ρ
kg/m³]]&amp;" kg/m³"</f>
        <v>Hormigón - Armado (1% de acero), ρ = 2300 kg/m³</v>
      </c>
      <c r="D128"/>
      <c r="E128" s="247" t="s">
        <v>1214</v>
      </c>
      <c r="F128" s="238" t="s">
        <v>1217</v>
      </c>
      <c r="G128" s="216">
        <v>2300</v>
      </c>
      <c r="H128" s="239">
        <v>2.2999999999999998</v>
      </c>
      <c r="I128" s="240">
        <v>1000</v>
      </c>
      <c r="J128" s="240">
        <v>130</v>
      </c>
      <c r="K128" s="215">
        <v>80</v>
      </c>
    </row>
    <row r="129" spans="3:11" x14ac:dyDescent="0.45">
      <c r="C129" s="249" t="str">
        <f>MATERIALES_ISO_TABLA3[[#This Row],[Grupo]]&amp;" - "&amp;MATERIALES_ISO_TABLA3[[#This Row],[Materiales o aplicación]]&amp;", ρ = "&amp;MATERIALES_ISO_TABLA3[[#This Row],[Densidad
ρ
kg/m³]]&amp;" kg/m³"</f>
        <v>Hormigón - Armado (2% de acero), ρ = 2400 kg/m³</v>
      </c>
      <c r="D129"/>
      <c r="E129" s="250" t="s">
        <v>1214</v>
      </c>
      <c r="F129" s="229" t="s">
        <v>1218</v>
      </c>
      <c r="G129" s="218">
        <v>2400</v>
      </c>
      <c r="H129" s="230">
        <v>2.5</v>
      </c>
      <c r="I129" s="231">
        <v>1000</v>
      </c>
      <c r="J129" s="231">
        <v>130</v>
      </c>
      <c r="K129" s="217">
        <v>80</v>
      </c>
    </row>
    <row r="130" spans="3:11" hidden="1" x14ac:dyDescent="0.45">
      <c r="C130" s="224" t="s">
        <v>1219</v>
      </c>
      <c r="D130"/>
      <c r="E130" s="232"/>
      <c r="F130" s="233"/>
      <c r="G130" s="214"/>
      <c r="H130" s="234"/>
      <c r="I130" s="235"/>
      <c r="J130" s="235"/>
      <c r="K130" s="213"/>
    </row>
    <row r="131" spans="3:11" x14ac:dyDescent="0.45">
      <c r="C131" s="246" t="str">
        <f>MATERIALES_ISO_TABLA3[[#This Row],[Grupo]]&amp;" - "&amp;MATERIALES_ISO_TABLA3[[#This Row],[Materiales o aplicación]]&amp;", ρ = "&amp;MATERIALES_ISO_TABLA3[[#This Row],[Densidad
ρ
kg/m³]]&amp;" kg/m³"</f>
        <v>Recubrimientos de piso - Caucho, ρ = 1200 kg/m³</v>
      </c>
      <c r="D131"/>
      <c r="E131" s="247" t="s">
        <v>1220</v>
      </c>
      <c r="F131" s="238" t="s">
        <v>1221</v>
      </c>
      <c r="G131" s="216">
        <v>1200</v>
      </c>
      <c r="H131" s="239">
        <v>0.17</v>
      </c>
      <c r="I131" s="240">
        <v>1400</v>
      </c>
      <c r="J131" s="240">
        <v>10000</v>
      </c>
      <c r="K131" s="215">
        <v>10000</v>
      </c>
    </row>
    <row r="132" spans="3:11" x14ac:dyDescent="0.45">
      <c r="C132" s="246" t="str">
        <f>MATERIALES_ISO_TABLA3[[#This Row],[Grupo]]&amp;" - "&amp;MATERIALES_ISO_TABLA3[[#This Row],[Materiales o aplicación]]&amp;", ρ = "&amp;MATERIALES_ISO_TABLA3[[#This Row],[Densidad
ρ
kg/m³]]&amp;" kg/m³"</f>
        <v>Recubrimientos de piso - Plástico, ρ = 1700 kg/m³</v>
      </c>
      <c r="D132"/>
      <c r="E132" s="247" t="s">
        <v>1220</v>
      </c>
      <c r="F132" s="238" t="s">
        <v>1222</v>
      </c>
      <c r="G132" s="216">
        <v>1700</v>
      </c>
      <c r="H132" s="239">
        <v>0.25</v>
      </c>
      <c r="I132" s="240">
        <v>1400</v>
      </c>
      <c r="J132" s="240">
        <v>10000</v>
      </c>
      <c r="K132" s="215">
        <v>10000</v>
      </c>
    </row>
    <row r="133" spans="3:11" x14ac:dyDescent="0.45">
      <c r="C133" s="246" t="str">
        <f>MATERIALES_ISO_TABLA3[[#This Row],[Grupo]]&amp;" - "&amp;MATERIALES_ISO_TABLA3[[#This Row],[Materiales o aplicación]]&amp;", ρ = "&amp;MATERIALES_ISO_TABLA3[[#This Row],[Densidad
ρ
kg/m³]]&amp;" kg/m³"</f>
        <v>Recubrimientos de piso - caucho celular o plástico sobre radier, ρ = 270 kg/m³</v>
      </c>
      <c r="D133"/>
      <c r="E133" s="247" t="s">
        <v>1220</v>
      </c>
      <c r="F133" s="238" t="s">
        <v>1223</v>
      </c>
      <c r="G133" s="216">
        <v>270</v>
      </c>
      <c r="H133" s="239">
        <v>0.1</v>
      </c>
      <c r="I133" s="240">
        <v>1400</v>
      </c>
      <c r="J133" s="240">
        <v>10000</v>
      </c>
      <c r="K133" s="215">
        <v>10000</v>
      </c>
    </row>
    <row r="134" spans="3:11" x14ac:dyDescent="0.45">
      <c r="C134" s="246" t="str">
        <f>MATERIALES_ISO_TABLA3[[#This Row],[Grupo]]&amp;" - "&amp;MATERIALES_ISO_TABLA3[[#This Row],[Materiales o aplicación]]&amp;", ρ = "&amp;MATERIALES_ISO_TABLA3[[#This Row],[Densidad
ρ
kg/m³]]&amp;" kg/m³"</f>
        <v>Recubrimientos de piso - fieltro sobre radier, ρ = 120 kg/m³</v>
      </c>
      <c r="D134"/>
      <c r="E134" s="247" t="s">
        <v>1220</v>
      </c>
      <c r="F134" s="238" t="s">
        <v>1224</v>
      </c>
      <c r="G134" s="216">
        <v>120</v>
      </c>
      <c r="H134" s="239">
        <v>0.05</v>
      </c>
      <c r="I134" s="240">
        <v>1300</v>
      </c>
      <c r="J134" s="240">
        <v>20</v>
      </c>
      <c r="K134" s="215">
        <v>15</v>
      </c>
    </row>
    <row r="135" spans="3:11" x14ac:dyDescent="0.45">
      <c r="C135" s="246" t="str">
        <f>MATERIALES_ISO_TABLA3[[#This Row],[Grupo]]&amp;" - "&amp;MATERIALES_ISO_TABLA3[[#This Row],[Materiales o aplicación]]&amp;", ρ = "&amp;MATERIALES_ISO_TABLA3[[#This Row],[Densidad
ρ
kg/m³]]&amp;" kg/m³"</f>
        <v>Recubrimientos de piso - lana sobre radier, ρ = 200 kg/m³</v>
      </c>
      <c r="D135"/>
      <c r="E135" s="247" t="s">
        <v>1220</v>
      </c>
      <c r="F135" s="238" t="s">
        <v>1225</v>
      </c>
      <c r="G135" s="216">
        <v>200</v>
      </c>
      <c r="H135" s="239">
        <v>0.06</v>
      </c>
      <c r="I135" s="240">
        <v>1300</v>
      </c>
      <c r="J135" s="240">
        <v>20</v>
      </c>
      <c r="K135" s="215">
        <v>15</v>
      </c>
    </row>
    <row r="136" spans="3:11" x14ac:dyDescent="0.45">
      <c r="C136" s="246" t="str">
        <f>MATERIALES_ISO_TABLA3[[#This Row],[Grupo]]&amp;" - "&amp;MATERIALES_ISO_TABLA3[[#This Row],[Materiales o aplicación]]&amp;", ρ = "&amp;MATERIALES_ISO_TABLA3[[#This Row],[Densidad
ρ
kg/m³]]&amp;" kg/m³"</f>
        <v>Recubrimientos de piso - corcho sobre radier, ρ = &lt; 200 kg/m³</v>
      </c>
      <c r="D136"/>
      <c r="E136" s="247" t="s">
        <v>1220</v>
      </c>
      <c r="F136" s="238" t="s">
        <v>1226</v>
      </c>
      <c r="G136" s="216" t="s">
        <v>1227</v>
      </c>
      <c r="H136" s="239">
        <v>0.05</v>
      </c>
      <c r="I136" s="240">
        <v>1500</v>
      </c>
      <c r="J136" s="240">
        <v>20</v>
      </c>
      <c r="K136" s="215">
        <v>10</v>
      </c>
    </row>
    <row r="137" spans="3:11" x14ac:dyDescent="0.45">
      <c r="C137" s="246" t="str">
        <f>MATERIALES_ISO_TABLA3[[#This Row],[Grupo]]&amp;" - "&amp;MATERIALES_ISO_TABLA3[[#This Row],[Materiales o aplicación]]&amp;", ρ = "&amp;MATERIALES_ISO_TABLA3[[#This Row],[Densidad
ρ
kg/m³]]&amp;" kg/m³"</f>
        <v>Recubrimientos de piso - corcho, palmetas, ρ = &gt; 400 kg/m³</v>
      </c>
      <c r="D137"/>
      <c r="E137" s="247" t="s">
        <v>1220</v>
      </c>
      <c r="F137" s="238" t="s">
        <v>1228</v>
      </c>
      <c r="G137" s="216" t="s">
        <v>1229</v>
      </c>
      <c r="H137" s="239">
        <v>6.5000000000000002E-2</v>
      </c>
      <c r="I137" s="240">
        <v>1500</v>
      </c>
      <c r="J137" s="240">
        <v>40</v>
      </c>
      <c r="K137" s="215">
        <v>20</v>
      </c>
    </row>
    <row r="138" spans="3:11" x14ac:dyDescent="0.45">
      <c r="C138" s="246" t="str">
        <f>MATERIALES_ISO_TABLA3[[#This Row],[Grupo]]&amp;" - "&amp;MATERIALES_ISO_TABLA3[[#This Row],[Materiales o aplicación]]&amp;", ρ = "&amp;MATERIALES_ISO_TABLA3[[#This Row],[Densidad
ρ
kg/m³]]&amp;" kg/m³"</f>
        <v>Recubrimientos de piso - alfombra / recubrimiento textil, ρ = 200 kg/m³</v>
      </c>
      <c r="D138"/>
      <c r="E138" s="247" t="s">
        <v>1220</v>
      </c>
      <c r="F138" s="238" t="s">
        <v>1230</v>
      </c>
      <c r="G138" s="216">
        <v>200</v>
      </c>
      <c r="H138" s="239">
        <v>0.06</v>
      </c>
      <c r="I138" s="240">
        <v>1300</v>
      </c>
      <c r="J138" s="240">
        <v>5</v>
      </c>
      <c r="K138" s="215">
        <v>5</v>
      </c>
    </row>
    <row r="139" spans="3:11" x14ac:dyDescent="0.45">
      <c r="C139" s="246" t="str">
        <f>MATERIALES_ISO_TABLA3[[#This Row],[Grupo]]&amp;" - "&amp;MATERIALES_ISO_TABLA3[[#This Row],[Materiales o aplicación]]&amp;", ρ = "&amp;MATERIALES_ISO_TABLA3[[#This Row],[Densidad
ρ
kg/m³]]&amp;" kg/m³"</f>
        <v>Recubrimientos de piso - linóleo, ρ = 1200 kg/m³</v>
      </c>
      <c r="D139"/>
      <c r="E139" s="247" t="s">
        <v>1220</v>
      </c>
      <c r="F139" s="238" t="s">
        <v>1231</v>
      </c>
      <c r="G139" s="216">
        <v>1200</v>
      </c>
      <c r="H139" s="239">
        <v>0.17</v>
      </c>
      <c r="I139" s="240">
        <v>1400</v>
      </c>
      <c r="J139" s="240">
        <v>1000</v>
      </c>
      <c r="K139" s="215">
        <v>800</v>
      </c>
    </row>
    <row r="140" spans="3:11" hidden="1" x14ac:dyDescent="0.45">
      <c r="C140" s="224" t="s">
        <v>1232</v>
      </c>
      <c r="D140"/>
      <c r="E140" s="232"/>
      <c r="F140" s="233"/>
      <c r="G140" s="214"/>
      <c r="H140" s="234"/>
      <c r="I140" s="235"/>
      <c r="J140" s="235"/>
      <c r="K140" s="213"/>
    </row>
    <row r="141" spans="3:11" x14ac:dyDescent="0.45">
      <c r="C141" s="246" t="str">
        <f>MATERIALES_ISO_TABLA3[[#This Row],[Grupo]]&amp;" - "&amp;MATERIALES_ISO_TABLA3[[#This Row],[Materiales o aplicación]]&amp;", ρ = "&amp;MATERIALES_ISO_TABLA3[[#This Row],[Densidad
ρ
kg/m³]]&amp;" kg/m³"</f>
        <v>Gases - aire, ρ = 1,23 kg/m³</v>
      </c>
      <c r="D141"/>
      <c r="E141" s="247" t="s">
        <v>1233</v>
      </c>
      <c r="F141" s="238" t="s">
        <v>1234</v>
      </c>
      <c r="G141" s="216">
        <v>1.23</v>
      </c>
      <c r="H141" s="239">
        <v>2.5000000000000001E-2</v>
      </c>
      <c r="I141" s="240">
        <v>1008</v>
      </c>
      <c r="J141" s="240">
        <v>1</v>
      </c>
      <c r="K141" s="215">
        <v>1</v>
      </c>
    </row>
    <row r="142" spans="3:11" x14ac:dyDescent="0.45">
      <c r="C142" s="246" t="str">
        <f>MATERIALES_ISO_TABLA3[[#This Row],[Grupo]]&amp;" - "&amp;MATERIALES_ISO_TABLA3[[#This Row],[Materiales o aplicación]]&amp;", ρ = "&amp;MATERIALES_ISO_TABLA3[[#This Row],[Densidad
ρ
kg/m³]]&amp;" kg/m³"</f>
        <v>Gases - dióxido de carbono, ρ = 1,95 kg/m³</v>
      </c>
      <c r="D142"/>
      <c r="E142" s="247" t="s">
        <v>1233</v>
      </c>
      <c r="F142" s="238" t="s">
        <v>1235</v>
      </c>
      <c r="G142" s="216">
        <v>1.95</v>
      </c>
      <c r="H142" s="239">
        <v>1.4E-2</v>
      </c>
      <c r="I142" s="240">
        <v>820</v>
      </c>
      <c r="J142" s="240">
        <v>1</v>
      </c>
      <c r="K142" s="215">
        <v>1</v>
      </c>
    </row>
    <row r="143" spans="3:11" x14ac:dyDescent="0.45">
      <c r="C143" s="246" t="str">
        <f>MATERIALES_ISO_TABLA3[[#This Row],[Grupo]]&amp;" - "&amp;MATERIALES_ISO_TABLA3[[#This Row],[Materiales o aplicación]]&amp;", ρ = "&amp;MATERIALES_ISO_TABLA3[[#This Row],[Densidad
ρ
kg/m³]]&amp;" kg/m³"</f>
        <v>Gases - argón, ρ = 1,7 kg/m³</v>
      </c>
      <c r="D143"/>
      <c r="E143" s="247" t="s">
        <v>1233</v>
      </c>
      <c r="F143" s="238" t="s">
        <v>1236</v>
      </c>
      <c r="G143" s="216">
        <v>1.7</v>
      </c>
      <c r="H143" s="239">
        <v>1.7000000000000001E-2</v>
      </c>
      <c r="I143" s="240">
        <v>519</v>
      </c>
      <c r="J143" s="240">
        <v>1</v>
      </c>
      <c r="K143" s="215">
        <v>1</v>
      </c>
    </row>
    <row r="144" spans="3:11" x14ac:dyDescent="0.45">
      <c r="C144" s="246" t="str">
        <f>MATERIALES_ISO_TABLA3[[#This Row],[Grupo]]&amp;" - "&amp;MATERIALES_ISO_TABLA3[[#This Row],[Materiales o aplicación]]&amp;", ρ = "&amp;MATERIALES_ISO_TABLA3[[#This Row],[Densidad
ρ
kg/m³]]&amp;" kg/m³"</f>
        <v>Gases - Hexafloruro de azufre, ρ = 6,36 kg/m³</v>
      </c>
      <c r="D144"/>
      <c r="E144" s="247" t="s">
        <v>1233</v>
      </c>
      <c r="F144" s="238" t="s">
        <v>1237</v>
      </c>
      <c r="G144" s="216">
        <v>6.36</v>
      </c>
      <c r="H144" s="239">
        <v>1.2999999999999999E-2</v>
      </c>
      <c r="I144" s="240">
        <v>614</v>
      </c>
      <c r="J144" s="240">
        <v>1</v>
      </c>
      <c r="K144" s="215">
        <v>1</v>
      </c>
    </row>
    <row r="145" spans="3:11" x14ac:dyDescent="0.45">
      <c r="C145" s="246" t="str">
        <f>MATERIALES_ISO_TABLA3[[#This Row],[Grupo]]&amp;" - "&amp;MATERIALES_ISO_TABLA3[[#This Row],[Materiales o aplicación]]&amp;", ρ = "&amp;MATERIALES_ISO_TABLA3[[#This Row],[Densidad
ρ
kg/m³]]&amp;" kg/m³"</f>
        <v>Gases - kriptón, ρ = 3,56 kg/m³</v>
      </c>
      <c r="D145"/>
      <c r="E145" s="247" t="s">
        <v>1233</v>
      </c>
      <c r="F145" s="238" t="s">
        <v>1238</v>
      </c>
      <c r="G145" s="216">
        <v>3.56</v>
      </c>
      <c r="H145" s="239">
        <v>8.9999999999999993E-3</v>
      </c>
      <c r="I145" s="240">
        <v>245</v>
      </c>
      <c r="J145" s="240">
        <v>1</v>
      </c>
      <c r="K145" s="215">
        <v>1</v>
      </c>
    </row>
    <row r="146" spans="3:11" x14ac:dyDescent="0.45">
      <c r="C146" s="249" t="str">
        <f>MATERIALES_ISO_TABLA3[[#This Row],[Grupo]]&amp;" - "&amp;MATERIALES_ISO_TABLA3[[#This Row],[Materiales o aplicación]]&amp;", ρ = "&amp;MATERIALES_ISO_TABLA3[[#This Row],[Densidad
ρ
kg/m³]]&amp;" kg/m³"</f>
        <v>Gases - xenón, ρ = 5,68 kg/m³</v>
      </c>
      <c r="D146"/>
      <c r="E146" s="250" t="s">
        <v>1233</v>
      </c>
      <c r="F146" s="229" t="s">
        <v>1239</v>
      </c>
      <c r="G146" s="218">
        <v>5.68</v>
      </c>
      <c r="H146" s="230">
        <v>5.4000000000000003E-3</v>
      </c>
      <c r="I146" s="231">
        <v>160</v>
      </c>
      <c r="J146" s="231">
        <v>1</v>
      </c>
      <c r="K146" s="217">
        <v>1</v>
      </c>
    </row>
    <row r="147" spans="3:11" hidden="1" x14ac:dyDescent="0.45">
      <c r="C147" s="224" t="s">
        <v>1240</v>
      </c>
      <c r="D147"/>
      <c r="E147" s="232"/>
      <c r="F147" s="233"/>
      <c r="G147" s="214"/>
      <c r="H147" s="234"/>
      <c r="I147" s="235"/>
      <c r="J147" s="235"/>
      <c r="K147" s="213"/>
    </row>
    <row r="148" spans="3:11" x14ac:dyDescent="0.45">
      <c r="C148" s="246" t="str">
        <f>MATERIALES_ISO_TABLA3[[#This Row],[Grupo]]&amp;" - "&amp;MATERIALES_ISO_TABLA3[[#This Row],[Materiales o aplicación]]&amp;", ρ = "&amp;MATERIALES_ISO_TABLA3[[#This Row],[Densidad
ρ
kg/m³]]&amp;" kg/m³"</f>
        <v>Vidrio - de cal sodada (incluyendo vidrio flotado), ρ = 2500 kg/m³</v>
      </c>
      <c r="D148"/>
      <c r="E148" s="247" t="s">
        <v>1241</v>
      </c>
      <c r="F148" s="238" t="s">
        <v>1242</v>
      </c>
      <c r="G148" s="216">
        <v>2500</v>
      </c>
      <c r="H148" s="239">
        <v>1</v>
      </c>
      <c r="I148" s="240">
        <v>750</v>
      </c>
      <c r="J148" s="240" t="s">
        <v>31</v>
      </c>
      <c r="K148" s="215" t="s">
        <v>31</v>
      </c>
    </row>
    <row r="149" spans="3:11" x14ac:dyDescent="0.45">
      <c r="C149" s="246" t="str">
        <f>MATERIALES_ISO_TABLA3[[#This Row],[Grupo]]&amp;" - "&amp;MATERIALES_ISO_TABLA3[[#This Row],[Materiales o aplicación]]&amp;", ρ = "&amp;MATERIALES_ISO_TABLA3[[#This Row],[Densidad
ρ
kg/m³]]&amp;" kg/m³"</f>
        <v>Vidrio - de cuarzo, ρ = 2200 kg/m³</v>
      </c>
      <c r="D149"/>
      <c r="E149" s="247" t="s">
        <v>1241</v>
      </c>
      <c r="F149" s="238" t="s">
        <v>1243</v>
      </c>
      <c r="G149" s="216">
        <v>2200</v>
      </c>
      <c r="H149" s="239">
        <v>1.4</v>
      </c>
      <c r="I149" s="240">
        <v>750</v>
      </c>
      <c r="J149" s="240" t="s">
        <v>31</v>
      </c>
      <c r="K149" s="215" t="s">
        <v>31</v>
      </c>
    </row>
    <row r="150" spans="3:11" x14ac:dyDescent="0.45">
      <c r="C150" s="249" t="str">
        <f>MATERIALES_ISO_TABLA3[[#This Row],[Grupo]]&amp;" - "&amp;MATERIALES_ISO_TABLA3[[#This Row],[Materiales o aplicación]]&amp;", ρ = "&amp;MATERIALES_ISO_TABLA3[[#This Row],[Densidad
ρ
kg/m³]]&amp;" kg/m³"</f>
        <v>Vidrio - mosaico, ρ = 2000 kg/m³</v>
      </c>
      <c r="D150"/>
      <c r="E150" s="250" t="s">
        <v>1241</v>
      </c>
      <c r="F150" s="229" t="s">
        <v>1244</v>
      </c>
      <c r="G150" s="218">
        <v>2000</v>
      </c>
      <c r="H150" s="230">
        <v>1.2</v>
      </c>
      <c r="I150" s="231">
        <v>750</v>
      </c>
      <c r="J150" s="231" t="s">
        <v>31</v>
      </c>
      <c r="K150" s="217" t="s">
        <v>31</v>
      </c>
    </row>
    <row r="151" spans="3:11" hidden="1" x14ac:dyDescent="0.45">
      <c r="C151" s="224" t="s">
        <v>1245</v>
      </c>
      <c r="D151"/>
      <c r="E151" s="232"/>
      <c r="F151" s="233"/>
      <c r="G151" s="214"/>
      <c r="H151" s="234"/>
      <c r="I151" s="235"/>
      <c r="J151" s="235"/>
      <c r="K151" s="213"/>
    </row>
    <row r="152" spans="3:11" x14ac:dyDescent="0.45">
      <c r="C152" s="246" t="str">
        <f>MATERIALES_ISO_TABLA3[[#This Row],[Grupo]]&amp;" - "&amp;MATERIALES_ISO_TABLA3[[#This Row],[Materiales o aplicación]]&amp;", ρ = "&amp;MATERIALES_ISO_TABLA3[[#This Row],[Densidad
ρ
kg/m³]]&amp;" kg/m³"</f>
        <v>agua - hielo a -10 °C, ρ = 920 kg/m³</v>
      </c>
      <c r="D152"/>
      <c r="E152" s="247" t="s">
        <v>1246</v>
      </c>
      <c r="F152" s="238" t="s">
        <v>1247</v>
      </c>
      <c r="G152" s="216">
        <v>920</v>
      </c>
      <c r="H152" s="239">
        <v>2.2999999999999998</v>
      </c>
      <c r="I152" s="240">
        <v>2000</v>
      </c>
      <c r="J152" s="251" t="s">
        <v>1248</v>
      </c>
      <c r="K152" s="252" t="s">
        <v>1248</v>
      </c>
    </row>
    <row r="153" spans="3:11" x14ac:dyDescent="0.45">
      <c r="C153" s="246" t="str">
        <f>MATERIALES_ISO_TABLA3[[#This Row],[Grupo]]&amp;" - "&amp;MATERIALES_ISO_TABLA3[[#This Row],[Materiales o aplicación]]&amp;", ρ = "&amp;MATERIALES_ISO_TABLA3[[#This Row],[Densidad
ρ
kg/m³]]&amp;" kg/m³"</f>
        <v>agua - hielo a 0 °C, ρ = 900 kg/m³</v>
      </c>
      <c r="D153"/>
      <c r="E153" s="247" t="s">
        <v>1246</v>
      </c>
      <c r="F153" s="238" t="s">
        <v>1249</v>
      </c>
      <c r="G153" s="216">
        <v>900</v>
      </c>
      <c r="H153" s="239">
        <v>2.2000000000000002</v>
      </c>
      <c r="I153" s="240">
        <v>2000</v>
      </c>
      <c r="J153" s="251" t="s">
        <v>1248</v>
      </c>
      <c r="K153" s="252" t="s">
        <v>1248</v>
      </c>
    </row>
    <row r="154" spans="3:11" x14ac:dyDescent="0.45">
      <c r="C154" s="246" t="str">
        <f>MATERIALES_ISO_TABLA3[[#This Row],[Grupo]]&amp;" - "&amp;MATERIALES_ISO_TABLA3[[#This Row],[Materiales o aplicación]]&amp;", ρ = "&amp;MATERIALES_ISO_TABLA3[[#This Row],[Densidad
ρ
kg/m³]]&amp;" kg/m³"</f>
        <v>agua - nieve, recién caida (&lt; 30 mm), ρ = 100 kg/m³</v>
      </c>
      <c r="D154"/>
      <c r="E154" s="247" t="s">
        <v>1246</v>
      </c>
      <c r="F154" s="238" t="s">
        <v>1250</v>
      </c>
      <c r="G154" s="216">
        <v>100</v>
      </c>
      <c r="H154" s="239">
        <v>0.05</v>
      </c>
      <c r="I154" s="240">
        <v>2000</v>
      </c>
      <c r="J154" s="251" t="s">
        <v>1248</v>
      </c>
      <c r="K154" s="252" t="s">
        <v>1248</v>
      </c>
    </row>
    <row r="155" spans="3:11" x14ac:dyDescent="0.45">
      <c r="C155" s="246" t="str">
        <f>MATERIALES_ISO_TABLA3[[#This Row],[Grupo]]&amp;" - "&amp;MATERIALES_ISO_TABLA3[[#This Row],[Materiales o aplicación]]&amp;", ρ = "&amp;MATERIALES_ISO_TABLA3[[#This Row],[Densidad
ρ
kg/m³]]&amp;" kg/m³"</f>
        <v>agua - nieve, suave (30 a 70 mm), ρ = 200 kg/m³</v>
      </c>
      <c r="D155"/>
      <c r="E155" s="247" t="s">
        <v>1246</v>
      </c>
      <c r="F155" s="238" t="s">
        <v>1251</v>
      </c>
      <c r="G155" s="216">
        <v>200</v>
      </c>
      <c r="H155" s="239">
        <v>0.12</v>
      </c>
      <c r="I155" s="240">
        <v>2000</v>
      </c>
      <c r="J155" s="251" t="s">
        <v>1248</v>
      </c>
      <c r="K155" s="252" t="s">
        <v>1248</v>
      </c>
    </row>
    <row r="156" spans="3:11" x14ac:dyDescent="0.45">
      <c r="C156" s="246" t="str">
        <f>MATERIALES_ISO_TABLA3[[#This Row],[Grupo]]&amp;" - "&amp;MATERIALES_ISO_TABLA3[[#This Row],[Materiales o aplicación]]&amp;", ρ = "&amp;MATERIALES_ISO_TABLA3[[#This Row],[Densidad
ρ
kg/m³]]&amp;" kg/m³"</f>
        <v>agua - nieve, levemente compactada (70 a 100 mm), ρ = 300 kg/m³</v>
      </c>
      <c r="D156"/>
      <c r="E156" s="247" t="s">
        <v>1246</v>
      </c>
      <c r="F156" s="238" t="s">
        <v>1252</v>
      </c>
      <c r="G156" s="216">
        <v>300</v>
      </c>
      <c r="H156" s="239">
        <v>0.23</v>
      </c>
      <c r="I156" s="240">
        <v>2000</v>
      </c>
      <c r="J156" s="251" t="s">
        <v>1248</v>
      </c>
      <c r="K156" s="252" t="s">
        <v>1248</v>
      </c>
    </row>
    <row r="157" spans="3:11" x14ac:dyDescent="0.45">
      <c r="C157" s="246" t="str">
        <f>MATERIALES_ISO_TABLA3[[#This Row],[Grupo]]&amp;" - "&amp;MATERIALES_ISO_TABLA3[[#This Row],[Materiales o aplicación]]&amp;", ρ = "&amp;MATERIALES_ISO_TABLA3[[#This Row],[Densidad
ρ
kg/m³]]&amp;" kg/m³"</f>
        <v>agua - nieve, compactada (&lt; 200 mm), ρ = 500 kg/m³</v>
      </c>
      <c r="D157"/>
      <c r="E157" s="247" t="s">
        <v>1246</v>
      </c>
      <c r="F157" s="238" t="s">
        <v>1253</v>
      </c>
      <c r="G157" s="216">
        <v>500</v>
      </c>
      <c r="H157" s="239">
        <v>0.6</v>
      </c>
      <c r="I157" s="240">
        <v>2000</v>
      </c>
      <c r="J157" s="251" t="s">
        <v>1248</v>
      </c>
      <c r="K157" s="252" t="s">
        <v>1248</v>
      </c>
    </row>
    <row r="158" spans="3:11" x14ac:dyDescent="0.45">
      <c r="C158" s="246" t="str">
        <f>MATERIALES_ISO_TABLA3[[#This Row],[Grupo]]&amp;" - "&amp;MATERIALES_ISO_TABLA3[[#This Row],[Materiales o aplicación]]&amp;", ρ = "&amp;MATERIALES_ISO_TABLA3[[#This Row],[Densidad
ρ
kg/m³]]&amp;" kg/m³"</f>
        <v>agua - agua a 10 °C, ρ = 1000 kg/m³</v>
      </c>
      <c r="D158"/>
      <c r="E158" s="247" t="s">
        <v>1246</v>
      </c>
      <c r="F158" s="238" t="s">
        <v>1254</v>
      </c>
      <c r="G158" s="216">
        <v>1000</v>
      </c>
      <c r="H158" s="239">
        <v>0.6</v>
      </c>
      <c r="I158" s="240">
        <v>4190</v>
      </c>
      <c r="J158" s="251" t="s">
        <v>1248</v>
      </c>
      <c r="K158" s="252" t="s">
        <v>1248</v>
      </c>
    </row>
    <row r="159" spans="3:11" x14ac:dyDescent="0.45">
      <c r="C159" s="246" t="str">
        <f>MATERIALES_ISO_TABLA3[[#This Row],[Grupo]]&amp;" - "&amp;MATERIALES_ISO_TABLA3[[#This Row],[Materiales o aplicación]]&amp;", ρ = "&amp;MATERIALES_ISO_TABLA3[[#This Row],[Densidad
ρ
kg/m³]]&amp;" kg/m³"</f>
        <v>agua - agua a 40 °C, ρ = 990 kg/m³</v>
      </c>
      <c r="D159"/>
      <c r="E159" s="247" t="s">
        <v>1246</v>
      </c>
      <c r="F159" s="238" t="s">
        <v>1255</v>
      </c>
      <c r="G159" s="216">
        <v>990</v>
      </c>
      <c r="H159" s="239">
        <v>0.63</v>
      </c>
      <c r="I159" s="240">
        <v>4190</v>
      </c>
      <c r="J159" s="251" t="s">
        <v>1248</v>
      </c>
      <c r="K159" s="252" t="s">
        <v>1248</v>
      </c>
    </row>
    <row r="160" spans="3:11" x14ac:dyDescent="0.45">
      <c r="C160" s="249" t="str">
        <f>MATERIALES_ISO_TABLA3[[#This Row],[Grupo]]&amp;" - "&amp;MATERIALES_ISO_TABLA3[[#This Row],[Materiales o aplicación]]&amp;", ρ = "&amp;MATERIALES_ISO_TABLA3[[#This Row],[Densidad
ρ
kg/m³]]&amp;" kg/m³"</f>
        <v>agua - agua a 80 °C, ρ = 970 kg/m³</v>
      </c>
      <c r="D160"/>
      <c r="E160" s="250" t="s">
        <v>1246</v>
      </c>
      <c r="F160" s="229" t="s">
        <v>1256</v>
      </c>
      <c r="G160" s="218">
        <v>970</v>
      </c>
      <c r="H160" s="230">
        <v>0.67</v>
      </c>
      <c r="I160" s="231">
        <v>4190</v>
      </c>
      <c r="J160" s="253" t="s">
        <v>1248</v>
      </c>
      <c r="K160" s="254" t="s">
        <v>1248</v>
      </c>
    </row>
    <row r="161" spans="3:11" hidden="1" x14ac:dyDescent="0.45">
      <c r="C161" s="224" t="s">
        <v>1257</v>
      </c>
      <c r="D161"/>
      <c r="E161" s="232"/>
      <c r="F161" s="233"/>
      <c r="G161" s="214"/>
      <c r="H161" s="234"/>
      <c r="I161" s="235"/>
      <c r="J161" s="255"/>
      <c r="K161" s="256"/>
    </row>
    <row r="162" spans="3:11" x14ac:dyDescent="0.45">
      <c r="C162" s="246" t="str">
        <f>MATERIALES_ISO_TABLA3[[#This Row],[Grupo]]&amp;" - "&amp;MATERIALES_ISO_TABLA3[[#This Row],[Materiales o aplicación]]&amp;", ρ = "&amp;MATERIALES_ISO_TABLA3[[#This Row],[Densidad
ρ
kg/m³]]&amp;" kg/m³"</f>
        <v>metales - Aleaciones de aluminio, ρ = 2800 kg/m³</v>
      </c>
      <c r="D162"/>
      <c r="E162" s="247" t="s">
        <v>1258</v>
      </c>
      <c r="F162" s="238" t="s">
        <v>1259</v>
      </c>
      <c r="G162" s="216">
        <v>2800</v>
      </c>
      <c r="H162" s="257">
        <v>160</v>
      </c>
      <c r="I162" s="240">
        <v>880</v>
      </c>
      <c r="J162" s="240" t="s">
        <v>31</v>
      </c>
      <c r="K162" s="215" t="s">
        <v>31</v>
      </c>
    </row>
    <row r="163" spans="3:11" x14ac:dyDescent="0.45">
      <c r="C163" s="246" t="str">
        <f>MATERIALES_ISO_TABLA3[[#This Row],[Grupo]]&amp;" - "&amp;MATERIALES_ISO_TABLA3[[#This Row],[Materiales o aplicación]]&amp;", ρ = "&amp;MATERIALES_ISO_TABLA3[[#This Row],[Densidad
ρ
kg/m³]]&amp;" kg/m³"</f>
        <v>metales - Bronce, ρ = 8700 kg/m³</v>
      </c>
      <c r="D163"/>
      <c r="E163" s="247" t="s">
        <v>1258</v>
      </c>
      <c r="F163" s="238" t="s">
        <v>1260</v>
      </c>
      <c r="G163" s="216">
        <v>8700</v>
      </c>
      <c r="H163" s="257">
        <v>65</v>
      </c>
      <c r="I163" s="240">
        <v>380</v>
      </c>
      <c r="J163" s="240" t="s">
        <v>31</v>
      </c>
      <c r="K163" s="215" t="s">
        <v>31</v>
      </c>
    </row>
    <row r="164" spans="3:11" x14ac:dyDescent="0.45">
      <c r="C164" s="246" t="str">
        <f>MATERIALES_ISO_TABLA3[[#This Row],[Grupo]]&amp;" - "&amp;MATERIALES_ISO_TABLA3[[#This Row],[Materiales o aplicación]]&amp;", ρ = "&amp;MATERIALES_ISO_TABLA3[[#This Row],[Densidad
ρ
kg/m³]]&amp;" kg/m³"</f>
        <v>metales - Latón, ρ = 8400 kg/m³</v>
      </c>
      <c r="D164"/>
      <c r="E164" s="247" t="s">
        <v>1258</v>
      </c>
      <c r="F164" s="258" t="s">
        <v>1261</v>
      </c>
      <c r="G164" s="216">
        <v>8400</v>
      </c>
      <c r="H164" s="257">
        <v>120</v>
      </c>
      <c r="I164" s="240">
        <v>380</v>
      </c>
      <c r="J164" s="240" t="s">
        <v>31</v>
      </c>
      <c r="K164" s="215" t="s">
        <v>31</v>
      </c>
    </row>
    <row r="165" spans="3:11" x14ac:dyDescent="0.45">
      <c r="C165" s="246" t="str">
        <f>MATERIALES_ISO_TABLA3[[#This Row],[Grupo]]&amp;" - "&amp;MATERIALES_ISO_TABLA3[[#This Row],[Materiales o aplicación]]&amp;", ρ = "&amp;MATERIALES_ISO_TABLA3[[#This Row],[Densidad
ρ
kg/m³]]&amp;" kg/m³"</f>
        <v>metales - Cobre, ρ = 8900 kg/m³</v>
      </c>
      <c r="D165"/>
      <c r="E165" s="247" t="s">
        <v>1258</v>
      </c>
      <c r="F165" s="238" t="s">
        <v>1262</v>
      </c>
      <c r="G165" s="216">
        <v>8900</v>
      </c>
      <c r="H165" s="257">
        <v>380</v>
      </c>
      <c r="I165" s="240">
        <v>380</v>
      </c>
      <c r="J165" s="240" t="s">
        <v>31</v>
      </c>
      <c r="K165" s="215" t="s">
        <v>31</v>
      </c>
    </row>
    <row r="166" spans="3:11" x14ac:dyDescent="0.45">
      <c r="C166" s="246" t="str">
        <f>MATERIALES_ISO_TABLA3[[#This Row],[Grupo]]&amp;" - "&amp;MATERIALES_ISO_TABLA3[[#This Row],[Materiales o aplicación]]&amp;", ρ = "&amp;MATERIALES_ISO_TABLA3[[#This Row],[Densidad
ρ
kg/m³]]&amp;" kg/m³"</f>
        <v>metales - Hierro, hierro fundido, ρ = 7500 kg/m³</v>
      </c>
      <c r="D166"/>
      <c r="E166" s="247" t="s">
        <v>1258</v>
      </c>
      <c r="F166" s="238" t="s">
        <v>1263</v>
      </c>
      <c r="G166" s="216">
        <v>7500</v>
      </c>
      <c r="H166" s="257">
        <v>50</v>
      </c>
      <c r="I166" s="240">
        <v>450</v>
      </c>
      <c r="J166" s="240" t="s">
        <v>31</v>
      </c>
      <c r="K166" s="215" t="s">
        <v>31</v>
      </c>
    </row>
    <row r="167" spans="3:11" x14ac:dyDescent="0.45">
      <c r="C167" s="246" t="str">
        <f>MATERIALES_ISO_TABLA3[[#This Row],[Grupo]]&amp;" - "&amp;MATERIALES_ISO_TABLA3[[#This Row],[Materiales o aplicación]]&amp;", ρ = "&amp;MATERIALES_ISO_TABLA3[[#This Row],[Densidad
ρ
kg/m³]]&amp;" kg/m³"</f>
        <v>metales - Plomo, ρ = 11300 kg/m³</v>
      </c>
      <c r="D167"/>
      <c r="E167" s="247" t="s">
        <v>1258</v>
      </c>
      <c r="F167" s="238" t="s">
        <v>1264</v>
      </c>
      <c r="G167" s="216">
        <v>11300</v>
      </c>
      <c r="H167" s="257">
        <v>35</v>
      </c>
      <c r="I167" s="240">
        <v>130</v>
      </c>
      <c r="J167" s="240" t="s">
        <v>31</v>
      </c>
      <c r="K167" s="215" t="s">
        <v>31</v>
      </c>
    </row>
    <row r="168" spans="3:11" x14ac:dyDescent="0.45">
      <c r="C168" s="246" t="str">
        <f>MATERIALES_ISO_TABLA3[[#This Row],[Grupo]]&amp;" - "&amp;MATERIALES_ISO_TABLA3[[#This Row],[Materiales o aplicación]]&amp;", ρ = "&amp;MATERIALES_ISO_TABLA3[[#This Row],[Densidad
ρ
kg/m³]]&amp;" kg/m³"</f>
        <v>metales - Acero, ρ = 7800 kg/m³</v>
      </c>
      <c r="D168"/>
      <c r="E168" s="247" t="s">
        <v>1258</v>
      </c>
      <c r="F168" s="238" t="s">
        <v>1265</v>
      </c>
      <c r="G168" s="216">
        <v>7800</v>
      </c>
      <c r="H168" s="257">
        <v>50</v>
      </c>
      <c r="I168" s="240">
        <v>450</v>
      </c>
      <c r="J168" s="240" t="s">
        <v>31</v>
      </c>
      <c r="K168" s="215" t="s">
        <v>31</v>
      </c>
    </row>
    <row r="169" spans="3:11" x14ac:dyDescent="0.45">
      <c r="C169" s="246" t="str">
        <f>MATERIALES_ISO_TABLA3[[#This Row],[Grupo]]&amp;" - "&amp;MATERIALES_ISO_TABLA3[[#This Row],[Materiales o aplicación]]&amp;", ρ = "&amp;MATERIALES_ISO_TABLA3[[#This Row],[Densidad
ρ
kg/m³]]&amp;" kg/m³"</f>
        <v>metales - Acero inoxidable, ρ = 7900 kg/m³</v>
      </c>
      <c r="D169"/>
      <c r="E169" s="247" t="s">
        <v>1258</v>
      </c>
      <c r="F169" s="238" t="s">
        <v>1266</v>
      </c>
      <c r="G169" s="216">
        <v>7900</v>
      </c>
      <c r="H169" s="257">
        <v>17</v>
      </c>
      <c r="I169" s="240">
        <v>500</v>
      </c>
      <c r="J169" s="240" t="s">
        <v>31</v>
      </c>
      <c r="K169" s="215" t="s">
        <v>31</v>
      </c>
    </row>
    <row r="170" spans="3:11" x14ac:dyDescent="0.45">
      <c r="C170" s="246" t="str">
        <f>MATERIALES_ISO_TABLA3[[#This Row],[Grupo]]&amp;" - "&amp;MATERIALES_ISO_TABLA3[[#This Row],[Materiales o aplicación]]&amp;", ρ = "&amp;MATERIALES_ISO_TABLA3[[#This Row],[Densidad
ρ
kg/m³]]&amp;" kg/m³"</f>
        <v>metales - Acero inoxidable, ρ = 7900 kg/m³</v>
      </c>
      <c r="D170"/>
      <c r="E170" s="247" t="s">
        <v>1258</v>
      </c>
      <c r="F170" s="238" t="s">
        <v>1266</v>
      </c>
      <c r="G170" s="216">
        <v>7900</v>
      </c>
      <c r="H170" s="257">
        <v>30</v>
      </c>
      <c r="I170" s="240">
        <v>460</v>
      </c>
      <c r="J170" s="240" t="s">
        <v>31</v>
      </c>
      <c r="K170" s="215" t="s">
        <v>31</v>
      </c>
    </row>
    <row r="171" spans="3:11" x14ac:dyDescent="0.45">
      <c r="C171" s="249" t="str">
        <f>MATERIALES_ISO_TABLA3[[#This Row],[Grupo]]&amp;" - "&amp;MATERIALES_ISO_TABLA3[[#This Row],[Materiales o aplicación]]&amp;", ρ = "&amp;MATERIALES_ISO_TABLA3[[#This Row],[Densidad
ρ
kg/m³]]&amp;" kg/m³"</f>
        <v>metales - Zinc, ρ = 7200 kg/m³</v>
      </c>
      <c r="D171"/>
      <c r="E171" s="250" t="s">
        <v>1258</v>
      </c>
      <c r="F171" s="229" t="s">
        <v>1267</v>
      </c>
      <c r="G171" s="218">
        <v>7200</v>
      </c>
      <c r="H171" s="259">
        <v>110</v>
      </c>
      <c r="I171" s="231">
        <v>380</v>
      </c>
      <c r="J171" s="231" t="s">
        <v>31</v>
      </c>
      <c r="K171" s="217" t="s">
        <v>31</v>
      </c>
    </row>
    <row r="172" spans="3:11" hidden="1" x14ac:dyDescent="0.45">
      <c r="C172" s="224" t="s">
        <v>1268</v>
      </c>
      <c r="D172"/>
      <c r="E172" s="232"/>
      <c r="F172" s="233"/>
      <c r="G172" s="214"/>
      <c r="H172" s="234"/>
      <c r="I172" s="235"/>
      <c r="J172" s="235"/>
      <c r="K172" s="213"/>
    </row>
    <row r="173" spans="3:11" x14ac:dyDescent="0.45">
      <c r="C173" s="260" t="str">
        <f>MATERIALES_ISO_TABLA3[[#This Row],[Grupo]]&amp;" - "&amp;MATERIALES_ISO_TABLA3[[#This Row],[Materiales o aplicación]]&amp;", ρ = "&amp;MATERIALES_ISO_TABLA3[[#This Row],[Densidad
ρ
kg/m³]]&amp;" kg/m³"</f>
        <v>Plásticos - Acrílico, ρ = 1050 kg/m³</v>
      </c>
      <c r="D173"/>
      <c r="E173" s="261" t="s">
        <v>1269</v>
      </c>
      <c r="F173" s="238" t="s">
        <v>1270</v>
      </c>
      <c r="G173" s="216">
        <v>1050</v>
      </c>
      <c r="H173" s="239">
        <v>0.2</v>
      </c>
      <c r="I173" s="240">
        <v>1500</v>
      </c>
      <c r="J173" s="240">
        <v>10000</v>
      </c>
      <c r="K173" s="215">
        <v>10000</v>
      </c>
    </row>
    <row r="174" spans="3:11" x14ac:dyDescent="0.45">
      <c r="C174" s="260" t="str">
        <f>MATERIALES_ISO_TABLA3[[#This Row],[Grupo]]&amp;" - "&amp;MATERIALES_ISO_TABLA3[[#This Row],[Materiales o aplicación]]&amp;", ρ = "&amp;MATERIALES_ISO_TABLA3[[#This Row],[Densidad
ρ
kg/m³]]&amp;" kg/m³"</f>
        <v>Plásticos - Policarbonato, ρ = 1200 kg/m³</v>
      </c>
      <c r="D174"/>
      <c r="E174" s="261" t="s">
        <v>1269</v>
      </c>
      <c r="F174" s="238" t="s">
        <v>1271</v>
      </c>
      <c r="G174" s="216">
        <v>1200</v>
      </c>
      <c r="H174" s="239">
        <v>0.2</v>
      </c>
      <c r="I174" s="240">
        <v>1200</v>
      </c>
      <c r="J174" s="240">
        <v>5000</v>
      </c>
      <c r="K174" s="215">
        <v>5000</v>
      </c>
    </row>
    <row r="175" spans="3:11" x14ac:dyDescent="0.45">
      <c r="C175" s="260" t="str">
        <f>MATERIALES_ISO_TABLA3[[#This Row],[Grupo]]&amp;" - "&amp;MATERIALES_ISO_TABLA3[[#This Row],[Materiales o aplicación]]&amp;", ρ = "&amp;MATERIALES_ISO_TABLA3[[#This Row],[Densidad
ρ
kg/m³]]&amp;" kg/m³"</f>
        <v>Plásticos - Politetrafluoretileno (PTFE), ρ = 2200 kg/m³</v>
      </c>
      <c r="D175"/>
      <c r="E175" s="261" t="s">
        <v>1269</v>
      </c>
      <c r="F175" s="238" t="s">
        <v>1272</v>
      </c>
      <c r="G175" s="216">
        <v>2200</v>
      </c>
      <c r="H175" s="239">
        <v>0.25</v>
      </c>
      <c r="I175" s="240">
        <v>1000</v>
      </c>
      <c r="J175" s="240">
        <v>10000</v>
      </c>
      <c r="K175" s="215">
        <v>10000</v>
      </c>
    </row>
    <row r="176" spans="3:11" x14ac:dyDescent="0.45">
      <c r="C176" s="260" t="str">
        <f>MATERIALES_ISO_TABLA3[[#This Row],[Grupo]]&amp;" - "&amp;MATERIALES_ISO_TABLA3[[#This Row],[Materiales o aplicación]]&amp;", ρ = "&amp;MATERIALES_ISO_TABLA3[[#This Row],[Densidad
ρ
kg/m³]]&amp;" kg/m³"</f>
        <v>Plásticos - Policloruro de vinilo (PVC), ρ = 1390 kg/m³</v>
      </c>
      <c r="D176"/>
      <c r="E176" s="261" t="s">
        <v>1269</v>
      </c>
      <c r="F176" s="238" t="s">
        <v>1273</v>
      </c>
      <c r="G176" s="216">
        <v>1390</v>
      </c>
      <c r="H176" s="239">
        <v>0.17</v>
      </c>
      <c r="I176" s="240">
        <v>900</v>
      </c>
      <c r="J176" s="240">
        <v>50000</v>
      </c>
      <c r="K176" s="215">
        <v>50000</v>
      </c>
    </row>
    <row r="177" spans="3:11" x14ac:dyDescent="0.45">
      <c r="C177" s="260" t="str">
        <f>MATERIALES_ISO_TABLA3[[#This Row],[Grupo]]&amp;" - "&amp;MATERIALES_ISO_TABLA3[[#This Row],[Materiales o aplicación]]&amp;", ρ = "&amp;MATERIALES_ISO_TABLA3[[#This Row],[Densidad
ρ
kg/m³]]&amp;" kg/m³"</f>
        <v>Plásticos - Polimetilmetacrilato (PMMA), ρ = 1180 kg/m³</v>
      </c>
      <c r="D177"/>
      <c r="E177" s="261" t="s">
        <v>1269</v>
      </c>
      <c r="F177" s="238" t="s">
        <v>1274</v>
      </c>
      <c r="G177" s="216">
        <v>1180</v>
      </c>
      <c r="H177" s="239">
        <v>0.18</v>
      </c>
      <c r="I177" s="240">
        <v>1500</v>
      </c>
      <c r="J177" s="240">
        <v>50000</v>
      </c>
      <c r="K177" s="215">
        <v>50000</v>
      </c>
    </row>
    <row r="178" spans="3:11" x14ac:dyDescent="0.45">
      <c r="C178" s="260" t="str">
        <f>MATERIALES_ISO_TABLA3[[#This Row],[Grupo]]&amp;" - "&amp;MATERIALES_ISO_TABLA3[[#This Row],[Materiales o aplicación]]&amp;", ρ = "&amp;MATERIALES_ISO_TABLA3[[#This Row],[Densidad
ρ
kg/m³]]&amp;" kg/m³"</f>
        <v>Plásticos - Poliacetato, ρ = 1410 kg/m³</v>
      </c>
      <c r="D178"/>
      <c r="E178" s="261" t="s">
        <v>1269</v>
      </c>
      <c r="F178" s="238" t="s">
        <v>1275</v>
      </c>
      <c r="G178" s="216">
        <v>1410</v>
      </c>
      <c r="H178" s="239">
        <v>0.3</v>
      </c>
      <c r="I178" s="240">
        <v>1400</v>
      </c>
      <c r="J178" s="240">
        <v>100000</v>
      </c>
      <c r="K178" s="215">
        <v>100000</v>
      </c>
    </row>
    <row r="179" spans="3:11" x14ac:dyDescent="0.45">
      <c r="C179" s="260" t="str">
        <f>MATERIALES_ISO_TABLA3[[#This Row],[Grupo]]&amp;" - "&amp;MATERIALES_ISO_TABLA3[[#This Row],[Materiales o aplicación]]&amp;", ρ = "&amp;MATERIALES_ISO_TABLA3[[#This Row],[Densidad
ρ
kg/m³]]&amp;" kg/m³"</f>
        <v>Plásticos - Poliamida (nylon), ρ = 1150 kg/m³</v>
      </c>
      <c r="D179"/>
      <c r="E179" s="261" t="s">
        <v>1269</v>
      </c>
      <c r="F179" s="238" t="s">
        <v>1276</v>
      </c>
      <c r="G179" s="216">
        <v>1150</v>
      </c>
      <c r="H179" s="239">
        <v>0.25</v>
      </c>
      <c r="I179" s="240">
        <v>1600</v>
      </c>
      <c r="J179" s="240">
        <v>50000</v>
      </c>
      <c r="K179" s="215">
        <v>50000</v>
      </c>
    </row>
    <row r="180" spans="3:11" x14ac:dyDescent="0.45">
      <c r="C180" s="260" t="str">
        <f>MATERIALES_ISO_TABLA3[[#This Row],[Grupo]]&amp;" - "&amp;MATERIALES_ISO_TABLA3[[#This Row],[Materiales o aplicación]]&amp;", ρ = "&amp;MATERIALES_ISO_TABLA3[[#This Row],[Densidad
ρ
kg/m³]]&amp;" kg/m³"</f>
        <v>Plásticos - Poliamida 6,6 con 25% fibra de vidrio, ρ = 1450 kg/m³</v>
      </c>
      <c r="D180"/>
      <c r="E180" s="261" t="s">
        <v>1269</v>
      </c>
      <c r="F180" s="238" t="s">
        <v>1277</v>
      </c>
      <c r="G180" s="216">
        <v>1450</v>
      </c>
      <c r="H180" s="239">
        <v>0.3</v>
      </c>
      <c r="I180" s="240">
        <v>1600</v>
      </c>
      <c r="J180" s="240">
        <v>50000</v>
      </c>
      <c r="K180" s="215">
        <v>50000</v>
      </c>
    </row>
    <row r="181" spans="3:11" x14ac:dyDescent="0.45">
      <c r="C181" s="260" t="str">
        <f>MATERIALES_ISO_TABLA3[[#This Row],[Grupo]]&amp;" - "&amp;MATERIALES_ISO_TABLA3[[#This Row],[Materiales o aplicación]]&amp;", ρ = "&amp;MATERIALES_ISO_TABLA3[[#This Row],[Densidad
ρ
kg/m³]]&amp;" kg/m³"</f>
        <v>Plásticos - Polietileno/polietano, alta densidad, ρ = 980 kg/m³</v>
      </c>
      <c r="D181"/>
      <c r="E181" s="261" t="s">
        <v>1269</v>
      </c>
      <c r="F181" s="238" t="s">
        <v>1278</v>
      </c>
      <c r="G181" s="216">
        <v>980</v>
      </c>
      <c r="H181" s="239">
        <v>0.5</v>
      </c>
      <c r="I181" s="240">
        <v>1800</v>
      </c>
      <c r="J181" s="240">
        <v>100000</v>
      </c>
      <c r="K181" s="215">
        <v>100000</v>
      </c>
    </row>
    <row r="182" spans="3:11" x14ac:dyDescent="0.45">
      <c r="C182" s="260" t="str">
        <f>MATERIALES_ISO_TABLA3[[#This Row],[Grupo]]&amp;" - "&amp;MATERIALES_ISO_TABLA3[[#This Row],[Materiales o aplicación]]&amp;", ρ = "&amp;MATERIALES_ISO_TABLA3[[#This Row],[Densidad
ρ
kg/m³]]&amp;" kg/m³"</f>
        <v>Plásticos - Polietileno/polietano, baja densidad, ρ = 920 kg/m³</v>
      </c>
      <c r="D182"/>
      <c r="E182" s="261" t="s">
        <v>1269</v>
      </c>
      <c r="F182" s="238" t="s">
        <v>1279</v>
      </c>
      <c r="G182" s="216">
        <v>920</v>
      </c>
      <c r="H182" s="239">
        <v>0.33</v>
      </c>
      <c r="I182" s="240">
        <v>2200</v>
      </c>
      <c r="J182" s="240">
        <v>100000</v>
      </c>
      <c r="K182" s="215">
        <v>100000</v>
      </c>
    </row>
    <row r="183" spans="3:11" x14ac:dyDescent="0.45">
      <c r="C183" s="260" t="str">
        <f>MATERIALES_ISO_TABLA3[[#This Row],[Grupo]]&amp;" - "&amp;MATERIALES_ISO_TABLA3[[#This Row],[Materiales o aplicación]]&amp;", ρ = "&amp;MATERIALES_ISO_TABLA3[[#This Row],[Densidad
ρ
kg/m³]]&amp;" kg/m³"</f>
        <v>Plásticos - Poliestireno, ρ = 1050 kg/m³</v>
      </c>
      <c r="D183"/>
      <c r="E183" s="261" t="s">
        <v>1269</v>
      </c>
      <c r="F183" s="238" t="s">
        <v>1280</v>
      </c>
      <c r="G183" s="216">
        <v>1050</v>
      </c>
      <c r="H183" s="239">
        <v>0.16</v>
      </c>
      <c r="I183" s="240">
        <v>1300</v>
      </c>
      <c r="J183" s="240">
        <v>100000</v>
      </c>
      <c r="K183" s="215">
        <v>100000</v>
      </c>
    </row>
    <row r="184" spans="3:11" x14ac:dyDescent="0.45">
      <c r="C184" s="260" t="str">
        <f>MATERIALES_ISO_TABLA3[[#This Row],[Grupo]]&amp;" - "&amp;MATERIALES_ISO_TABLA3[[#This Row],[Materiales o aplicación]]&amp;", ρ = "&amp;MATERIALES_ISO_TABLA3[[#This Row],[Densidad
ρ
kg/m³]]&amp;" kg/m³"</f>
        <v>Plásticos - Polipropileno, ρ = 910 kg/m³</v>
      </c>
      <c r="D184"/>
      <c r="E184" s="261" t="s">
        <v>1269</v>
      </c>
      <c r="F184" s="238" t="s">
        <v>1281</v>
      </c>
      <c r="G184" s="216">
        <v>910</v>
      </c>
      <c r="H184" s="239">
        <v>0.22</v>
      </c>
      <c r="I184" s="240">
        <v>1800</v>
      </c>
      <c r="J184" s="240">
        <v>10000</v>
      </c>
      <c r="K184" s="215">
        <v>10000</v>
      </c>
    </row>
    <row r="185" spans="3:11" x14ac:dyDescent="0.45">
      <c r="C185" s="260" t="str">
        <f>MATERIALES_ISO_TABLA3[[#This Row],[Grupo]]&amp;" - "&amp;MATERIALES_ISO_TABLA3[[#This Row],[Materiales o aplicación]]&amp;", ρ = "&amp;MATERIALES_ISO_TABLA3[[#This Row],[Densidad
ρ
kg/m³]]&amp;" kg/m³"</f>
        <v>Plásticos - Polipropileno con 25% fibra de vidrio, ρ = 1200 kg/m³</v>
      </c>
      <c r="D185"/>
      <c r="E185" s="261" t="s">
        <v>1269</v>
      </c>
      <c r="F185" s="238" t="s">
        <v>1282</v>
      </c>
      <c r="G185" s="216">
        <v>1200</v>
      </c>
      <c r="H185" s="239">
        <v>0.25</v>
      </c>
      <c r="I185" s="240">
        <v>1800</v>
      </c>
      <c r="J185" s="240">
        <v>10000</v>
      </c>
      <c r="K185" s="215">
        <v>10000</v>
      </c>
    </row>
    <row r="186" spans="3:11" x14ac:dyDescent="0.45">
      <c r="C186" s="260" t="str">
        <f>MATERIALES_ISO_TABLA3[[#This Row],[Grupo]]&amp;" - "&amp;MATERIALES_ISO_TABLA3[[#This Row],[Materiales o aplicación]]&amp;", ρ = "&amp;MATERIALES_ISO_TABLA3[[#This Row],[Densidad
ρ
kg/m³]]&amp;" kg/m³"</f>
        <v>Plásticos - Poliuretano (PU), ρ = 1200 kg/m³</v>
      </c>
      <c r="D186"/>
      <c r="E186" s="261" t="s">
        <v>1269</v>
      </c>
      <c r="F186" s="238" t="s">
        <v>1283</v>
      </c>
      <c r="G186" s="216">
        <v>1200</v>
      </c>
      <c r="H186" s="239">
        <v>0.25</v>
      </c>
      <c r="I186" s="240">
        <v>1800</v>
      </c>
      <c r="J186" s="240">
        <v>6000</v>
      </c>
      <c r="K186" s="215">
        <v>6000</v>
      </c>
    </row>
    <row r="187" spans="3:11" x14ac:dyDescent="0.45">
      <c r="C187" s="260" t="str">
        <f>MATERIALES_ISO_TABLA3[[#This Row],[Grupo]]&amp;" - "&amp;MATERIALES_ISO_TABLA3[[#This Row],[Materiales o aplicación]]&amp;", ρ = "&amp;MATERIALES_ISO_TABLA3[[#This Row],[Densidad
ρ
kg/m³]]&amp;" kg/m³"</f>
        <v>Plásticos - Resina epóxica, ρ = 1200 kg/m³</v>
      </c>
      <c r="D187"/>
      <c r="E187" s="261" t="s">
        <v>1269</v>
      </c>
      <c r="F187" s="238" t="s">
        <v>1284</v>
      </c>
      <c r="G187" s="216">
        <v>1200</v>
      </c>
      <c r="H187" s="239">
        <v>0.2</v>
      </c>
      <c r="I187" s="240">
        <v>1400</v>
      </c>
      <c r="J187" s="240">
        <v>10000</v>
      </c>
      <c r="K187" s="215">
        <v>10000</v>
      </c>
    </row>
    <row r="188" spans="3:11" x14ac:dyDescent="0.45">
      <c r="C188" s="260" t="str">
        <f>MATERIALES_ISO_TABLA3[[#This Row],[Grupo]]&amp;" - "&amp;MATERIALES_ISO_TABLA3[[#This Row],[Materiales o aplicación]]&amp;", ρ = "&amp;MATERIALES_ISO_TABLA3[[#This Row],[Densidad
ρ
kg/m³]]&amp;" kg/m³"</f>
        <v>Plásticos - Resina fenólica, ρ = 1300 kg/m³</v>
      </c>
      <c r="D188"/>
      <c r="E188" s="261" t="s">
        <v>1269</v>
      </c>
      <c r="F188" s="238" t="s">
        <v>1285</v>
      </c>
      <c r="G188" s="216">
        <v>1300</v>
      </c>
      <c r="H188" s="239">
        <v>0.3</v>
      </c>
      <c r="I188" s="240">
        <v>1700</v>
      </c>
      <c r="J188" s="240">
        <v>100000</v>
      </c>
      <c r="K188" s="215">
        <v>100000</v>
      </c>
    </row>
    <row r="189" spans="3:11" x14ac:dyDescent="0.45">
      <c r="C189" s="262" t="str">
        <f>MATERIALES_ISO_TABLA3[[#This Row],[Grupo]]&amp;" - "&amp;MATERIALES_ISO_TABLA3[[#This Row],[Materiales o aplicación]]&amp;", ρ = "&amp;MATERIALES_ISO_TABLA3[[#This Row],[Densidad
ρ
kg/m³]]&amp;" kg/m³"</f>
        <v>Plásticos - Resina poliéster, ρ = 1400 kg/m³</v>
      </c>
      <c r="D189"/>
      <c r="E189" s="263" t="s">
        <v>1269</v>
      </c>
      <c r="F189" s="229" t="s">
        <v>1286</v>
      </c>
      <c r="G189" s="218">
        <v>1400</v>
      </c>
      <c r="H189" s="230">
        <v>0.19</v>
      </c>
      <c r="I189" s="231">
        <v>1200</v>
      </c>
      <c r="J189" s="231">
        <v>10000</v>
      </c>
      <c r="K189" s="217">
        <v>10000</v>
      </c>
    </row>
    <row r="190" spans="3:11" hidden="1" x14ac:dyDescent="0.45">
      <c r="C190" s="224" t="s">
        <v>1287</v>
      </c>
      <c r="D190"/>
      <c r="E190" s="232"/>
      <c r="F190" s="233"/>
      <c r="G190" s="214"/>
      <c r="H190" s="234"/>
      <c r="I190" s="235"/>
      <c r="J190" s="235"/>
      <c r="K190" s="213"/>
    </row>
    <row r="191" spans="3:11" x14ac:dyDescent="0.45">
      <c r="C191" s="246" t="str">
        <f>MATERIALES_ISO_TABLA3[[#This Row],[Grupo]]&amp;" - "&amp;MATERIALES_ISO_TABLA3[[#This Row],[Materiales o aplicación]]&amp;", ρ = "&amp;MATERIALES_ISO_TABLA3[[#This Row],[Densidad
ρ
kg/m³]]&amp;" kg/m³"</f>
        <v>Caucho - Natural, ρ = 910 kg/m³</v>
      </c>
      <c r="D191"/>
      <c r="E191" s="247" t="s">
        <v>1221</v>
      </c>
      <c r="F191" s="238" t="s">
        <v>1288</v>
      </c>
      <c r="G191" s="216">
        <v>910</v>
      </c>
      <c r="H191" s="239">
        <v>0.13</v>
      </c>
      <c r="I191" s="240">
        <v>1100</v>
      </c>
      <c r="J191" s="240">
        <v>10000</v>
      </c>
      <c r="K191" s="215">
        <v>10000</v>
      </c>
    </row>
    <row r="192" spans="3:11" x14ac:dyDescent="0.45">
      <c r="C192" s="246" t="str">
        <f>MATERIALES_ISO_TABLA3[[#This Row],[Grupo]]&amp;" - "&amp;MATERIALES_ISO_TABLA3[[#This Row],[Materiales o aplicación]]&amp;", ρ = "&amp;MATERIALES_ISO_TABLA3[[#This Row],[Densidad
ρ
kg/m³]]&amp;" kg/m³"</f>
        <v>Caucho - Neopreno (policloropreno), ρ = 1240 kg/m³</v>
      </c>
      <c r="D192"/>
      <c r="E192" s="247" t="s">
        <v>1221</v>
      </c>
      <c r="F192" s="238" t="s">
        <v>1289</v>
      </c>
      <c r="G192" s="216">
        <v>1240</v>
      </c>
      <c r="H192" s="239">
        <v>0.23</v>
      </c>
      <c r="I192" s="240">
        <v>2140</v>
      </c>
      <c r="J192" s="240">
        <v>10000</v>
      </c>
      <c r="K192" s="215">
        <v>10000</v>
      </c>
    </row>
    <row r="193" spans="3:11" x14ac:dyDescent="0.45">
      <c r="C193" s="246" t="str">
        <f>MATERIALES_ISO_TABLA3[[#This Row],[Grupo]]&amp;" - "&amp;MATERIALES_ISO_TABLA3[[#This Row],[Materiales o aplicación]]&amp;", ρ = "&amp;MATERIALES_ISO_TABLA3[[#This Row],[Densidad
ρ
kg/m³]]&amp;" kg/m³"</f>
        <v>Caucho - Butilo, (isobutano), sólido/caliente derretido, ρ = 1200 kg/m³</v>
      </c>
      <c r="D193"/>
      <c r="E193" s="247" t="s">
        <v>1221</v>
      </c>
      <c r="F193" s="238" t="s">
        <v>1290</v>
      </c>
      <c r="G193" s="216">
        <v>1200</v>
      </c>
      <c r="H193" s="239">
        <v>0.24</v>
      </c>
      <c r="I193" s="240">
        <v>1400</v>
      </c>
      <c r="J193" s="240">
        <v>200000</v>
      </c>
      <c r="K193" s="215">
        <v>200000</v>
      </c>
    </row>
    <row r="194" spans="3:11" x14ac:dyDescent="0.45">
      <c r="C194" s="246" t="str">
        <f>MATERIALES_ISO_TABLA3[[#This Row],[Grupo]]&amp;" - "&amp;MATERIALES_ISO_TABLA3[[#This Row],[Materiales o aplicación]]&amp;", ρ = "&amp;MATERIALES_ISO_TABLA3[[#This Row],[Densidad
ρ
kg/m³]]&amp;" kg/m³"</f>
        <v>Caucho - Espuma de caucho, ρ = 60-80 kg/m³</v>
      </c>
      <c r="D194"/>
      <c r="E194" s="247" t="s">
        <v>1221</v>
      </c>
      <c r="F194" s="238" t="s">
        <v>1291</v>
      </c>
      <c r="G194" s="216" t="s">
        <v>1292</v>
      </c>
      <c r="H194" s="239">
        <v>0.06</v>
      </c>
      <c r="I194" s="240">
        <v>1500</v>
      </c>
      <c r="J194" s="240">
        <v>7000</v>
      </c>
      <c r="K194" s="215">
        <v>7000</v>
      </c>
    </row>
    <row r="195" spans="3:11" x14ac:dyDescent="0.45">
      <c r="C195" s="246" t="str">
        <f>MATERIALES_ISO_TABLA3[[#This Row],[Grupo]]&amp;" - "&amp;MATERIALES_ISO_TABLA3[[#This Row],[Materiales o aplicación]]&amp;", ρ = "&amp;MATERIALES_ISO_TABLA3[[#This Row],[Densidad
ρ
kg/m³]]&amp;" kg/m³"</f>
        <v>Caucho - Caucho duro (ebonita), sólido, ρ = 1200 kg/m³</v>
      </c>
      <c r="D195"/>
      <c r="E195" s="247" t="s">
        <v>1221</v>
      </c>
      <c r="F195" s="238" t="s">
        <v>1293</v>
      </c>
      <c r="G195" s="216">
        <v>1200</v>
      </c>
      <c r="H195" s="239">
        <v>0.17</v>
      </c>
      <c r="I195" s="240">
        <v>1400</v>
      </c>
      <c r="J195" s="240" t="s">
        <v>31</v>
      </c>
      <c r="K195" s="215" t="s">
        <v>31</v>
      </c>
    </row>
    <row r="196" spans="3:11" x14ac:dyDescent="0.45">
      <c r="C196" s="246" t="str">
        <f>MATERIALES_ISO_TABLA3[[#This Row],[Grupo]]&amp;" - "&amp;MATERIALES_ISO_TABLA3[[#This Row],[Materiales o aplicación]]&amp;", ρ = "&amp;MATERIALES_ISO_TABLA3[[#This Row],[Densidad
ρ
kg/m³]]&amp;" kg/m³"</f>
        <v>Caucho - EPDM, ρ = 1150 kg/m³</v>
      </c>
      <c r="D196"/>
      <c r="E196" s="247" t="s">
        <v>1221</v>
      </c>
      <c r="F196" s="238" t="s">
        <v>1294</v>
      </c>
      <c r="G196" s="216">
        <v>1150</v>
      </c>
      <c r="H196" s="239">
        <v>0.25</v>
      </c>
      <c r="I196" s="240">
        <v>1000</v>
      </c>
      <c r="J196" s="240">
        <v>6000</v>
      </c>
      <c r="K196" s="215">
        <v>6000</v>
      </c>
    </row>
    <row r="197" spans="3:11" x14ac:dyDescent="0.45">
      <c r="C197" s="246" t="str">
        <f>MATERIALES_ISO_TABLA3[[#This Row],[Grupo]]&amp;" - "&amp;MATERIALES_ISO_TABLA3[[#This Row],[Materiales o aplicación]]&amp;", ρ = "&amp;MATERIALES_ISO_TABLA3[[#This Row],[Densidad
ρ
kg/m³]]&amp;" kg/m³"</f>
        <v>Caucho - Poliisobutileno, ρ = 930 kg/m³</v>
      </c>
      <c r="D197"/>
      <c r="E197" s="247" t="s">
        <v>1221</v>
      </c>
      <c r="F197" s="238" t="s">
        <v>1295</v>
      </c>
      <c r="G197" s="216">
        <v>930</v>
      </c>
      <c r="H197" s="239">
        <v>0.2</v>
      </c>
      <c r="I197" s="240">
        <v>1100</v>
      </c>
      <c r="J197" s="240">
        <v>10000</v>
      </c>
      <c r="K197" s="215">
        <v>10000</v>
      </c>
    </row>
    <row r="198" spans="3:11" x14ac:dyDescent="0.45">
      <c r="C198" s="246" t="str">
        <f>MATERIALES_ISO_TABLA3[[#This Row],[Grupo]]&amp;" - "&amp;MATERIALES_ISO_TABLA3[[#This Row],[Materiales o aplicación]]&amp;", ρ = "&amp;MATERIALES_ISO_TABLA3[[#This Row],[Densidad
ρ
kg/m³]]&amp;" kg/m³"</f>
        <v>Caucho - Polisulfuro, ρ = 1700 kg/m³</v>
      </c>
      <c r="D198"/>
      <c r="E198" s="247" t="s">
        <v>1221</v>
      </c>
      <c r="F198" s="238" t="s">
        <v>1296</v>
      </c>
      <c r="G198" s="216">
        <v>1700</v>
      </c>
      <c r="H198" s="239">
        <v>0.4</v>
      </c>
      <c r="I198" s="240">
        <v>1000</v>
      </c>
      <c r="J198" s="240">
        <v>10000</v>
      </c>
      <c r="K198" s="215">
        <v>10000</v>
      </c>
    </row>
    <row r="199" spans="3:11" x14ac:dyDescent="0.45">
      <c r="C199" s="249" t="str">
        <f>MATERIALES_ISO_TABLA3[[#This Row],[Grupo]]&amp;" - "&amp;MATERIALES_ISO_TABLA3[[#This Row],[Materiales o aplicación]]&amp;", ρ = "&amp;MATERIALES_ISO_TABLA3[[#This Row],[Densidad
ρ
kg/m³]]&amp;" kg/m³"</f>
        <v>Caucho - Butadieno, ρ = 980 kg/m³</v>
      </c>
      <c r="D199"/>
      <c r="E199" s="250" t="s">
        <v>1221</v>
      </c>
      <c r="F199" s="229" t="s">
        <v>1297</v>
      </c>
      <c r="G199" s="218">
        <v>980</v>
      </c>
      <c r="H199" s="230">
        <v>0.25</v>
      </c>
      <c r="I199" s="231">
        <v>1000</v>
      </c>
      <c r="J199" s="231">
        <v>100000</v>
      </c>
      <c r="K199" s="217">
        <v>100000</v>
      </c>
    </row>
    <row r="200" spans="3:11" hidden="1" x14ac:dyDescent="0.45">
      <c r="C200" s="224" t="s">
        <v>1298</v>
      </c>
      <c r="D200"/>
      <c r="E200" s="232"/>
      <c r="F200" s="233"/>
      <c r="G200" s="214"/>
      <c r="H200" s="234"/>
      <c r="I200" s="235"/>
      <c r="J200" s="235"/>
      <c r="K200" s="213"/>
    </row>
    <row r="201" spans="3:11" x14ac:dyDescent="0.45">
      <c r="C201" s="236" t="str">
        <f>MATERIALES_ISO_TABLA3[[#This Row],[Grupo]]&amp;" - "&amp;MATERIALES_ISO_TABLA3[[#This Row],[Materiales o aplicación]]&amp;", ρ = "&amp;MATERIALES_ISO_TABLA3[[#This Row],[Densidad
ρ
kg/m³]]&amp;" kg/m³"</f>
        <v>Sellantes y otros - Gel de sílice (desecante), ρ = 720 kg/m³</v>
      </c>
      <c r="D201"/>
      <c r="E201" s="237" t="s">
        <v>1299</v>
      </c>
      <c r="F201" s="238" t="s">
        <v>1300</v>
      </c>
      <c r="G201" s="216">
        <v>720</v>
      </c>
      <c r="H201" s="239">
        <v>0.13</v>
      </c>
      <c r="I201" s="240">
        <v>1000</v>
      </c>
      <c r="J201" s="240" t="s">
        <v>31</v>
      </c>
      <c r="K201" s="215" t="s">
        <v>31</v>
      </c>
    </row>
    <row r="202" spans="3:11" x14ac:dyDescent="0.45">
      <c r="C202" s="236" t="str">
        <f>MATERIALES_ISO_TABLA3[[#This Row],[Grupo]]&amp;" - "&amp;MATERIALES_ISO_TABLA3[[#This Row],[Materiales o aplicación]]&amp;", ρ = "&amp;MATERIALES_ISO_TABLA3[[#This Row],[Densidad
ρ
kg/m³]]&amp;" kg/m³"</f>
        <v>Sellantes y otros - Silicona, pura, ρ = 1200 kg/m³</v>
      </c>
      <c r="D202"/>
      <c r="E202" s="237" t="s">
        <v>1299</v>
      </c>
      <c r="F202" s="238" t="s">
        <v>1301</v>
      </c>
      <c r="G202" s="216">
        <v>1200</v>
      </c>
      <c r="H202" s="239">
        <v>0.35</v>
      </c>
      <c r="I202" s="240">
        <v>1000</v>
      </c>
      <c r="J202" s="240">
        <v>5000</v>
      </c>
      <c r="K202" s="215">
        <v>5000</v>
      </c>
    </row>
    <row r="203" spans="3:11" x14ac:dyDescent="0.45">
      <c r="C203" s="236" t="str">
        <f>MATERIALES_ISO_TABLA3[[#This Row],[Grupo]]&amp;" - "&amp;MATERIALES_ISO_TABLA3[[#This Row],[Materiales o aplicación]]&amp;", ρ = "&amp;MATERIALES_ISO_TABLA3[[#This Row],[Densidad
ρ
kg/m³]]&amp;" kg/m³"</f>
        <v>Sellantes y otros - Silicona, rellena, ρ = 1450 kg/m³</v>
      </c>
      <c r="D203"/>
      <c r="E203" s="237" t="s">
        <v>1299</v>
      </c>
      <c r="F203" s="238" t="s">
        <v>1302</v>
      </c>
      <c r="G203" s="216">
        <v>1450</v>
      </c>
      <c r="H203" s="239">
        <v>0.5</v>
      </c>
      <c r="I203" s="240">
        <v>1000</v>
      </c>
      <c r="J203" s="240">
        <v>5000</v>
      </c>
      <c r="K203" s="215">
        <v>5000</v>
      </c>
    </row>
    <row r="204" spans="3:11" x14ac:dyDescent="0.45">
      <c r="C204" s="236" t="str">
        <f>MATERIALES_ISO_TABLA3[[#This Row],[Grupo]]&amp;" - "&amp;MATERIALES_ISO_TABLA3[[#This Row],[Materiales o aplicación]]&amp;", ρ = "&amp;MATERIALES_ISO_TABLA3[[#This Row],[Densidad
ρ
kg/m³]]&amp;" kg/m³"</f>
        <v>Sellantes y otros - Espuma de silicona, ρ = 750 kg/m³</v>
      </c>
      <c r="D204"/>
      <c r="E204" s="237" t="s">
        <v>1299</v>
      </c>
      <c r="F204" s="238" t="s">
        <v>1303</v>
      </c>
      <c r="G204" s="216">
        <v>750</v>
      </c>
      <c r="H204" s="239">
        <v>0.12</v>
      </c>
      <c r="I204" s="240">
        <v>1000</v>
      </c>
      <c r="J204" s="240">
        <v>10000</v>
      </c>
      <c r="K204" s="215">
        <v>10000</v>
      </c>
    </row>
    <row r="205" spans="3:11" x14ac:dyDescent="0.45">
      <c r="C205" s="236" t="str">
        <f>MATERIALES_ISO_TABLA3[[#This Row],[Grupo]]&amp;" - "&amp;MATERIALES_ISO_TABLA3[[#This Row],[Materiales o aplicación]]&amp;", ρ = "&amp;MATERIALES_ISO_TABLA3[[#This Row],[Densidad
ρ
kg/m³]]&amp;" kg/m³"</f>
        <v>Sellantes y otros - uretano/poliuretano (quiebre térmico), ρ = 1300 kg/m³</v>
      </c>
      <c r="D205"/>
      <c r="E205" s="237" t="s">
        <v>1299</v>
      </c>
      <c r="F205" s="238" t="s">
        <v>1304</v>
      </c>
      <c r="G205" s="216">
        <v>1300</v>
      </c>
      <c r="H205" s="239">
        <v>0.21</v>
      </c>
      <c r="I205" s="240">
        <v>1800</v>
      </c>
      <c r="J205" s="240">
        <v>60</v>
      </c>
      <c r="K205" s="215">
        <v>60</v>
      </c>
    </row>
    <row r="206" spans="3:11" x14ac:dyDescent="0.45">
      <c r="C206" s="236" t="str">
        <f>MATERIALES_ISO_TABLA3[[#This Row],[Grupo]]&amp;" - "&amp;MATERIALES_ISO_TABLA3[[#This Row],[Materiales o aplicación]]&amp;", ρ = "&amp;MATERIALES_ISO_TABLA3[[#This Row],[Densidad
ρ
kg/m³]]&amp;" kg/m³"</f>
        <v>Sellantes y otros - PVC, flexible, con 40% de suavisante, ρ = 1200 kg/m³</v>
      </c>
      <c r="D206"/>
      <c r="E206" s="237" t="s">
        <v>1299</v>
      </c>
      <c r="F206" s="238" t="s">
        <v>1305</v>
      </c>
      <c r="G206" s="216">
        <v>1200</v>
      </c>
      <c r="H206" s="239">
        <v>0.14000000000000001</v>
      </c>
      <c r="I206" s="240">
        <v>1000</v>
      </c>
      <c r="J206" s="240">
        <v>100000</v>
      </c>
      <c r="K206" s="215">
        <v>100000</v>
      </c>
    </row>
    <row r="207" spans="3:11" x14ac:dyDescent="0.45">
      <c r="C207" s="236" t="str">
        <f>MATERIALES_ISO_TABLA3[[#This Row],[Grupo]]&amp;" - "&amp;MATERIALES_ISO_TABLA3[[#This Row],[Materiales o aplicación]]&amp;", ρ = "&amp;MATERIALES_ISO_TABLA3[[#This Row],[Densidad
ρ
kg/m³]]&amp;" kg/m³"</f>
        <v>Sellantes y otros - espuma elastomérica, flexible, ρ = 60-80 kg/m³</v>
      </c>
      <c r="D207"/>
      <c r="E207" s="237" t="s">
        <v>1299</v>
      </c>
      <c r="F207" s="238" t="s">
        <v>1306</v>
      </c>
      <c r="G207" s="216" t="s">
        <v>1292</v>
      </c>
      <c r="H207" s="239">
        <v>0.05</v>
      </c>
      <c r="I207" s="240">
        <v>1500</v>
      </c>
      <c r="J207" s="240">
        <v>10000</v>
      </c>
      <c r="K207" s="215">
        <v>10000</v>
      </c>
    </row>
    <row r="208" spans="3:11" x14ac:dyDescent="0.45">
      <c r="C208" s="236" t="str">
        <f>MATERIALES_ISO_TABLA3[[#This Row],[Grupo]]&amp;" - "&amp;MATERIALES_ISO_TABLA3[[#This Row],[Materiales o aplicación]]&amp;", ρ = "&amp;MATERIALES_ISO_TABLA3[[#This Row],[Densidad
ρ
kg/m³]]&amp;" kg/m³"</f>
        <v>Sellantes y otros - espuma de poliuretano (PU), ρ = 70 kg/m³</v>
      </c>
      <c r="D208"/>
      <c r="E208" s="237" t="s">
        <v>1299</v>
      </c>
      <c r="F208" s="238" t="s">
        <v>1307</v>
      </c>
      <c r="G208" s="216">
        <v>70</v>
      </c>
      <c r="H208" s="239">
        <v>0.05</v>
      </c>
      <c r="I208" s="240">
        <v>1500</v>
      </c>
      <c r="J208" s="240">
        <v>60</v>
      </c>
      <c r="K208" s="215">
        <v>60</v>
      </c>
    </row>
    <row r="209" spans="3:11" x14ac:dyDescent="0.45">
      <c r="C209" s="241" t="str">
        <f>MATERIALES_ISO_TABLA3[[#This Row],[Grupo]]&amp;" - "&amp;MATERIALES_ISO_TABLA3[[#This Row],[Materiales o aplicación]]&amp;", ρ = "&amp;MATERIALES_ISO_TABLA3[[#This Row],[Densidad
ρ
kg/m³]]&amp;" kg/m³"</f>
        <v>Sellantes y otros - Espuma de polietileno, ρ = 70 kg/m³</v>
      </c>
      <c r="D209"/>
      <c r="E209" s="242" t="s">
        <v>1299</v>
      </c>
      <c r="F209" s="229" t="s">
        <v>1308</v>
      </c>
      <c r="G209" s="218">
        <v>70</v>
      </c>
      <c r="H209" s="230">
        <v>0.05</v>
      </c>
      <c r="I209" s="231">
        <v>2300</v>
      </c>
      <c r="J209" s="231">
        <v>100</v>
      </c>
      <c r="K209" s="217">
        <v>100</v>
      </c>
    </row>
    <row r="210" spans="3:11" hidden="1" x14ac:dyDescent="0.45">
      <c r="C210" s="224" t="s">
        <v>1309</v>
      </c>
      <c r="D210"/>
      <c r="E210" s="244"/>
      <c r="F210" s="233"/>
      <c r="G210" s="214"/>
      <c r="H210" s="234"/>
      <c r="I210" s="235"/>
      <c r="J210" s="235"/>
      <c r="K210" s="213"/>
    </row>
    <row r="211" spans="3:11" x14ac:dyDescent="0.45">
      <c r="C211" s="246" t="str">
        <f>MATERIALES_ISO_TABLA3[[#This Row],[Grupo]]&amp;" - "&amp;MATERIALES_ISO_TABLA3[[#This Row],[Materiales o aplicación]]&amp;", ρ = "&amp;MATERIALES_ISO_TABLA3[[#This Row],[Densidad
ρ
kg/m³]]&amp;" kg/m³"</f>
        <v>Yeso - Yeso, ρ = 600 kg/m³</v>
      </c>
      <c r="D211"/>
      <c r="E211" s="247" t="s">
        <v>1310</v>
      </c>
      <c r="F211" s="238" t="s">
        <v>1310</v>
      </c>
      <c r="G211" s="216">
        <v>600</v>
      </c>
      <c r="H211" s="239">
        <v>0.18</v>
      </c>
      <c r="I211" s="240">
        <v>1000</v>
      </c>
      <c r="J211" s="240">
        <v>10</v>
      </c>
      <c r="K211" s="215">
        <v>4</v>
      </c>
    </row>
    <row r="212" spans="3:11" x14ac:dyDescent="0.45">
      <c r="C212" s="246" t="str">
        <f>MATERIALES_ISO_TABLA3[[#This Row],[Grupo]]&amp;" - "&amp;MATERIALES_ISO_TABLA3[[#This Row],[Materiales o aplicación]]&amp;", ρ = "&amp;MATERIALES_ISO_TABLA3[[#This Row],[Densidad
ρ
kg/m³]]&amp;" kg/m³"</f>
        <v>Yeso - Yeso, ρ = 900 kg/m³</v>
      </c>
      <c r="D212"/>
      <c r="E212" s="247" t="s">
        <v>1310</v>
      </c>
      <c r="F212" s="238" t="s">
        <v>1310</v>
      </c>
      <c r="G212" s="216">
        <v>900</v>
      </c>
      <c r="H212" s="239">
        <v>0.4</v>
      </c>
      <c r="I212" s="240">
        <v>1000</v>
      </c>
      <c r="J212" s="240">
        <v>10</v>
      </c>
      <c r="K212" s="215">
        <v>4</v>
      </c>
    </row>
    <row r="213" spans="3:11" x14ac:dyDescent="0.45">
      <c r="C213" s="246" t="str">
        <f>MATERIALES_ISO_TABLA3[[#This Row],[Grupo]]&amp;" - "&amp;MATERIALES_ISO_TABLA3[[#This Row],[Materiales o aplicación]]&amp;", ρ = "&amp;MATERIALES_ISO_TABLA3[[#This Row],[Densidad
ρ
kg/m³]]&amp;" kg/m³"</f>
        <v>Yeso - Yeso, ρ = 1200 kg/m³</v>
      </c>
      <c r="D213"/>
      <c r="E213" s="247" t="s">
        <v>1310</v>
      </c>
      <c r="F213" s="238" t="s">
        <v>1310</v>
      </c>
      <c r="G213" s="216">
        <v>1200</v>
      </c>
      <c r="H213" s="239">
        <v>0.56999999999999995</v>
      </c>
      <c r="I213" s="240">
        <v>1000</v>
      </c>
      <c r="J213" s="240">
        <v>10</v>
      </c>
      <c r="K213" s="215">
        <v>4</v>
      </c>
    </row>
    <row r="214" spans="3:11" x14ac:dyDescent="0.45">
      <c r="C214" s="246" t="str">
        <f>MATERIALES_ISO_TABLA3[[#This Row],[Grupo]]&amp;" - "&amp;MATERIALES_ISO_TABLA3[[#This Row],[Materiales o aplicación]]&amp;", ρ = "&amp;MATERIALES_ISO_TABLA3[[#This Row],[Densidad
ρ
kg/m³]]&amp;" kg/m³"</f>
        <v>Yeso - Yeso, ρ = 1500 kg/m³</v>
      </c>
      <c r="D214"/>
      <c r="E214" s="247" t="s">
        <v>1310</v>
      </c>
      <c r="F214" s="238" t="s">
        <v>1310</v>
      </c>
      <c r="G214" s="216">
        <v>1500</v>
      </c>
      <c r="H214" s="239">
        <v>0.8</v>
      </c>
      <c r="I214" s="240">
        <v>1000</v>
      </c>
      <c r="J214" s="240">
        <v>10</v>
      </c>
      <c r="K214" s="215">
        <v>4</v>
      </c>
    </row>
    <row r="215" spans="3:11" x14ac:dyDescent="0.45">
      <c r="C215" s="246" t="str">
        <f>MATERIALES_ISO_TABLA3[[#This Row],[Grupo]]&amp;" - "&amp;MATERIALES_ISO_TABLA3[[#This Row],[Materiales o aplicación]]&amp;", ρ = "&amp;MATERIALES_ISO_TABLA3[[#This Row],[Densidad
ρ
kg/m³]]&amp;" kg/m³"</f>
        <v>Yeso - Yeso cartón, ρ = 700 kg/m³</v>
      </c>
      <c r="D215"/>
      <c r="E215" s="247" t="s">
        <v>1310</v>
      </c>
      <c r="F215" s="238" t="s">
        <v>1311</v>
      </c>
      <c r="G215" s="216">
        <v>700</v>
      </c>
      <c r="H215" s="239">
        <v>0.8</v>
      </c>
      <c r="I215" s="240">
        <v>1000</v>
      </c>
      <c r="J215" s="240">
        <v>10</v>
      </c>
      <c r="K215" s="215">
        <v>4</v>
      </c>
    </row>
    <row r="216" spans="3:11" x14ac:dyDescent="0.45">
      <c r="C216" s="249" t="str">
        <f>MATERIALES_ISO_TABLA3[[#This Row],[Grupo]]&amp;" - "&amp;MATERIALES_ISO_TABLA3[[#This Row],[Materiales o aplicación]]&amp;", ρ = "&amp;MATERIALES_ISO_TABLA3[[#This Row],[Densidad
ρ
kg/m³]]&amp;" kg/m³"</f>
        <v>Yeso - Yeso, ρ = 900 kg/m³</v>
      </c>
      <c r="D216"/>
      <c r="E216" s="250" t="s">
        <v>1310</v>
      </c>
      <c r="F216" s="229" t="s">
        <v>1310</v>
      </c>
      <c r="G216" s="218">
        <v>900</v>
      </c>
      <c r="H216" s="230">
        <v>1</v>
      </c>
      <c r="I216" s="231">
        <v>1000</v>
      </c>
      <c r="J216" s="231">
        <v>10</v>
      </c>
      <c r="K216" s="217">
        <v>4</v>
      </c>
    </row>
    <row r="217" spans="3:11" hidden="1" x14ac:dyDescent="0.45">
      <c r="C217" s="224" t="s">
        <v>1312</v>
      </c>
      <c r="D217"/>
      <c r="E217" s="232"/>
      <c r="F217" s="233"/>
      <c r="G217" s="214"/>
      <c r="H217" s="234"/>
      <c r="I217" s="235"/>
      <c r="J217" s="235"/>
      <c r="K217" s="213"/>
    </row>
    <row r="218" spans="3:11" x14ac:dyDescent="0.45">
      <c r="C218" s="264" t="str">
        <f>MATERIALES_ISO_TABLA3[[#This Row],[Grupo]]&amp;" - "&amp;MATERIALES_ISO_TABLA3[[#This Row],[Materiales o aplicación]]&amp;", ρ = "&amp;MATERIALES_ISO_TABLA3[[#This Row],[Densidad
ρ
kg/m³]]&amp;" kg/m³"</f>
        <v>Enlucidos - Enlucido de yeso aislante, ρ = 600 kg/m³</v>
      </c>
      <c r="D218"/>
      <c r="E218" s="265" t="s">
        <v>1313</v>
      </c>
      <c r="F218" s="238" t="s">
        <v>1314</v>
      </c>
      <c r="G218" s="216">
        <v>600</v>
      </c>
      <c r="H218" s="239">
        <v>0.18</v>
      </c>
      <c r="I218" s="240">
        <v>1000</v>
      </c>
      <c r="J218" s="240">
        <v>10</v>
      </c>
      <c r="K218" s="215">
        <v>6</v>
      </c>
    </row>
    <row r="219" spans="3:11" x14ac:dyDescent="0.45">
      <c r="C219" s="264" t="str">
        <f>MATERIALES_ISO_TABLA3[[#This Row],[Grupo]]&amp;" - "&amp;MATERIALES_ISO_TABLA3[[#This Row],[Materiales o aplicación]]&amp;", ρ = "&amp;MATERIALES_ISO_TABLA3[[#This Row],[Densidad
ρ
kg/m³]]&amp;" kg/m³"</f>
        <v>Enlucidos - Enlucido de yeso, ρ = 1000 kg/m³</v>
      </c>
      <c r="D219"/>
      <c r="E219" s="265" t="s">
        <v>1313</v>
      </c>
      <c r="F219" s="238" t="s">
        <v>1315</v>
      </c>
      <c r="G219" s="216">
        <v>1000</v>
      </c>
      <c r="H219" s="239">
        <v>0.4</v>
      </c>
      <c r="I219" s="240">
        <v>1000</v>
      </c>
      <c r="J219" s="240">
        <v>10</v>
      </c>
      <c r="K219" s="215">
        <v>6</v>
      </c>
    </row>
    <row r="220" spans="3:11" x14ac:dyDescent="0.45">
      <c r="C220" s="264" t="str">
        <f>MATERIALES_ISO_TABLA3[[#This Row],[Grupo]]&amp;" - "&amp;MATERIALES_ISO_TABLA3[[#This Row],[Materiales o aplicación]]&amp;", ρ = "&amp;MATERIALES_ISO_TABLA3[[#This Row],[Densidad
ρ
kg/m³]]&amp;" kg/m³"</f>
        <v>Enlucidos - Enlucido de yeso, ρ = 1300 kg/m³</v>
      </c>
      <c r="D220"/>
      <c r="E220" s="265" t="s">
        <v>1313</v>
      </c>
      <c r="F220" s="238" t="s">
        <v>1315</v>
      </c>
      <c r="G220" s="216">
        <v>1300</v>
      </c>
      <c r="H220" s="239">
        <v>0.56999999999999995</v>
      </c>
      <c r="I220" s="240">
        <v>1000</v>
      </c>
      <c r="J220" s="240">
        <v>10</v>
      </c>
      <c r="K220" s="215">
        <v>6</v>
      </c>
    </row>
    <row r="221" spans="3:11" x14ac:dyDescent="0.45">
      <c r="C221" s="264" t="str">
        <f>MATERIALES_ISO_TABLA3[[#This Row],[Grupo]]&amp;" - "&amp;MATERIALES_ISO_TABLA3[[#This Row],[Materiales o aplicación]]&amp;", ρ = "&amp;MATERIALES_ISO_TABLA3[[#This Row],[Densidad
ρ
kg/m³]]&amp;" kg/m³"</f>
        <v>Enlucidos - Yeso, arena, ρ = 1600 kg/m³</v>
      </c>
      <c r="D221"/>
      <c r="E221" s="265" t="s">
        <v>1313</v>
      </c>
      <c r="F221" s="238" t="s">
        <v>1316</v>
      </c>
      <c r="G221" s="216">
        <v>1600</v>
      </c>
      <c r="H221" s="239">
        <v>0.8</v>
      </c>
      <c r="I221" s="240">
        <v>1000</v>
      </c>
      <c r="J221" s="240">
        <v>10</v>
      </c>
      <c r="K221" s="215">
        <v>6</v>
      </c>
    </row>
    <row r="222" spans="3:11" x14ac:dyDescent="0.45">
      <c r="C222" s="264" t="str">
        <f>MATERIALES_ISO_TABLA3[[#This Row],[Grupo]]&amp;" - "&amp;MATERIALES_ISO_TABLA3[[#This Row],[Materiales o aplicación]]&amp;", ρ = "&amp;MATERIALES_ISO_TABLA3[[#This Row],[Densidad
ρ
kg/m³]]&amp;" kg/m³"</f>
        <v>Enlucidos - Cal, arena, ρ = 1600 kg/m³</v>
      </c>
      <c r="D222"/>
      <c r="E222" s="265" t="s">
        <v>1313</v>
      </c>
      <c r="F222" s="238" t="s">
        <v>1317</v>
      </c>
      <c r="G222" s="216">
        <v>1600</v>
      </c>
      <c r="H222" s="239">
        <v>0.8</v>
      </c>
      <c r="I222" s="240">
        <v>1000</v>
      </c>
      <c r="J222" s="240">
        <v>10</v>
      </c>
      <c r="K222" s="215">
        <v>6</v>
      </c>
    </row>
    <row r="223" spans="3:11" x14ac:dyDescent="0.45">
      <c r="C223" s="266" t="str">
        <f>MATERIALES_ISO_TABLA3[[#This Row],[Grupo]]&amp;" - "&amp;MATERIALES_ISO_TABLA3[[#This Row],[Materiales o aplicación]]&amp;", ρ = "&amp;MATERIALES_ISO_TABLA3[[#This Row],[Densidad
ρ
kg/m³]]&amp;" kg/m³"</f>
        <v>Enlucidos - Cemento, arena, ρ = 1800 kg/m³</v>
      </c>
      <c r="D223"/>
      <c r="E223" s="267" t="s">
        <v>1313</v>
      </c>
      <c r="F223" s="229" t="s">
        <v>1318</v>
      </c>
      <c r="G223" s="218">
        <v>1800</v>
      </c>
      <c r="H223" s="230">
        <v>1</v>
      </c>
      <c r="I223" s="231">
        <v>1000</v>
      </c>
      <c r="J223" s="231">
        <v>10</v>
      </c>
      <c r="K223" s="217">
        <v>6</v>
      </c>
    </row>
    <row r="224" spans="3:11" hidden="1" x14ac:dyDescent="0.45">
      <c r="C224" s="224" t="s">
        <v>1319</v>
      </c>
      <c r="D224"/>
      <c r="E224" s="244"/>
      <c r="F224" s="233"/>
      <c r="G224" s="214"/>
      <c r="H224" s="234"/>
      <c r="I224" s="235"/>
      <c r="J224" s="235"/>
      <c r="K224" s="213"/>
    </row>
    <row r="225" spans="3:11" x14ac:dyDescent="0.45">
      <c r="C225" s="246" t="str">
        <f>MATERIALES_ISO_TABLA3[[#This Row],[Grupo]]&amp;" - "&amp;MATERIALES_ISO_TABLA3[[#This Row],[Materiales o aplicación]]&amp;", ρ = "&amp;MATERIALES_ISO_TABLA3[[#This Row],[Densidad
ρ
kg/m³]]&amp;" kg/m³"</f>
        <v>suelos - Arcilla o sedimentos, ρ = 1200-1800 kg/m³</v>
      </c>
      <c r="D225"/>
      <c r="E225" s="247" t="s">
        <v>1320</v>
      </c>
      <c r="F225" s="238" t="s">
        <v>1321</v>
      </c>
      <c r="G225" s="216" t="s">
        <v>1322</v>
      </c>
      <c r="H225" s="239">
        <v>1.5</v>
      </c>
      <c r="I225" s="240" t="s">
        <v>1323</v>
      </c>
      <c r="J225" s="240">
        <v>50</v>
      </c>
      <c r="K225" s="215">
        <v>50</v>
      </c>
    </row>
    <row r="226" spans="3:11" x14ac:dyDescent="0.45">
      <c r="C226" s="249" t="str">
        <f>MATERIALES_ISO_TABLA3[[#This Row],[Grupo]]&amp;" - "&amp;MATERIALES_ISO_TABLA3[[#This Row],[Materiales o aplicación]]&amp;", ρ = "&amp;MATERIALES_ISO_TABLA3[[#This Row],[Densidad
ρ
kg/m³]]&amp;" kg/m³"</f>
        <v>suelos - Arena y grava, ρ = 1700-2200 kg/m³</v>
      </c>
      <c r="D226"/>
      <c r="E226" s="250" t="s">
        <v>1320</v>
      </c>
      <c r="F226" s="229" t="s">
        <v>1324</v>
      </c>
      <c r="G226" s="218" t="s">
        <v>1325</v>
      </c>
      <c r="H226" s="230">
        <v>2</v>
      </c>
      <c r="I226" s="231" t="s">
        <v>1326</v>
      </c>
      <c r="J226" s="231">
        <v>50</v>
      </c>
      <c r="K226" s="217">
        <v>50</v>
      </c>
    </row>
    <row r="227" spans="3:11" hidden="1" x14ac:dyDescent="0.45">
      <c r="C227" s="224" t="s">
        <v>1327</v>
      </c>
      <c r="D227"/>
      <c r="E227" s="232"/>
      <c r="F227" s="233"/>
      <c r="G227" s="214"/>
      <c r="H227" s="234"/>
      <c r="I227" s="235"/>
      <c r="J227" s="235"/>
      <c r="K227" s="213"/>
    </row>
    <row r="228" spans="3:11" x14ac:dyDescent="0.45">
      <c r="C228" s="246" t="str">
        <f>MATERIALES_ISO_TABLA3[[#This Row],[Grupo]]&amp;" - "&amp;MATERIALES_ISO_TABLA3[[#This Row],[Materiales o aplicación]]&amp;", ρ = "&amp;MATERIALES_ISO_TABLA3[[#This Row],[Densidad
ρ
kg/m³]]&amp;" kg/m³"</f>
        <v>rocas - Natural, roca cristalina, ρ = 2800 kg/m³</v>
      </c>
      <c r="D228"/>
      <c r="E228" s="247" t="s">
        <v>1328</v>
      </c>
      <c r="F228" s="238" t="s">
        <v>1329</v>
      </c>
      <c r="G228" s="216">
        <v>2800</v>
      </c>
      <c r="H228" s="239">
        <v>3.5</v>
      </c>
      <c r="I228" s="240">
        <v>1000</v>
      </c>
      <c r="J228" s="240">
        <v>10000</v>
      </c>
      <c r="K228" s="215">
        <v>10000</v>
      </c>
    </row>
    <row r="229" spans="3:11" x14ac:dyDescent="0.45">
      <c r="C229" s="246" t="str">
        <f>MATERIALES_ISO_TABLA3[[#This Row],[Grupo]]&amp;" - "&amp;MATERIALES_ISO_TABLA3[[#This Row],[Materiales o aplicación]]&amp;", ρ = "&amp;MATERIALES_ISO_TABLA3[[#This Row],[Densidad
ρ
kg/m³]]&amp;" kg/m³"</f>
        <v>rocas - Natural, roca sedimentaria, ρ = 2600 kg/m³</v>
      </c>
      <c r="D229"/>
      <c r="E229" s="247" t="s">
        <v>1328</v>
      </c>
      <c r="F229" s="238" t="s">
        <v>1330</v>
      </c>
      <c r="G229" s="216">
        <v>2600</v>
      </c>
      <c r="H229" s="239">
        <v>2.2999999999999998</v>
      </c>
      <c r="I229" s="240">
        <v>1000</v>
      </c>
      <c r="J229" s="240">
        <v>250</v>
      </c>
      <c r="K229" s="215">
        <v>200</v>
      </c>
    </row>
    <row r="230" spans="3:11" x14ac:dyDescent="0.45">
      <c r="C230" s="246" t="str">
        <f>MATERIALES_ISO_TABLA3[[#This Row],[Grupo]]&amp;" - "&amp;MATERIALES_ISO_TABLA3[[#This Row],[Materiales o aplicación]]&amp;", ρ = "&amp;MATERIALES_ISO_TABLA3[[#This Row],[Densidad
ρ
kg/m³]]&amp;" kg/m³"</f>
        <v>rocas - Natural, roca sedimentaria, liviana, ρ = 1500 kg/m³</v>
      </c>
      <c r="D230"/>
      <c r="E230" s="247" t="s">
        <v>1328</v>
      </c>
      <c r="F230" s="238" t="s">
        <v>1331</v>
      </c>
      <c r="G230" s="216">
        <v>1500</v>
      </c>
      <c r="H230" s="239">
        <v>0.85</v>
      </c>
      <c r="I230" s="240">
        <v>1000</v>
      </c>
      <c r="J230" s="240">
        <v>30</v>
      </c>
      <c r="K230" s="215">
        <v>20</v>
      </c>
    </row>
    <row r="231" spans="3:11" x14ac:dyDescent="0.45">
      <c r="C231" s="246" t="str">
        <f>MATERIALES_ISO_TABLA3[[#This Row],[Grupo]]&amp;" - "&amp;MATERIALES_ISO_TABLA3[[#This Row],[Materiales o aplicación]]&amp;", ρ = "&amp;MATERIALES_ISO_TABLA3[[#This Row],[Densidad
ρ
kg/m³]]&amp;" kg/m³"</f>
        <v>rocas - Natural, porosa, por ej. lava, ρ = 1600 kg/m³</v>
      </c>
      <c r="D231"/>
      <c r="E231" s="247" t="s">
        <v>1328</v>
      </c>
      <c r="F231" s="238" t="s">
        <v>1332</v>
      </c>
      <c r="G231" s="216">
        <v>1600</v>
      </c>
      <c r="H231" s="239">
        <v>0.55000000000000004</v>
      </c>
      <c r="I231" s="240">
        <v>1000</v>
      </c>
      <c r="J231" s="240">
        <v>20</v>
      </c>
      <c r="K231" s="215">
        <v>15</v>
      </c>
    </row>
    <row r="232" spans="3:11" x14ac:dyDescent="0.45">
      <c r="C232" s="246" t="str">
        <f>MATERIALES_ISO_TABLA3[[#This Row],[Grupo]]&amp;" - "&amp;MATERIALES_ISO_TABLA3[[#This Row],[Materiales o aplicación]]&amp;", ρ = "&amp;MATERIALES_ISO_TABLA3[[#This Row],[Densidad
ρ
kg/m³]]&amp;" kg/m³"</f>
        <v>rocas - Basalto, ρ = 2700-3000 kg/m³</v>
      </c>
      <c r="D232"/>
      <c r="E232" s="247" t="s">
        <v>1328</v>
      </c>
      <c r="F232" s="238" t="s">
        <v>1333</v>
      </c>
      <c r="G232" s="216" t="s">
        <v>1334</v>
      </c>
      <c r="H232" s="239">
        <v>3.5</v>
      </c>
      <c r="I232" s="240">
        <v>1000</v>
      </c>
      <c r="J232" s="240">
        <v>10000</v>
      </c>
      <c r="K232" s="215">
        <v>10000</v>
      </c>
    </row>
    <row r="233" spans="3:11" x14ac:dyDescent="0.45">
      <c r="C233" s="246" t="str">
        <f>MATERIALES_ISO_TABLA3[[#This Row],[Grupo]]&amp;" - "&amp;MATERIALES_ISO_TABLA3[[#This Row],[Materiales o aplicación]]&amp;", ρ = "&amp;MATERIALES_ISO_TABLA3[[#This Row],[Densidad
ρ
kg/m³]]&amp;" kg/m³"</f>
        <v>rocas - Gneis, ρ = 2400-2700 kg/m³</v>
      </c>
      <c r="D233"/>
      <c r="E233" s="247" t="s">
        <v>1328</v>
      </c>
      <c r="F233" s="238" t="s">
        <v>1335</v>
      </c>
      <c r="G233" s="216" t="s">
        <v>1336</v>
      </c>
      <c r="H233" s="239">
        <v>3.5</v>
      </c>
      <c r="I233" s="240">
        <v>1000</v>
      </c>
      <c r="J233" s="240">
        <v>10000</v>
      </c>
      <c r="K233" s="215">
        <v>10000</v>
      </c>
    </row>
    <row r="234" spans="3:11" x14ac:dyDescent="0.45">
      <c r="C234" s="246" t="str">
        <f>MATERIALES_ISO_TABLA3[[#This Row],[Grupo]]&amp;" - "&amp;MATERIALES_ISO_TABLA3[[#This Row],[Materiales o aplicación]]&amp;", ρ = "&amp;MATERIALES_ISO_TABLA3[[#This Row],[Densidad
ρ
kg/m³]]&amp;" kg/m³"</f>
        <v>rocas - Granito, ρ = 2500-2700 kg/m³</v>
      </c>
      <c r="D234"/>
      <c r="E234" s="247" t="s">
        <v>1328</v>
      </c>
      <c r="F234" s="238" t="s">
        <v>1337</v>
      </c>
      <c r="G234" s="216" t="s">
        <v>1338</v>
      </c>
      <c r="H234" s="239">
        <v>2.8</v>
      </c>
      <c r="I234" s="240">
        <v>1000</v>
      </c>
      <c r="J234" s="240">
        <v>10000</v>
      </c>
      <c r="K234" s="215">
        <v>10000</v>
      </c>
    </row>
    <row r="235" spans="3:11" x14ac:dyDescent="0.45">
      <c r="C235" s="246" t="str">
        <f>MATERIALES_ISO_TABLA3[[#This Row],[Grupo]]&amp;" - "&amp;MATERIALES_ISO_TABLA3[[#This Row],[Materiales o aplicación]]&amp;", ρ = "&amp;MATERIALES_ISO_TABLA3[[#This Row],[Densidad
ρ
kg/m³]]&amp;" kg/m³"</f>
        <v>rocas - Mármol, ρ = 2800 kg/m³</v>
      </c>
      <c r="D235"/>
      <c r="E235" s="247" t="s">
        <v>1328</v>
      </c>
      <c r="F235" s="238" t="s">
        <v>1339</v>
      </c>
      <c r="G235" s="216">
        <v>2800</v>
      </c>
      <c r="H235" s="239">
        <v>3.5</v>
      </c>
      <c r="I235" s="240">
        <v>1000</v>
      </c>
      <c r="J235" s="240">
        <v>10000</v>
      </c>
      <c r="K235" s="215">
        <v>10000</v>
      </c>
    </row>
    <row r="236" spans="3:11" x14ac:dyDescent="0.45">
      <c r="C236" s="246" t="str">
        <f>MATERIALES_ISO_TABLA3[[#This Row],[Grupo]]&amp;" - "&amp;MATERIALES_ISO_TABLA3[[#This Row],[Materiales o aplicación]]&amp;", ρ = "&amp;MATERIALES_ISO_TABLA3[[#This Row],[Densidad
ρ
kg/m³]]&amp;" kg/m³"</f>
        <v>rocas - Pizarra, ρ = 2000-2800 kg/m³</v>
      </c>
      <c r="D236"/>
      <c r="E236" s="247" t="s">
        <v>1328</v>
      </c>
      <c r="F236" s="238" t="s">
        <v>1340</v>
      </c>
      <c r="G236" s="216" t="s">
        <v>1341</v>
      </c>
      <c r="H236" s="239">
        <v>2.2000000000000002</v>
      </c>
      <c r="I236" s="240">
        <v>1000</v>
      </c>
      <c r="J236" s="240">
        <v>1000</v>
      </c>
      <c r="K236" s="215">
        <v>800</v>
      </c>
    </row>
    <row r="237" spans="3:11" x14ac:dyDescent="0.45">
      <c r="C237" s="246" t="str">
        <f>MATERIALES_ISO_TABLA3[[#This Row],[Grupo]]&amp;" - "&amp;MATERIALES_ISO_TABLA3[[#This Row],[Materiales o aplicación]]&amp;", ρ = "&amp;MATERIALES_ISO_TABLA3[[#This Row],[Densidad
ρ
kg/m³]]&amp;" kg/m³"</f>
        <v>rocas - Piedra caliza, extra suave, ρ = 1600 kg/m³</v>
      </c>
      <c r="D237"/>
      <c r="E237" s="247" t="s">
        <v>1328</v>
      </c>
      <c r="F237" s="238" t="s">
        <v>1342</v>
      </c>
      <c r="G237" s="216">
        <v>1600</v>
      </c>
      <c r="H237" s="239">
        <v>0.85</v>
      </c>
      <c r="I237" s="240">
        <v>1000</v>
      </c>
      <c r="J237" s="240">
        <v>30</v>
      </c>
      <c r="K237" s="215">
        <v>20</v>
      </c>
    </row>
    <row r="238" spans="3:11" x14ac:dyDescent="0.45">
      <c r="C238" s="246" t="str">
        <f>MATERIALES_ISO_TABLA3[[#This Row],[Grupo]]&amp;" - "&amp;MATERIALES_ISO_TABLA3[[#This Row],[Materiales o aplicación]]&amp;", ρ = "&amp;MATERIALES_ISO_TABLA3[[#This Row],[Densidad
ρ
kg/m³]]&amp;" kg/m³"</f>
        <v>rocas - Piedra caliza, suave, ρ = 1800 kg/m³</v>
      </c>
      <c r="D238"/>
      <c r="E238" s="247" t="s">
        <v>1328</v>
      </c>
      <c r="F238" s="238" t="s">
        <v>1343</v>
      </c>
      <c r="G238" s="216">
        <v>1800</v>
      </c>
      <c r="H238" s="239">
        <v>1.1000000000000001</v>
      </c>
      <c r="I238" s="240">
        <v>1000</v>
      </c>
      <c r="J238" s="240">
        <v>40</v>
      </c>
      <c r="K238" s="215">
        <v>25</v>
      </c>
    </row>
    <row r="239" spans="3:11" x14ac:dyDescent="0.45">
      <c r="C239" s="246" t="str">
        <f>MATERIALES_ISO_TABLA3[[#This Row],[Grupo]]&amp;" - "&amp;MATERIALES_ISO_TABLA3[[#This Row],[Materiales o aplicación]]&amp;", ρ = "&amp;MATERIALES_ISO_TABLA3[[#This Row],[Densidad
ρ
kg/m³]]&amp;" kg/m³"</f>
        <v>rocas - Piedra caliza, semi dura, ρ = 2000 kg/m³</v>
      </c>
      <c r="D239"/>
      <c r="E239" s="247" t="s">
        <v>1328</v>
      </c>
      <c r="F239" s="238" t="s">
        <v>1344</v>
      </c>
      <c r="G239" s="216">
        <v>2000</v>
      </c>
      <c r="H239" s="239">
        <v>1.4</v>
      </c>
      <c r="I239" s="240">
        <v>1000</v>
      </c>
      <c r="J239" s="240">
        <v>50</v>
      </c>
      <c r="K239" s="215">
        <v>40</v>
      </c>
    </row>
    <row r="240" spans="3:11" x14ac:dyDescent="0.45">
      <c r="C240" s="246" t="str">
        <f>MATERIALES_ISO_TABLA3[[#This Row],[Grupo]]&amp;" - "&amp;MATERIALES_ISO_TABLA3[[#This Row],[Materiales o aplicación]]&amp;", ρ = "&amp;MATERIALES_ISO_TABLA3[[#This Row],[Densidad
ρ
kg/m³]]&amp;" kg/m³"</f>
        <v>rocas - Piedra caliza, dura, ρ = 2200 kg/m³</v>
      </c>
      <c r="D240"/>
      <c r="E240" s="247" t="s">
        <v>1328</v>
      </c>
      <c r="F240" s="238" t="s">
        <v>1345</v>
      </c>
      <c r="G240" s="216">
        <v>2200</v>
      </c>
      <c r="H240" s="239">
        <v>1.7</v>
      </c>
      <c r="I240" s="240">
        <v>1000</v>
      </c>
      <c r="J240" s="240">
        <v>200</v>
      </c>
      <c r="K240" s="215">
        <v>150</v>
      </c>
    </row>
    <row r="241" spans="3:11" x14ac:dyDescent="0.45">
      <c r="C241" s="246" t="str">
        <f>MATERIALES_ISO_TABLA3[[#This Row],[Grupo]]&amp;" - "&amp;MATERIALES_ISO_TABLA3[[#This Row],[Materiales o aplicación]]&amp;", ρ = "&amp;MATERIALES_ISO_TABLA3[[#This Row],[Densidad
ρ
kg/m³]]&amp;" kg/m³"</f>
        <v>rocas - Piedra caliza, extra dura, ρ = 2600 kg/m³</v>
      </c>
      <c r="D241"/>
      <c r="E241" s="247" t="s">
        <v>1328</v>
      </c>
      <c r="F241" s="238" t="s">
        <v>1346</v>
      </c>
      <c r="G241" s="216">
        <v>2600</v>
      </c>
      <c r="H241" s="239">
        <v>2.2999999999999998</v>
      </c>
      <c r="I241" s="240">
        <v>1000</v>
      </c>
      <c r="J241" s="240">
        <v>250</v>
      </c>
      <c r="K241" s="215">
        <v>200</v>
      </c>
    </row>
    <row r="242" spans="3:11" x14ac:dyDescent="0.45">
      <c r="C242" s="246" t="str">
        <f>MATERIALES_ISO_TABLA3[[#This Row],[Grupo]]&amp;" - "&amp;MATERIALES_ISO_TABLA3[[#This Row],[Materiales o aplicación]]&amp;", ρ = "&amp;MATERIALES_ISO_TABLA3[[#This Row],[Densidad
ρ
kg/m³]]&amp;" kg/m³"</f>
        <v>rocas - Roca arenosa (sílice), ρ = 2600 kg/m³</v>
      </c>
      <c r="D242"/>
      <c r="E242" s="247" t="s">
        <v>1328</v>
      </c>
      <c r="F242" s="238" t="s">
        <v>1347</v>
      </c>
      <c r="G242" s="216">
        <v>2600</v>
      </c>
      <c r="H242" s="239">
        <v>2.2999999999999998</v>
      </c>
      <c r="I242" s="240">
        <v>1000</v>
      </c>
      <c r="J242" s="240">
        <v>40</v>
      </c>
      <c r="K242" s="215">
        <v>30</v>
      </c>
    </row>
    <row r="243" spans="3:11" x14ac:dyDescent="0.45">
      <c r="C243" s="246" t="str">
        <f>MATERIALES_ISO_TABLA3[[#This Row],[Grupo]]&amp;" - "&amp;MATERIALES_ISO_TABLA3[[#This Row],[Materiales o aplicación]]&amp;", ρ = "&amp;MATERIALES_ISO_TABLA3[[#This Row],[Densidad
ρ
kg/m³]]&amp;" kg/m³"</f>
        <v>rocas - Piedra pómez natural, ρ = 400 kg/m³</v>
      </c>
      <c r="D243"/>
      <c r="E243" s="247" t="s">
        <v>1328</v>
      </c>
      <c r="F243" s="238" t="s">
        <v>1348</v>
      </c>
      <c r="G243" s="216">
        <v>400</v>
      </c>
      <c r="H243" s="239">
        <v>0.12</v>
      </c>
      <c r="I243" s="240">
        <v>1000</v>
      </c>
      <c r="J243" s="240">
        <v>8</v>
      </c>
      <c r="K243" s="215">
        <v>6</v>
      </c>
    </row>
    <row r="244" spans="3:11" x14ac:dyDescent="0.45">
      <c r="C244" s="249" t="str">
        <f>MATERIALES_ISO_TABLA3[[#This Row],[Grupo]]&amp;" - "&amp;MATERIALES_ISO_TABLA3[[#This Row],[Materiales o aplicación]]&amp;", ρ = "&amp;MATERIALES_ISO_TABLA3[[#This Row],[Densidad
ρ
kg/m³]]&amp;" kg/m³"</f>
        <v>rocas - Piedra artificial, ρ = 1750 kg/m³</v>
      </c>
      <c r="D244"/>
      <c r="E244" s="250" t="s">
        <v>1328</v>
      </c>
      <c r="F244" s="229" t="s">
        <v>1349</v>
      </c>
      <c r="G244" s="218">
        <v>1750</v>
      </c>
      <c r="H244" s="230">
        <v>1.3</v>
      </c>
      <c r="I244" s="231">
        <v>1000</v>
      </c>
      <c r="J244" s="231">
        <v>50</v>
      </c>
      <c r="K244" s="217">
        <v>40</v>
      </c>
    </row>
    <row r="245" spans="3:11" hidden="1" x14ac:dyDescent="0.45">
      <c r="C245" s="224" t="s">
        <v>1350</v>
      </c>
      <c r="D245"/>
      <c r="E245" s="232"/>
      <c r="F245" s="233"/>
      <c r="G245" s="214"/>
      <c r="H245" s="234"/>
      <c r="I245" s="235"/>
      <c r="J245" s="235"/>
      <c r="K245" s="213"/>
    </row>
    <row r="246" spans="3:11" x14ac:dyDescent="0.45">
      <c r="C246" s="246" t="str">
        <f>MATERIALES_ISO_TABLA3[[#This Row],[Grupo]]&amp;" - "&amp;MATERIALES_ISO_TABLA3[[#This Row],[Materiales o aplicación]]&amp;", ρ = "&amp;MATERIALES_ISO_TABLA3[[#This Row],[Densidad
ρ
kg/m³]]&amp;" kg/m³"</f>
        <v>Tejas - Arcilla, ρ = 2000 kg/m³</v>
      </c>
      <c r="D246"/>
      <c r="E246" s="247" t="s">
        <v>1351</v>
      </c>
      <c r="F246" s="238" t="s">
        <v>1352</v>
      </c>
      <c r="G246" s="216">
        <v>2000</v>
      </c>
      <c r="H246" s="239">
        <v>1</v>
      </c>
      <c r="I246" s="240">
        <v>800</v>
      </c>
      <c r="J246" s="240">
        <v>40</v>
      </c>
      <c r="K246" s="215">
        <v>30</v>
      </c>
    </row>
    <row r="247" spans="3:11" x14ac:dyDescent="0.45">
      <c r="C247" s="249" t="str">
        <f>MATERIALES_ISO_TABLA3[[#This Row],[Grupo]]&amp;" - "&amp;MATERIALES_ISO_TABLA3[[#This Row],[Materiales o aplicación]]&amp;", ρ = "&amp;MATERIALES_ISO_TABLA3[[#This Row],[Densidad
ρ
kg/m³]]&amp;" kg/m³"</f>
        <v>Tejas - concreto, ρ = 2100 kg/m³</v>
      </c>
      <c r="D247"/>
      <c r="E247" s="250" t="s">
        <v>1351</v>
      </c>
      <c r="F247" s="229" t="s">
        <v>1353</v>
      </c>
      <c r="G247" s="218">
        <v>2100</v>
      </c>
      <c r="H247" s="230">
        <v>1.5</v>
      </c>
      <c r="I247" s="231">
        <v>100</v>
      </c>
      <c r="J247" s="231">
        <v>100</v>
      </c>
      <c r="K247" s="217">
        <v>60</v>
      </c>
    </row>
    <row r="248" spans="3:11" hidden="1" x14ac:dyDescent="0.45">
      <c r="C248" s="224" t="s">
        <v>1354</v>
      </c>
      <c r="D248"/>
      <c r="E248" s="232"/>
      <c r="F248" s="233"/>
      <c r="G248" s="214"/>
      <c r="H248" s="234"/>
      <c r="I248" s="235"/>
      <c r="J248" s="235"/>
      <c r="K248" s="213"/>
    </row>
    <row r="249" spans="3:11" x14ac:dyDescent="0.45">
      <c r="C249" s="246" t="str">
        <f>MATERIALES_ISO_TABLA3[[#This Row],[Grupo]]&amp;" - "&amp;MATERIALES_ISO_TABLA3[[#This Row],[Materiales o aplicación]]&amp;", ρ = "&amp;MATERIALES_ISO_TABLA3[[#This Row],[Densidad
ρ
kg/m³]]&amp;" kg/m³"</f>
        <v>Baldosas - cerámica/porcelana, ρ = 2300 kg/m³</v>
      </c>
      <c r="D249"/>
      <c r="E249" s="247" t="s">
        <v>1355</v>
      </c>
      <c r="F249" s="238" t="s">
        <v>1356</v>
      </c>
      <c r="G249" s="216">
        <v>2300</v>
      </c>
      <c r="H249" s="239">
        <v>1.3</v>
      </c>
      <c r="I249" s="240">
        <v>840</v>
      </c>
      <c r="J249" s="240" t="s">
        <v>31</v>
      </c>
      <c r="K249" s="215" t="s">
        <v>31</v>
      </c>
    </row>
    <row r="250" spans="3:11" x14ac:dyDescent="0.45">
      <c r="C250" s="249" t="str">
        <f>MATERIALES_ISO_TABLA3[[#This Row],[Grupo]]&amp;" - "&amp;MATERIALES_ISO_TABLA3[[#This Row],[Materiales o aplicación]]&amp;", ρ = "&amp;MATERIALES_ISO_TABLA3[[#This Row],[Densidad
ρ
kg/m³]]&amp;" kg/m³"</f>
        <v>Baldosas - Plástica, ρ = 1000 kg/m³</v>
      </c>
      <c r="D250"/>
      <c r="E250" s="250" t="s">
        <v>1355</v>
      </c>
      <c r="F250" s="229" t="s">
        <v>1357</v>
      </c>
      <c r="G250" s="218">
        <v>1000</v>
      </c>
      <c r="H250" s="230">
        <v>0.2</v>
      </c>
      <c r="I250" s="231">
        <v>1000</v>
      </c>
      <c r="J250" s="231">
        <v>10000</v>
      </c>
      <c r="K250" s="217">
        <v>10000</v>
      </c>
    </row>
    <row r="251" spans="3:11" hidden="1" x14ac:dyDescent="0.45">
      <c r="C251" s="224" t="s">
        <v>1358</v>
      </c>
      <c r="D251"/>
      <c r="E251" s="232"/>
      <c r="F251" s="233"/>
      <c r="G251" s="214"/>
      <c r="H251" s="234"/>
      <c r="I251" s="235"/>
      <c r="J251" s="235"/>
      <c r="K251" s="213"/>
    </row>
    <row r="252" spans="3:11" x14ac:dyDescent="0.45">
      <c r="C252" s="246" t="str">
        <f>MATERIALES_ISO_TABLA3[[#This Row],[Grupo]]&amp;" - "&amp;MATERIALES_ISO_TABLA3[[#This Row],[Materiales o aplicación]]&amp;", ρ = "&amp;MATERIALES_ISO_TABLA3[[#This Row],[Densidad
ρ
kg/m³]]&amp;" kg/m³"</f>
        <v>madera - Pino, ρ = 450 kg/m³</v>
      </c>
      <c r="D252"/>
      <c r="E252" s="247" t="s">
        <v>1359</v>
      </c>
      <c r="F252" s="238" t="s">
        <v>1360</v>
      </c>
      <c r="G252" s="216">
        <v>450</v>
      </c>
      <c r="H252" s="239">
        <v>0.12</v>
      </c>
      <c r="I252" s="240">
        <v>1600</v>
      </c>
      <c r="J252" s="240">
        <v>50</v>
      </c>
      <c r="K252" s="215">
        <v>20</v>
      </c>
    </row>
    <row r="253" spans="3:11" x14ac:dyDescent="0.45">
      <c r="C253" s="246" t="str">
        <f>MATERIALES_ISO_TABLA3[[#This Row],[Grupo]]&amp;" - "&amp;MATERIALES_ISO_TABLA3[[#This Row],[Materiales o aplicación]]&amp;", ρ = "&amp;MATERIALES_ISO_TABLA3[[#This Row],[Densidad
ρ
kg/m³]]&amp;" kg/m³"</f>
        <v>madera - Pino, ρ = 500 kg/m³</v>
      </c>
      <c r="D253"/>
      <c r="E253" s="247" t="s">
        <v>1359</v>
      </c>
      <c r="F253" s="238" t="s">
        <v>1360</v>
      </c>
      <c r="G253" s="216">
        <v>500</v>
      </c>
      <c r="H253" s="239">
        <v>0.13</v>
      </c>
      <c r="I253" s="240">
        <v>1600</v>
      </c>
      <c r="J253" s="240">
        <v>50</v>
      </c>
      <c r="K253" s="215">
        <v>20</v>
      </c>
    </row>
    <row r="254" spans="3:11" x14ac:dyDescent="0.45">
      <c r="C254" s="249" t="str">
        <f>MATERIALES_ISO_TABLA3[[#This Row],[Grupo]]&amp;" - "&amp;MATERIALES_ISO_TABLA3[[#This Row],[Materiales o aplicación]]&amp;", ρ = "&amp;MATERIALES_ISO_TABLA3[[#This Row],[Densidad
ρ
kg/m³]]&amp;" kg/m³"</f>
        <v>madera - Pino, ρ = 700 kg/m³</v>
      </c>
      <c r="D254"/>
      <c r="E254" s="250" t="s">
        <v>1359</v>
      </c>
      <c r="F254" s="229" t="s">
        <v>1360</v>
      </c>
      <c r="G254" s="218">
        <v>700</v>
      </c>
      <c r="H254" s="230">
        <v>0.18</v>
      </c>
      <c r="I254" s="231">
        <v>1600</v>
      </c>
      <c r="J254" s="231">
        <v>200</v>
      </c>
      <c r="K254" s="217">
        <v>50</v>
      </c>
    </row>
    <row r="255" spans="3:11" hidden="1" x14ac:dyDescent="0.45">
      <c r="C255" s="268" t="s">
        <v>1361</v>
      </c>
      <c r="D255"/>
      <c r="E255" s="261"/>
      <c r="F255" s="248"/>
      <c r="G255" s="216"/>
      <c r="H255" s="239"/>
      <c r="I255" s="240"/>
      <c r="J255" s="240"/>
      <c r="K255" s="215"/>
    </row>
    <row r="256" spans="3:11" x14ac:dyDescent="0.45">
      <c r="C256" s="260" t="str">
        <f>MATERIALES_ISO_TABLA3[[#This Row],[Grupo]]&amp;" - "&amp;MATERIALES_ISO_TABLA3[[#This Row],[Materiales o aplicación]]&amp;", ρ = "&amp;MATERIALES_ISO_TABLA3[[#This Row],[Densidad
ρ
kg/m³]]&amp;" kg/m³"</f>
        <v>Tableros de madera - Contrachapada, ρ = 300 kg/m³</v>
      </c>
      <c r="D256"/>
      <c r="E256" s="261" t="s">
        <v>1362</v>
      </c>
      <c r="F256" s="248" t="s">
        <v>1363</v>
      </c>
      <c r="G256" s="216">
        <v>300</v>
      </c>
      <c r="H256" s="239">
        <v>0.09</v>
      </c>
      <c r="I256" s="240">
        <v>1600</v>
      </c>
      <c r="J256" s="240">
        <v>150</v>
      </c>
      <c r="K256" s="215">
        <v>50</v>
      </c>
    </row>
    <row r="257" spans="2:13" x14ac:dyDescent="0.45">
      <c r="C257" s="260" t="str">
        <f>MATERIALES_ISO_TABLA3[[#This Row],[Grupo]]&amp;" - "&amp;MATERIALES_ISO_TABLA3[[#This Row],[Materiales o aplicación]]&amp;", ρ = "&amp;MATERIALES_ISO_TABLA3[[#This Row],[Densidad
ρ
kg/m³]]&amp;" kg/m³"</f>
        <v>Tableros de madera - Contrachapada, ρ = 500 kg/m³</v>
      </c>
      <c r="D257"/>
      <c r="E257" s="261" t="s">
        <v>1362</v>
      </c>
      <c r="F257" s="248" t="s">
        <v>1363</v>
      </c>
      <c r="G257" s="216">
        <v>500</v>
      </c>
      <c r="H257" s="239">
        <v>0.13</v>
      </c>
      <c r="I257" s="240">
        <v>1600</v>
      </c>
      <c r="J257" s="240">
        <v>200</v>
      </c>
      <c r="K257" s="215">
        <v>70</v>
      </c>
    </row>
    <row r="258" spans="2:13" x14ac:dyDescent="0.45">
      <c r="C258" s="260" t="str">
        <f>MATERIALES_ISO_TABLA3[[#This Row],[Grupo]]&amp;" - "&amp;MATERIALES_ISO_TABLA3[[#This Row],[Materiales o aplicación]]&amp;", ρ = "&amp;MATERIALES_ISO_TABLA3[[#This Row],[Densidad
ρ
kg/m³]]&amp;" kg/m³"</f>
        <v>Tableros de madera - Contrachapada, ρ = 700 kg/m³</v>
      </c>
      <c r="D258"/>
      <c r="E258" s="261" t="s">
        <v>1362</v>
      </c>
      <c r="F258" s="248" t="s">
        <v>1363</v>
      </c>
      <c r="G258" s="216">
        <v>700</v>
      </c>
      <c r="H258" s="239">
        <v>0.17</v>
      </c>
      <c r="I258" s="240">
        <v>1600</v>
      </c>
      <c r="J258" s="240">
        <v>220</v>
      </c>
      <c r="K258" s="215">
        <v>90</v>
      </c>
    </row>
    <row r="259" spans="2:13" x14ac:dyDescent="0.45">
      <c r="C259" s="260" t="str">
        <f>MATERIALES_ISO_TABLA3[[#This Row],[Grupo]]&amp;" - "&amp;MATERIALES_ISO_TABLA3[[#This Row],[Materiales o aplicación]]&amp;", ρ = "&amp;MATERIALES_ISO_TABLA3[[#This Row],[Densidad
ρ
kg/m³]]&amp;" kg/m³"</f>
        <v>Tableros de madera - Contrachapada, ρ = 1000 kg/m³</v>
      </c>
      <c r="D259"/>
      <c r="E259" s="261" t="s">
        <v>1362</v>
      </c>
      <c r="F259" s="248" t="s">
        <v>1363</v>
      </c>
      <c r="G259" s="216">
        <v>1000</v>
      </c>
      <c r="H259" s="239">
        <v>0.24</v>
      </c>
      <c r="I259" s="240">
        <v>1600</v>
      </c>
      <c r="J259" s="240">
        <v>250</v>
      </c>
      <c r="K259" s="215">
        <v>110</v>
      </c>
    </row>
    <row r="260" spans="2:13" x14ac:dyDescent="0.45">
      <c r="C260" s="260" t="str">
        <f>MATERIALES_ISO_TABLA3[[#This Row],[Grupo]]&amp;" - "&amp;MATERIALES_ISO_TABLA3[[#This Row],[Materiales o aplicación]]&amp;", ρ = "&amp;MATERIALES_ISO_TABLA3[[#This Row],[Densidad
ρ
kg/m³]]&amp;" kg/m³"</f>
        <v>Tableros de madera - partículas aglomeradas con cemento, ρ = 1200 kg/m³</v>
      </c>
      <c r="D260"/>
      <c r="E260" s="261" t="s">
        <v>1362</v>
      </c>
      <c r="F260" s="238" t="s">
        <v>1364</v>
      </c>
      <c r="G260" s="216">
        <v>1200</v>
      </c>
      <c r="H260" s="239">
        <v>0.23</v>
      </c>
      <c r="I260" s="240">
        <v>1500</v>
      </c>
      <c r="J260" s="240">
        <v>50</v>
      </c>
      <c r="K260" s="215">
        <v>30</v>
      </c>
    </row>
    <row r="261" spans="2:13" x14ac:dyDescent="0.45">
      <c r="C261" s="260" t="str">
        <f>MATERIALES_ISO_TABLA3[[#This Row],[Grupo]]&amp;" - "&amp;MATERIALES_ISO_TABLA3[[#This Row],[Materiales o aplicación]]&amp;", ρ = "&amp;MATERIALES_ISO_TABLA3[[#This Row],[Densidad
ρ
kg/m³]]&amp;" kg/m³"</f>
        <v>Tableros de madera - aglomerada, ρ = 300 kg/m³</v>
      </c>
      <c r="D261"/>
      <c r="E261" s="261" t="s">
        <v>1362</v>
      </c>
      <c r="F261" s="238" t="s">
        <v>1365</v>
      </c>
      <c r="G261" s="216">
        <v>300</v>
      </c>
      <c r="H261" s="239">
        <v>0.1</v>
      </c>
      <c r="I261" s="240">
        <v>1700</v>
      </c>
      <c r="J261" s="240">
        <v>50</v>
      </c>
      <c r="K261" s="215">
        <v>10</v>
      </c>
    </row>
    <row r="262" spans="2:13" x14ac:dyDescent="0.45">
      <c r="C262" s="260" t="str">
        <f>MATERIALES_ISO_TABLA3[[#This Row],[Grupo]]&amp;" - "&amp;MATERIALES_ISO_TABLA3[[#This Row],[Materiales o aplicación]]&amp;", ρ = "&amp;MATERIALES_ISO_TABLA3[[#This Row],[Densidad
ρ
kg/m³]]&amp;" kg/m³"</f>
        <v>Tableros de madera - aglomerada, ρ = 600 kg/m³</v>
      </c>
      <c r="D262"/>
      <c r="E262" s="261" t="s">
        <v>1362</v>
      </c>
      <c r="F262" s="238" t="s">
        <v>1365</v>
      </c>
      <c r="G262" s="216">
        <v>600</v>
      </c>
      <c r="H262" s="239">
        <v>0.14000000000000001</v>
      </c>
      <c r="I262" s="240">
        <v>1700</v>
      </c>
      <c r="J262" s="240">
        <v>50</v>
      </c>
      <c r="K262" s="215">
        <v>15</v>
      </c>
    </row>
    <row r="263" spans="2:13" x14ac:dyDescent="0.45">
      <c r="C263" s="260" t="str">
        <f>MATERIALES_ISO_TABLA3[[#This Row],[Grupo]]&amp;" - "&amp;MATERIALES_ISO_TABLA3[[#This Row],[Materiales o aplicación]]&amp;", ρ = "&amp;MATERIALES_ISO_TABLA3[[#This Row],[Densidad
ρ
kg/m³]]&amp;" kg/m³"</f>
        <v>Tableros de madera - aglomerada, ρ = 900 kg/m³</v>
      </c>
      <c r="D263"/>
      <c r="E263" s="261" t="s">
        <v>1362</v>
      </c>
      <c r="F263" s="238" t="s">
        <v>1365</v>
      </c>
      <c r="G263" s="216">
        <v>900</v>
      </c>
      <c r="H263" s="239">
        <v>0.18</v>
      </c>
      <c r="I263" s="240">
        <v>1700</v>
      </c>
      <c r="J263" s="240">
        <v>50</v>
      </c>
      <c r="K263" s="215">
        <v>20</v>
      </c>
    </row>
    <row r="264" spans="2:13" x14ac:dyDescent="0.45">
      <c r="C264" s="260" t="str">
        <f>MATERIALES_ISO_TABLA3[[#This Row],[Grupo]]&amp;" - "&amp;MATERIALES_ISO_TABLA3[[#This Row],[Materiales o aplicación]]&amp;", ρ = "&amp;MATERIALES_ISO_TABLA3[[#This Row],[Densidad
ρ
kg/m³]]&amp;" kg/m³"</f>
        <v>Tableros de madera - OSB, ρ = 650 kg/m³</v>
      </c>
      <c r="D264"/>
      <c r="E264" s="261" t="s">
        <v>1362</v>
      </c>
      <c r="F264" s="238" t="s">
        <v>1366</v>
      </c>
      <c r="G264" s="216">
        <v>650</v>
      </c>
      <c r="H264" s="239">
        <v>0.13</v>
      </c>
      <c r="I264" s="240">
        <v>1700</v>
      </c>
      <c r="J264" s="240">
        <v>50</v>
      </c>
      <c r="K264" s="215">
        <v>30</v>
      </c>
    </row>
    <row r="265" spans="2:13" x14ac:dyDescent="0.45">
      <c r="C265" s="260" t="str">
        <f>MATERIALES_ISO_TABLA3[[#This Row],[Grupo]]&amp;" - "&amp;MATERIALES_ISO_TABLA3[[#This Row],[Materiales o aplicación]]&amp;", ρ = "&amp;MATERIALES_ISO_TABLA3[[#This Row],[Densidad
ρ
kg/m³]]&amp;" kg/m³"</f>
        <v>Tableros de madera - fibras, incluyendo MDF, ρ = 250 kg/m³</v>
      </c>
      <c r="D265"/>
      <c r="E265" s="261" t="s">
        <v>1362</v>
      </c>
      <c r="F265" s="248" t="s">
        <v>1367</v>
      </c>
      <c r="G265" s="216">
        <v>250</v>
      </c>
      <c r="H265" s="239">
        <v>7.0000000000000007E-2</v>
      </c>
      <c r="I265" s="240">
        <v>1700</v>
      </c>
      <c r="J265" s="240">
        <v>5</v>
      </c>
      <c r="K265" s="215">
        <v>3</v>
      </c>
    </row>
    <row r="266" spans="2:13" x14ac:dyDescent="0.45">
      <c r="C266" s="260" t="str">
        <f>MATERIALES_ISO_TABLA3[[#This Row],[Grupo]]&amp;" - "&amp;MATERIALES_ISO_TABLA3[[#This Row],[Materiales o aplicación]]&amp;", ρ = "&amp;MATERIALES_ISO_TABLA3[[#This Row],[Densidad
ρ
kg/m³]]&amp;" kg/m³"</f>
        <v>Tableros de madera - fibras, incluyendo MDF, ρ = 400 kg/m³</v>
      </c>
      <c r="D266"/>
      <c r="E266" s="261" t="s">
        <v>1362</v>
      </c>
      <c r="F266" s="248" t="s">
        <v>1367</v>
      </c>
      <c r="G266" s="216">
        <v>400</v>
      </c>
      <c r="H266" s="239">
        <v>0.1</v>
      </c>
      <c r="I266" s="240">
        <v>1700</v>
      </c>
      <c r="J266" s="240">
        <v>10</v>
      </c>
      <c r="K266" s="215">
        <v>5</v>
      </c>
    </row>
    <row r="267" spans="2:13" x14ac:dyDescent="0.45">
      <c r="C267" s="260" t="str">
        <f>MATERIALES_ISO_TABLA3[[#This Row],[Grupo]]&amp;" - "&amp;MATERIALES_ISO_TABLA3[[#This Row],[Materiales o aplicación]]&amp;", ρ = "&amp;MATERIALES_ISO_TABLA3[[#This Row],[Densidad
ρ
kg/m³]]&amp;" kg/m³"</f>
        <v>Tableros de madera - fibras, incluyendo MDF, ρ = 600 kg/m³</v>
      </c>
      <c r="D267"/>
      <c r="E267" s="261" t="s">
        <v>1362</v>
      </c>
      <c r="F267" s="248" t="s">
        <v>1367</v>
      </c>
      <c r="G267" s="216">
        <v>600</v>
      </c>
      <c r="H267" s="239">
        <v>0.14000000000000001</v>
      </c>
      <c r="I267" s="240">
        <v>1700</v>
      </c>
      <c r="J267" s="240">
        <v>20</v>
      </c>
      <c r="K267" s="215">
        <v>12</v>
      </c>
    </row>
    <row r="268" spans="2:13" x14ac:dyDescent="0.45">
      <c r="C268" s="262" t="str">
        <f>MATERIALES_ISO_TABLA3[[#This Row],[Grupo]]&amp;" - "&amp;MATERIALES_ISO_TABLA3[[#This Row],[Materiales o aplicación]]&amp;", ρ = "&amp;MATERIALES_ISO_TABLA3[[#This Row],[Densidad
ρ
kg/m³]]&amp;" kg/m³"</f>
        <v>Tableros de madera - fibras, incluyendo MDF, ρ = 800 kg/m³</v>
      </c>
      <c r="D268"/>
      <c r="E268" s="263" t="s">
        <v>1362</v>
      </c>
      <c r="F268" s="269" t="s">
        <v>1367</v>
      </c>
      <c r="G268" s="218">
        <v>800</v>
      </c>
      <c r="H268" s="230">
        <v>0.18</v>
      </c>
      <c r="I268" s="231">
        <v>1700</v>
      </c>
      <c r="J268" s="231">
        <v>30</v>
      </c>
      <c r="K268" s="217">
        <v>20</v>
      </c>
    </row>
    <row r="271" spans="2:13" ht="19.899999999999999" thickBot="1" x14ac:dyDescent="0.65">
      <c r="B271" s="440" t="s">
        <v>1391</v>
      </c>
      <c r="C271" s="440"/>
      <c r="D271" s="440"/>
      <c r="E271" s="440"/>
      <c r="F271" s="440"/>
      <c r="G271" s="440"/>
      <c r="H271" s="440"/>
      <c r="I271" s="440"/>
      <c r="J271" s="440"/>
      <c r="K271" s="440"/>
      <c r="L271" s="440"/>
      <c r="M271" s="440"/>
    </row>
    <row r="272" spans="2:13" ht="14.65" thickTop="1" x14ac:dyDescent="0.45">
      <c r="B272" s="445"/>
      <c r="C272" s="445"/>
      <c r="D272" s="445"/>
      <c r="E272" s="445"/>
      <c r="F272" s="445"/>
      <c r="G272" s="445"/>
      <c r="H272" s="445"/>
      <c r="I272" s="445"/>
      <c r="J272" s="445"/>
      <c r="K272" s="445"/>
      <c r="L272" s="445"/>
      <c r="M272" s="445"/>
    </row>
    <row r="274" spans="6:7" ht="58.5" x14ac:dyDescent="0.45">
      <c r="F274" s="270" t="s">
        <v>1377</v>
      </c>
      <c r="G274" s="271" t="s">
        <v>1378</v>
      </c>
    </row>
    <row r="275" spans="6:7" x14ac:dyDescent="0.45">
      <c r="F275" s="272" t="s">
        <v>1379</v>
      </c>
      <c r="G275" s="273">
        <v>50</v>
      </c>
    </row>
    <row r="276" spans="6:7" x14ac:dyDescent="0.45">
      <c r="F276" s="274" t="s">
        <v>1380</v>
      </c>
      <c r="G276" s="275">
        <v>100</v>
      </c>
    </row>
    <row r="277" spans="6:7" x14ac:dyDescent="0.45">
      <c r="F277" s="274" t="s">
        <v>1381</v>
      </c>
      <c r="G277" s="275">
        <v>50</v>
      </c>
    </row>
    <row r="278" spans="6:7" x14ac:dyDescent="0.45">
      <c r="F278" s="274" t="s">
        <v>1382</v>
      </c>
      <c r="G278" s="275">
        <v>30</v>
      </c>
    </row>
    <row r="279" spans="6:7" x14ac:dyDescent="0.45">
      <c r="F279" s="274" t="s">
        <v>1383</v>
      </c>
      <c r="G279" s="275">
        <v>1500</v>
      </c>
    </row>
    <row r="280" spans="6:7" x14ac:dyDescent="0.45">
      <c r="F280" s="274" t="s">
        <v>1384</v>
      </c>
      <c r="G280" s="275">
        <v>8</v>
      </c>
    </row>
    <row r="281" spans="6:7" x14ac:dyDescent="0.45">
      <c r="F281" s="274" t="s">
        <v>1385</v>
      </c>
      <c r="G281" s="275">
        <v>2</v>
      </c>
    </row>
    <row r="282" spans="6:7" x14ac:dyDescent="0.45">
      <c r="F282" s="274" t="s">
        <v>1386</v>
      </c>
      <c r="G282" s="275">
        <v>10</v>
      </c>
    </row>
    <row r="283" spans="6:7" x14ac:dyDescent="0.45">
      <c r="F283" s="274" t="s">
        <v>1387</v>
      </c>
      <c r="G283" s="275">
        <v>0.2</v>
      </c>
    </row>
    <row r="284" spans="6:7" x14ac:dyDescent="0.45">
      <c r="F284" s="274" t="s">
        <v>1388</v>
      </c>
      <c r="G284" s="275">
        <v>0.1</v>
      </c>
    </row>
    <row r="285" spans="6:7" x14ac:dyDescent="0.45">
      <c r="F285" s="274" t="s">
        <v>1389</v>
      </c>
      <c r="G285" s="275">
        <v>3</v>
      </c>
    </row>
    <row r="286" spans="6:7" x14ac:dyDescent="0.45">
      <c r="F286" s="274" t="s">
        <v>1390</v>
      </c>
      <c r="G286" s="275">
        <v>2</v>
      </c>
    </row>
  </sheetData>
  <sheetProtection algorithmName="SHA-512" hashValue="K2f2k6fNGtKwrj0S8mbYsULopbbuT+BXwZqe9P+2+DwIK7rfL1xpz6qC9fMSZF8ufRXoHYmTu68ji55SP+8v6A==" saltValue="2b61vsZyqCMTrQdrLyPWVw==" spinCount="100000" sheet="1" objects="1" scenarios="1"/>
  <mergeCells count="12">
    <mergeCell ref="B3:M3"/>
    <mergeCell ref="B24:M24"/>
    <mergeCell ref="B35:M35"/>
    <mergeCell ref="B4:J4"/>
    <mergeCell ref="B25:J25"/>
    <mergeCell ref="B115:M115"/>
    <mergeCell ref="B116:M116"/>
    <mergeCell ref="B271:M271"/>
    <mergeCell ref="B272:M272"/>
    <mergeCell ref="B36:M36"/>
    <mergeCell ref="B108:M108"/>
    <mergeCell ref="B109:M109"/>
  </mergeCells>
  <phoneticPr fontId="5" type="noConversion"/>
  <conditionalFormatting sqref="G29:M33">
    <cfRule type="expression" dxfId="519" priority="1">
      <formula>NOT(ISBLANK($F29))*ISBLANK(G29)</formula>
    </cfRule>
  </conditionalFormatting>
  <dataValidations count="1">
    <dataValidation type="list" allowBlank="1" showInputMessage="1" showErrorMessage="1" sqref="E8:E22" xr:uid="{EB445A6E-C20C-4154-AD2D-2960357327E5}">
      <formula1>lista_bibliotecas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6" r:id="rId4" name="Button 6">
              <controlPr defaultSize="0" print="0" autoFill="0" autoPict="0" macro="[0]!limpiar_materiales">
                <anchor moveWithCells="1">
                  <from>
                    <xdr:col>5</xdr:col>
                    <xdr:colOff>2019300</xdr:colOff>
                    <xdr:row>4</xdr:row>
                    <xdr:rowOff>47625</xdr:rowOff>
                  </from>
                  <to>
                    <xdr:col>5</xdr:col>
                    <xdr:colOff>3124200</xdr:colOff>
                    <xdr:row>5</xdr:row>
                    <xdr:rowOff>95250</xdr:rowOff>
                  </to>
                </anchor>
              </controlPr>
            </control>
          </mc:Choice>
        </mc:AlternateContent>
        <mc:AlternateContent xmlns:mc="http://schemas.openxmlformats.org/markup-compatibility/2006">
          <mc:Choice Requires="x14">
            <control shapeId="5127" r:id="rId5" name="Button 7">
              <controlPr defaultSize="0" print="0" autoFill="0" autoPict="0" macro="[0]!limpiar_mat_usuario">
                <anchor moveWithCells="1">
                  <from>
                    <xdr:col>5</xdr:col>
                    <xdr:colOff>2019300</xdr:colOff>
                    <xdr:row>25</xdr:row>
                    <xdr:rowOff>19050</xdr:rowOff>
                  </from>
                  <to>
                    <xdr:col>5</xdr:col>
                    <xdr:colOff>3124200</xdr:colOff>
                    <xdr:row>26</xdr:row>
                    <xdr:rowOff>85725</xdr:rowOff>
                  </to>
                </anchor>
              </controlPr>
            </control>
          </mc:Choice>
        </mc:AlternateContent>
        <mc:AlternateContent xmlns:mc="http://schemas.openxmlformats.org/markup-compatibility/2006">
          <mc:Choice Requires="x14">
            <control shapeId="5130" r:id="rId6" name="Button 10">
              <controlPr defaultSize="0" print="0" autoFill="0" autoPict="0" macro="[0]!Hoja1.dec_fila_mat">
                <anchor moveWithCells="1" sizeWithCells="1">
                  <from>
                    <xdr:col>11</xdr:col>
                    <xdr:colOff>95250</xdr:colOff>
                    <xdr:row>6</xdr:row>
                    <xdr:rowOff>390525</xdr:rowOff>
                  </from>
                  <to>
                    <xdr:col>11</xdr:col>
                    <xdr:colOff>257175</xdr:colOff>
                    <xdr:row>6</xdr:row>
                    <xdr:rowOff>514350</xdr:rowOff>
                  </to>
                </anchor>
              </controlPr>
            </control>
          </mc:Choice>
        </mc:AlternateContent>
        <mc:AlternateContent xmlns:mc="http://schemas.openxmlformats.org/markup-compatibility/2006">
          <mc:Choice Requires="x14">
            <control shapeId="5131" r:id="rId7" name="Button 11">
              <controlPr defaultSize="0" print="0" autoFill="0" autoPict="0" macro="[0]!Hoja1.inc_fila_mat">
                <anchor moveWithCells="1" sizeWithCells="1">
                  <from>
                    <xdr:col>11</xdr:col>
                    <xdr:colOff>95250</xdr:colOff>
                    <xdr:row>6</xdr:row>
                    <xdr:rowOff>533400</xdr:rowOff>
                  </from>
                  <to>
                    <xdr:col>11</xdr:col>
                    <xdr:colOff>257175</xdr:colOff>
                    <xdr:row>7</xdr:row>
                    <xdr:rowOff>114300</xdr:rowOff>
                  </to>
                </anchor>
              </controlPr>
            </control>
          </mc:Choice>
        </mc:AlternateContent>
        <mc:AlternateContent xmlns:mc="http://schemas.openxmlformats.org/markup-compatibility/2006">
          <mc:Choice Requires="x14">
            <control shapeId="5132" r:id="rId8" name="Button 12">
              <controlPr defaultSize="0" print="0" autoFill="0" autoPict="0" macro="[0]!Hoja1.dec_fila_mat_us">
                <anchor moveWithCells="1" sizeWithCells="1">
                  <from>
                    <xdr:col>13</xdr:col>
                    <xdr:colOff>104775</xdr:colOff>
                    <xdr:row>27</xdr:row>
                    <xdr:rowOff>304800</xdr:rowOff>
                  </from>
                  <to>
                    <xdr:col>13</xdr:col>
                    <xdr:colOff>266700</xdr:colOff>
                    <xdr:row>27</xdr:row>
                    <xdr:rowOff>514350</xdr:rowOff>
                  </to>
                </anchor>
              </controlPr>
            </control>
          </mc:Choice>
        </mc:AlternateContent>
        <mc:AlternateContent xmlns:mc="http://schemas.openxmlformats.org/markup-compatibility/2006">
          <mc:Choice Requires="x14">
            <control shapeId="5133" r:id="rId9" name="Button 13">
              <controlPr defaultSize="0" print="0" autoFill="0" autoPict="0" macro="[0]!Hoja1.inc_fila_mat_us">
                <anchor moveWithCells="1" sizeWithCells="1">
                  <from>
                    <xdr:col>13</xdr:col>
                    <xdr:colOff>104775</xdr:colOff>
                    <xdr:row>27</xdr:row>
                    <xdr:rowOff>542925</xdr:rowOff>
                  </from>
                  <to>
                    <xdr:col>13</xdr:col>
                    <xdr:colOff>266700</xdr:colOff>
                    <xdr:row>29</xdr:row>
                    <xdr:rowOff>28575</xdr:rowOff>
                  </to>
                </anchor>
              </controlPr>
            </control>
          </mc:Choice>
        </mc:AlternateContent>
      </controls>
    </mc:Choice>
  </mc:AlternateContent>
  <tableParts count="6">
    <tablePart r:id="rId10"/>
    <tablePart r:id="rId11"/>
    <tablePart r:id="rId12"/>
    <tablePart r:id="rId13"/>
    <tablePart r:id="rId14"/>
    <tablePart r:id="rId15"/>
  </tableParts>
  <extLst>
    <ext xmlns:x14="http://schemas.microsoft.com/office/spreadsheetml/2009/9/main" uri="{CCE6A557-97BC-4b89-ADB6-D9C93CAAB3DF}">
      <x14:dataValidations xmlns:xm="http://schemas.microsoft.com/office/excel/2006/main" count="3">
        <x14:dataValidation type="list" allowBlank="1" showInputMessage="1" showErrorMessage="1" xr:uid="{134D4CFD-B58F-4494-A426-D7D97FFA6D68}">
          <x14:formula1>
            <xm:f>Aux!$H$20:$H$27</xm:f>
          </x14:formula1>
          <xm:sqref>J34 K29:K33</xm:sqref>
        </x14:dataValidation>
        <x14:dataValidation type="list" allowBlank="1" showInputMessage="1" showErrorMessage="1" xr:uid="{8A453FA3-67AF-4797-9F9A-E17824E8F036}">
          <x14:formula1>
            <xm:f>Aux!$H$18:$H$19</xm:f>
          </x14:formula1>
          <xm:sqref>G34 H29:H33</xm:sqref>
        </x14:dataValidation>
        <x14:dataValidation type="list" allowBlank="1" showInputMessage="1" showErrorMessage="1" xr:uid="{AEAF7BF4-5CCB-4F8C-ADCF-E672504F4103}">
          <x14:formula1>
            <xm:f>INDIRECT(INDEX(Aux!$I$36:$I$40,MATCH($E8,lista_bibliotecas,0)))</xm:f>
          </x14:formula1>
          <xm:sqref>F8:F22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D618D-E983-4498-BDA3-D31397B8C6D5}">
  <sheetPr codeName="Hoja2">
    <tabColor theme="1"/>
  </sheetPr>
  <dimension ref="A1:I46"/>
  <sheetViews>
    <sheetView showOutlineSymbols="0" workbookViewId="0">
      <pane ySplit="1" topLeftCell="A2" activePane="bottomLeft" state="frozen"/>
      <selection pane="bottomLeft" activeCell="B9" sqref="B9:C9"/>
    </sheetView>
  </sheetViews>
  <sheetFormatPr defaultColWidth="11.3984375" defaultRowHeight="14.25" x14ac:dyDescent="0.45"/>
  <cols>
    <col min="1" max="1" width="4.3984375" style="40" customWidth="1"/>
    <col min="2" max="2" width="10.59765625" style="40" customWidth="1"/>
    <col min="3" max="3" width="24" style="40" customWidth="1"/>
    <col min="4" max="4" width="24.73046875" style="40" customWidth="1"/>
    <col min="5" max="6" width="35.73046875" style="40" customWidth="1"/>
    <col min="7" max="9" width="11.3984375" style="40" customWidth="1"/>
    <col min="10" max="16384" width="11.3984375" style="40"/>
  </cols>
  <sheetData>
    <row r="1" spans="1:9" s="168" customFormat="1" ht="23.25" x14ac:dyDescent="0.7">
      <c r="B1" s="438" t="s">
        <v>1764</v>
      </c>
      <c r="C1" s="438"/>
      <c r="D1" s="438"/>
      <c r="E1" s="438"/>
      <c r="F1" s="438"/>
    </row>
    <row r="2" spans="1:9" s="106" customFormat="1" x14ac:dyDescent="0.45">
      <c r="B2" s="325" t="s">
        <v>1640</v>
      </c>
      <c r="C2" s="326"/>
      <c r="D2" s="326"/>
      <c r="E2" s="326"/>
      <c r="F2" s="326"/>
      <c r="G2" s="326"/>
      <c r="H2" s="326"/>
      <c r="I2" s="327"/>
    </row>
    <row r="3" spans="1:9" s="106" customFormat="1" ht="19.899999999999999" thickBot="1" x14ac:dyDescent="0.65">
      <c r="B3" s="440" t="s">
        <v>1760</v>
      </c>
      <c r="C3" s="440"/>
      <c r="D3" s="440"/>
      <c r="E3" s="440"/>
      <c r="F3" s="440"/>
      <c r="G3" s="440"/>
      <c r="H3" s="440"/>
      <c r="I3" s="440"/>
    </row>
    <row r="4" spans="1:9" s="106" customFormat="1" ht="14.65" thickTop="1" x14ac:dyDescent="0.45">
      <c r="A4" s="40"/>
      <c r="B4" s="40"/>
      <c r="C4" s="40"/>
      <c r="D4" s="40"/>
      <c r="E4" s="40"/>
      <c r="F4" s="40"/>
      <c r="G4" s="40"/>
      <c r="H4" s="40"/>
      <c r="I4" s="40"/>
    </row>
    <row r="5" spans="1:9" s="106" customFormat="1" x14ac:dyDescent="0.45">
      <c r="A5" s="40"/>
      <c r="B5" s="40"/>
      <c r="C5" s="40"/>
      <c r="D5" s="40"/>
      <c r="E5" s="40"/>
      <c r="F5" s="40"/>
      <c r="G5" s="40"/>
      <c r="H5" s="40"/>
      <c r="I5" s="40"/>
    </row>
    <row r="6" spans="1:9" s="106" customFormat="1" x14ac:dyDescent="0.45">
      <c r="B6" s="155"/>
      <c r="C6" s="140" t="s">
        <v>1713</v>
      </c>
      <c r="D6" s="173" t="s">
        <v>1742</v>
      </c>
      <c r="F6" s="155"/>
      <c r="G6" s="155"/>
      <c r="H6" s="155"/>
      <c r="I6" s="155"/>
    </row>
    <row r="7" spans="1:9" s="106" customFormat="1" ht="30" customHeight="1" x14ac:dyDescent="0.45">
      <c r="B7" s="155"/>
      <c r="C7" s="141" t="s">
        <v>1714</v>
      </c>
      <c r="D7" s="437" t="s">
        <v>1685</v>
      </c>
      <c r="E7" s="437"/>
      <c r="F7" s="437"/>
      <c r="G7" s="155"/>
      <c r="H7" s="155"/>
      <c r="I7" s="155"/>
    </row>
    <row r="8" spans="1:9" s="106" customFormat="1" x14ac:dyDescent="0.45">
      <c r="B8" s="443" t="s">
        <v>1761</v>
      </c>
      <c r="C8" s="443"/>
      <c r="D8" s="444" t="s">
        <v>1762</v>
      </c>
      <c r="E8" s="444"/>
      <c r="F8" s="429"/>
      <c r="G8" s="155"/>
      <c r="H8" s="155"/>
      <c r="I8" s="155"/>
    </row>
    <row r="9" spans="1:9" s="106" customFormat="1" x14ac:dyDescent="0.45">
      <c r="B9" s="443" t="str">
        <f>CHOOSE(método_acreditación_transmitancia,"","","Informe de ensayo n°:","Código solución:")</f>
        <v/>
      </c>
      <c r="C9" s="443"/>
      <c r="D9" s="422"/>
      <c r="E9" s="421" t="str">
        <f>CHOOSE(método_acreditación_transmitancia,"","","Institución:","Edición:")</f>
        <v/>
      </c>
      <c r="F9" s="428"/>
      <c r="G9" s="421" t="s">
        <v>1855</v>
      </c>
      <c r="H9" s="428">
        <v>2</v>
      </c>
      <c r="I9" s="427" t="s">
        <v>348</v>
      </c>
    </row>
    <row r="10" spans="1:9" s="106" customFormat="1" x14ac:dyDescent="0.45">
      <c r="B10" s="155"/>
      <c r="C10" s="155"/>
      <c r="D10" s="155"/>
      <c r="E10" s="155"/>
      <c r="F10" s="155"/>
      <c r="G10" s="155"/>
      <c r="H10" s="155"/>
      <c r="I10" s="155"/>
    </row>
    <row r="11" spans="1:9" ht="19.899999999999999" thickBot="1" x14ac:dyDescent="0.65">
      <c r="B11" s="440" t="s">
        <v>1767</v>
      </c>
      <c r="C11" s="440"/>
      <c r="D11" s="440"/>
      <c r="E11" s="440"/>
      <c r="F11" s="440"/>
      <c r="G11" s="440"/>
      <c r="H11" s="440"/>
      <c r="I11" s="440"/>
    </row>
    <row r="12" spans="1:9" ht="75" customHeight="1" thickTop="1" x14ac:dyDescent="0.45">
      <c r="B12" s="169"/>
      <c r="C12" s="169"/>
      <c r="D12" s="169"/>
      <c r="E12" s="169"/>
      <c r="F12" s="169"/>
      <c r="G12" s="169"/>
      <c r="H12" s="169"/>
      <c r="I12" s="169"/>
    </row>
    <row r="13" spans="1:9" ht="9" customHeight="1" x14ac:dyDescent="0.45">
      <c r="B13" s="156"/>
      <c r="C13" s="156"/>
      <c r="D13" s="156"/>
      <c r="E13" s="156"/>
      <c r="F13" s="156"/>
      <c r="G13" s="156"/>
    </row>
    <row r="14" spans="1:9" x14ac:dyDescent="0.45">
      <c r="C14" s="140" t="s">
        <v>81</v>
      </c>
      <c r="D14" s="66" t="s">
        <v>82</v>
      </c>
      <c r="E14" s="189"/>
      <c r="F14" s="45"/>
      <c r="G14" s="45"/>
    </row>
    <row r="15" spans="1:9" x14ac:dyDescent="0.45">
      <c r="C15" s="439" t="s">
        <v>1520</v>
      </c>
      <c r="D15" s="441"/>
      <c r="E15" s="441"/>
    </row>
    <row r="16" spans="1:9" x14ac:dyDescent="0.45">
      <c r="C16" s="439"/>
      <c r="D16" s="441"/>
      <c r="E16" s="441"/>
    </row>
    <row r="17" spans="2:7" x14ac:dyDescent="0.45">
      <c r="C17" s="171"/>
      <c r="D17" s="441"/>
      <c r="E17" s="441"/>
    </row>
    <row r="18" spans="2:7" x14ac:dyDescent="0.45">
      <c r="D18" s="441"/>
      <c r="E18" s="441"/>
    </row>
    <row r="19" spans="2:7" ht="15" customHeight="1" x14ac:dyDescent="0.45">
      <c r="C19" s="442" t="s">
        <v>89</v>
      </c>
      <c r="D19" s="437" t="s">
        <v>543</v>
      </c>
      <c r="E19" s="437"/>
    </row>
    <row r="20" spans="2:7" x14ac:dyDescent="0.45">
      <c r="B20" s="200"/>
      <c r="C20" s="442"/>
      <c r="D20" s="437"/>
      <c r="E20" s="437"/>
    </row>
    <row r="21" spans="2:7" ht="11.25" customHeight="1" x14ac:dyDescent="0.45"/>
    <row r="24" spans="2:7" x14ac:dyDescent="0.45">
      <c r="C24" s="131" t="s">
        <v>91</v>
      </c>
      <c r="D24" s="131" t="s">
        <v>92</v>
      </c>
      <c r="E24" s="37" t="s">
        <v>93</v>
      </c>
      <c r="F24" s="431" t="s">
        <v>1864</v>
      </c>
      <c r="G24" s="280" t="s">
        <v>94</v>
      </c>
    </row>
    <row r="25" spans="2:7" x14ac:dyDescent="0.45">
      <c r="C25" s="44" t="s">
        <v>95</v>
      </c>
      <c r="D25" s="405" t="s">
        <v>96</v>
      </c>
      <c r="E25" s="317"/>
      <c r="F25" s="432"/>
      <c r="G25" s="404" t="s">
        <v>1532</v>
      </c>
    </row>
    <row r="26" spans="2:7" x14ac:dyDescent="0.45">
      <c r="C26" s="44" t="s">
        <v>98</v>
      </c>
      <c r="D26" s="405" t="s">
        <v>99</v>
      </c>
      <c r="E26" s="318"/>
      <c r="F26" s="433"/>
      <c r="G26" s="404" t="s">
        <v>1531</v>
      </c>
    </row>
    <row r="27" spans="2:7" x14ac:dyDescent="0.45">
      <c r="C27" s="320"/>
      <c r="D27" s="424" t="str">
        <f>"Capa "&amp;ROW()-ROW(INDEX(DATOS[],1,1))-1</f>
        <v>Capa 1</v>
      </c>
      <c r="E27" s="319"/>
      <c r="F27" s="434"/>
      <c r="G27" s="321" cm="1">
        <f t="array" ref="G27">INDEX(CAPAS[RTcapa],ROW()-ROW(INDEX(DATOS[],1,1))-1)</f>
        <v>0</v>
      </c>
    </row>
    <row r="28" spans="2:7" x14ac:dyDescent="0.45">
      <c r="C28" s="320"/>
      <c r="D28" s="425" t="str">
        <f>"Capa "&amp;ROW()-ROW(INDEX(DATOS[],1,1))-1</f>
        <v>Capa 2</v>
      </c>
      <c r="E28" s="423"/>
      <c r="F28" s="435"/>
      <c r="G28" s="426" cm="1">
        <f t="array" ref="G28">INDEX(CAPAS[RTcapa],ROW()-ROW(INDEX(DATOS[],1,1))-1)</f>
        <v>0</v>
      </c>
    </row>
    <row r="29" spans="2:7" x14ac:dyDescent="0.45">
      <c r="C29" s="320"/>
      <c r="D29" s="425" t="str">
        <f>"Capa "&amp;ROW()-ROW(INDEX(DATOS[],1,1))-1</f>
        <v>Capa 3</v>
      </c>
      <c r="E29" s="423"/>
      <c r="F29" s="435"/>
      <c r="G29" s="426" cm="1">
        <f t="array" ref="G29">INDEX(CAPAS[RTcapa],ROW()-ROW(INDEX(DATOS[],1,1))-1)</f>
        <v>0</v>
      </c>
    </row>
    <row r="30" spans="2:7" x14ac:dyDescent="0.45">
      <c r="C30" s="320"/>
      <c r="D30" s="44" t="str">
        <f>"Capa "&amp;ROW()-ROW(INDEX(DATOS[],1,1))-1</f>
        <v>Capa 4</v>
      </c>
      <c r="E30" s="423"/>
      <c r="F30" s="435"/>
      <c r="G30" s="426" cm="1">
        <f t="array" ref="G30">INDEX(CAPAS[RTcapa],ROW()-ROW(INDEX(DATOS[],1,1))-1)</f>
        <v>0</v>
      </c>
    </row>
    <row r="31" spans="2:7" x14ac:dyDescent="0.45">
      <c r="C31" s="320"/>
      <c r="D31" s="44" t="str">
        <f>"Capa "&amp;ROW()-ROW(INDEX(DATOS[],1,1))-1</f>
        <v>Capa 5</v>
      </c>
      <c r="E31" s="423"/>
      <c r="F31" s="435"/>
      <c r="G31" s="426" cm="1">
        <f t="array" ref="G31">INDEX(CAPAS[RTcapa],ROW()-ROW(INDEX(DATOS[],1,1))-1)</f>
        <v>0</v>
      </c>
    </row>
    <row r="32" spans="2:7" x14ac:dyDescent="0.45">
      <c r="C32" s="320"/>
      <c r="D32" s="44" t="str">
        <f>"Capa "&amp;ROW()-ROW(INDEX(DATOS[],1,1))-1</f>
        <v>Capa 6</v>
      </c>
      <c r="E32" s="423"/>
      <c r="F32" s="435"/>
      <c r="G32" s="426" cm="1">
        <f t="array" ref="G32">INDEX(CAPAS[RTcapa],ROW()-ROW(INDEX(DATOS[],1,1))-1)</f>
        <v>0</v>
      </c>
    </row>
    <row r="33" spans="3:7" x14ac:dyDescent="0.45">
      <c r="C33" s="320"/>
      <c r="D33" s="44" t="str">
        <f>"Capa "&amp;ROW()-ROW(INDEX(DATOS[],1,1))-1</f>
        <v>Capa 7</v>
      </c>
      <c r="E33" s="423"/>
      <c r="F33" s="435"/>
      <c r="G33" s="426" cm="1">
        <f t="array" ref="G33">INDEX(CAPAS[RTcapa],ROW()-ROW(INDEX(DATOS[],1,1))-1)</f>
        <v>0</v>
      </c>
    </row>
    <row r="34" spans="3:7" x14ac:dyDescent="0.45">
      <c r="C34" s="38" t="str">
        <f>"Espesor total = "&amp;ROUND(CAPAS[[#Totals],[d]],4)&amp;" [m]"</f>
        <v>Espesor total = 0 [m]</v>
      </c>
      <c r="D34" s="143" t="s">
        <v>101</v>
      </c>
      <c r="E34" s="39" cm="1">
        <f t="array" ref="E34">IF(INDEX(SECCIONES[verif error sección térmico],COLUMN()-COLUMN(INDEX(DATOS[],1,1))-1)=1,0,INDEX(SECCIONES[Rtsección],COLUMN()-COLUMN(INDEX(DATOS[],1,1))-1))</f>
        <v>0</v>
      </c>
      <c r="F34" s="39" cm="1">
        <f t="array" ref="F34">IF(INDEX(SECCIONES[verif error sección térmico],COLUMN()-COLUMN(INDEX(DATOS[],1,1))-1)=1,0,INDEX(SECCIONES[Rtsección],COLUMN()-COLUMN(INDEX(DATOS[],1,1))-1))</f>
        <v>0</v>
      </c>
      <c r="G34" s="281" t="s">
        <v>1830</v>
      </c>
    </row>
    <row r="35" spans="3:7" x14ac:dyDescent="0.45">
      <c r="G35" s="42"/>
    </row>
    <row r="38" spans="3:7" x14ac:dyDescent="0.45">
      <c r="F38" s="42"/>
    </row>
    <row r="45" spans="3:7" x14ac:dyDescent="0.45">
      <c r="C45" s="43"/>
    </row>
    <row r="46" spans="3:7" x14ac:dyDescent="0.45">
      <c r="C46" s="43"/>
    </row>
  </sheetData>
  <sheetProtection algorithmName="SHA-512" hashValue="a1pfKyQzrKmT5W54k40EXiKkAuV3wSprByUzrxnHOD7RTAX7+59d93HEcmsS2JhHRc0NqRxvRAXhbb3qZ6U4MQ==" saltValue="q+hCS068mAHqom4+udRXGA==" spinCount="100000" sheet="1" objects="1" scenarios="1"/>
  <mergeCells count="11">
    <mergeCell ref="D19:E20"/>
    <mergeCell ref="B1:F1"/>
    <mergeCell ref="C15:C16"/>
    <mergeCell ref="B11:I11"/>
    <mergeCell ref="D15:E18"/>
    <mergeCell ref="C19:C20"/>
    <mergeCell ref="B3:I3"/>
    <mergeCell ref="B8:C8"/>
    <mergeCell ref="D8:E8"/>
    <mergeCell ref="D7:F7"/>
    <mergeCell ref="B9:C9"/>
  </mergeCells>
  <phoneticPr fontId="5" type="noConversion"/>
  <conditionalFormatting sqref="E26:F26">
    <cfRule type="expression" dxfId="540" priority="11">
      <formula>ISBLANK(E$26)*(método_acreditación_transmitancia=1)*(N_secciones&gt;1)</formula>
    </cfRule>
  </conditionalFormatting>
  <conditionalFormatting sqref="C27:C33">
    <cfRule type="expression" dxfId="539" priority="10">
      <formula>ISBLANK(C27)</formula>
    </cfRule>
  </conditionalFormatting>
  <conditionalFormatting sqref="D14 D6">
    <cfRule type="expression" dxfId="538" priority="9">
      <formula>ISBLANK(D6)</formula>
    </cfRule>
  </conditionalFormatting>
  <conditionalFormatting sqref="E27:F33">
    <cfRule type="expression" dxfId="537" priority="12">
      <formula>ISBLANK(E27)</formula>
    </cfRule>
    <cfRule type="expression" dxfId="536" priority="13">
      <formula>ISERROR(MATCH(E27,lista_materiales,0))</formula>
    </cfRule>
  </conditionalFormatting>
  <dataValidations count="3">
    <dataValidation type="list" allowBlank="1" showInputMessage="1" showErrorMessage="1" sqref="E27 F27 E28 F28 E29 F29 E30 F30 E31 F31 E32 F32 E33 F33" xr:uid="{092442C1-A0F7-4F6C-9208-2FC303C846AC}">
      <formula1>lista_materiales</formula1>
    </dataValidation>
    <dataValidation type="list" allowBlank="1" showInputMessage="1" showErrorMessage="1" sqref="D14" xr:uid="{01CC6B00-8D16-4E99-831B-9085BBE1B945}">
      <formula1>lista_tipo_elemento</formula1>
    </dataValidation>
    <dataValidation type="list" allowBlank="1" showInputMessage="1" showErrorMessage="1" sqref="D8:E8" xr:uid="{90DDF7AE-C54E-4413-BA88-0C9FFDCEEC49}">
      <formula1>lista_acreditación_térmica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89" r:id="rId4" name="Boton_Limpiar">
              <controlPr defaultSize="0" print="0" autoFill="0" autoPict="0" macro="[0]!limpiar_config">
                <anchor moveWithCells="1">
                  <from>
                    <xdr:col>3</xdr:col>
                    <xdr:colOff>219075</xdr:colOff>
                    <xdr:row>20</xdr:row>
                    <xdr:rowOff>76200</xdr:rowOff>
                  </from>
                  <to>
                    <xdr:col>3</xdr:col>
                    <xdr:colOff>1085850</xdr:colOff>
                    <xdr:row>22</xdr:row>
                    <xdr:rowOff>171450</xdr:rowOff>
                  </to>
                </anchor>
              </controlPr>
            </control>
          </mc:Choice>
        </mc:AlternateContent>
        <mc:AlternateContent xmlns:mc="http://schemas.openxmlformats.org/markup-compatibility/2006">
          <mc:Choice Requires="x14">
            <control shapeId="4204" r:id="rId5" name="Button 108">
              <controlPr defaultSize="0" print="0" autoFill="0" autoPict="0" macro="[0]!ImportarDesdeCSV">
                <anchor moveWithCells="1">
                  <from>
                    <xdr:col>2</xdr:col>
                    <xdr:colOff>904875</xdr:colOff>
                    <xdr:row>20</xdr:row>
                    <xdr:rowOff>76200</xdr:rowOff>
                  </from>
                  <to>
                    <xdr:col>3</xdr:col>
                    <xdr:colOff>171450</xdr:colOff>
                    <xdr:row>22</xdr:row>
                    <xdr:rowOff>171450</xdr:rowOff>
                  </to>
                </anchor>
              </controlPr>
            </control>
          </mc:Choice>
        </mc:AlternateContent>
        <mc:AlternateContent xmlns:mc="http://schemas.openxmlformats.org/markup-compatibility/2006">
          <mc:Choice Requires="x14">
            <control shapeId="4205" r:id="rId6" name="Button 109">
              <controlPr defaultSize="0" print="0" autoFill="0" autoPict="0" macro="[0]!ExportarTodoACSV" altText="Permite exportar a un archivo CSV los datos de configuración y materiales del sistema constructivo ">
                <anchor moveWithCells="1">
                  <from>
                    <xdr:col>1</xdr:col>
                    <xdr:colOff>695325</xdr:colOff>
                    <xdr:row>20</xdr:row>
                    <xdr:rowOff>76200</xdr:rowOff>
                  </from>
                  <to>
                    <xdr:col>2</xdr:col>
                    <xdr:colOff>857250</xdr:colOff>
                    <xdr:row>22</xdr:row>
                    <xdr:rowOff>171450</xdr:rowOff>
                  </to>
                </anchor>
              </controlPr>
            </control>
          </mc:Choice>
        </mc:AlternateContent>
        <mc:AlternateContent xmlns:mc="http://schemas.openxmlformats.org/markup-compatibility/2006">
          <mc:Choice Requires="x14">
            <control shapeId="4211" r:id="rId7" name="Button 115">
              <controlPr defaultSize="0" print="0" autoFill="0" autoPict="0" macro="[0]!vistaPersonalizada">
                <anchor moveWithCells="1">
                  <from>
                    <xdr:col>4</xdr:col>
                    <xdr:colOff>400050</xdr:colOff>
                    <xdr:row>20</xdr:row>
                    <xdr:rowOff>76200</xdr:rowOff>
                  </from>
                  <to>
                    <xdr:col>4</xdr:col>
                    <xdr:colOff>1276350</xdr:colOff>
                    <xdr:row>22</xdr:row>
                    <xdr:rowOff>171450</xdr:rowOff>
                  </to>
                </anchor>
              </controlPr>
            </control>
          </mc:Choice>
        </mc:AlternateContent>
        <mc:AlternateContent xmlns:mc="http://schemas.openxmlformats.org/markup-compatibility/2006">
          <mc:Choice Requires="x14">
            <control shapeId="4214" r:id="rId8" name="Button 118">
              <controlPr defaultSize="0" print="0" autoFill="0" autoPict="0" macro="[0]!quitar_capa">
                <anchor moveWithCells="1" sizeWithCells="1">
                  <from>
                    <xdr:col>1</xdr:col>
                    <xdr:colOff>495300</xdr:colOff>
                    <xdr:row>24</xdr:row>
                    <xdr:rowOff>19050</xdr:rowOff>
                  </from>
                  <to>
                    <xdr:col>1</xdr:col>
                    <xdr:colOff>657225</xdr:colOff>
                    <xdr:row>25</xdr:row>
                    <xdr:rowOff>57150</xdr:rowOff>
                  </to>
                </anchor>
              </controlPr>
            </control>
          </mc:Choice>
        </mc:AlternateContent>
        <mc:AlternateContent xmlns:mc="http://schemas.openxmlformats.org/markup-compatibility/2006">
          <mc:Choice Requires="x14">
            <control shapeId="4215" r:id="rId9" name="Button 119">
              <controlPr defaultSize="0" print="0" autoFill="0" autoPict="0" macro="[0]!agregar_capa">
                <anchor moveWithCells="1" sizeWithCells="1">
                  <from>
                    <xdr:col>1</xdr:col>
                    <xdr:colOff>495300</xdr:colOff>
                    <xdr:row>25</xdr:row>
                    <xdr:rowOff>85725</xdr:rowOff>
                  </from>
                  <to>
                    <xdr:col>1</xdr:col>
                    <xdr:colOff>657225</xdr:colOff>
                    <xdr:row>26</xdr:row>
                    <xdr:rowOff>123825</xdr:rowOff>
                  </to>
                </anchor>
              </controlPr>
            </control>
          </mc:Choice>
        </mc:AlternateContent>
        <mc:AlternateContent xmlns:mc="http://schemas.openxmlformats.org/markup-compatibility/2006">
          <mc:Choice Requires="x14">
            <control shapeId="4216" r:id="rId10" name="Button 120">
              <controlPr defaultSize="0" print="0" autoFill="0" autoPict="0" macro="[0]!quitar_seccion">
                <anchor moveWithCells="1" sizeWithCells="1">
                  <from>
                    <xdr:col>4</xdr:col>
                    <xdr:colOff>1609725</xdr:colOff>
                    <xdr:row>21</xdr:row>
                    <xdr:rowOff>142875</xdr:rowOff>
                  </from>
                  <to>
                    <xdr:col>4</xdr:col>
                    <xdr:colOff>1885950</xdr:colOff>
                    <xdr:row>22</xdr:row>
                    <xdr:rowOff>142875</xdr:rowOff>
                  </to>
                </anchor>
              </controlPr>
            </control>
          </mc:Choice>
        </mc:AlternateContent>
        <mc:AlternateContent xmlns:mc="http://schemas.openxmlformats.org/markup-compatibility/2006">
          <mc:Choice Requires="x14">
            <control shapeId="4217" r:id="rId11" name="Button 121">
              <controlPr defaultSize="0" print="0" autoFill="0" autoPict="0" macro="[0]!agregar_seccion">
                <anchor moveWithCells="1" sizeWithCells="1">
                  <from>
                    <xdr:col>4</xdr:col>
                    <xdr:colOff>1933575</xdr:colOff>
                    <xdr:row>21</xdr:row>
                    <xdr:rowOff>142875</xdr:rowOff>
                  </from>
                  <to>
                    <xdr:col>4</xdr:col>
                    <xdr:colOff>2209800</xdr:colOff>
                    <xdr:row>22</xdr:row>
                    <xdr:rowOff>142875</xdr:rowOff>
                  </to>
                </anchor>
              </controlPr>
            </control>
          </mc:Choice>
        </mc:AlternateContent>
      </controls>
    </mc:Choice>
  </mc:AlternateContent>
  <tableParts count="1">
    <tablePart r:id="rId12"/>
  </tableParts>
  <extLst>
    <ext xmlns:x14="http://schemas.microsoft.com/office/spreadsheetml/2009/9/main" uri="{78C0D931-6437-407d-A8EE-F0AAD7539E65}">
      <x14:conditionalFormattings>
        <x14:conditionalFormatting xmlns:xm="http://schemas.microsoft.com/office/excel/2006/main">
          <x14:cfRule type="expression" priority="414" id="{1B5CED5A-036D-40C3-8080-D66D48DA3437}">
            <xm:f>(Cálculos!$D$3&lt;&gt;2)+(Cálculos!$D$3=0)</xm:f>
            <x14:dxf>
              <font>
                <color theme="0"/>
              </font>
              <fill>
                <patternFill>
                  <bgColor theme="0"/>
                </patternFill>
              </fill>
              <border>
                <left/>
                <right/>
                <bottom/>
                <vertical/>
                <horizontal/>
              </border>
            </x14:dxf>
          </x14:cfRule>
          <xm:sqref>C19:E20</xm:sqref>
        </x14:conditionalFormatting>
        <x14:conditionalFormatting xmlns:xm="http://schemas.microsoft.com/office/excel/2006/main">
          <x14:cfRule type="expression" priority="14" id="{4AE2DFFA-DFE4-43BA-B4D3-4692CC9D7656}">
            <xm:f>ISERROR(MATCH($D$7,INDIRECT(CHOOSE(param_emplazamiento_1,Aux!$R$3,Aux!$R$4,Aux!$R$5,Aux!$R$6,Aux!$R$7,Aux!$R$8,Aux!$R$9,Aux!$R$10,Aux!$R$11,Aux!$R$12,Aux!$R$13,Aux!$R$14,Aux!$R$15,Aux!$R$16)),0))</xm:f>
            <x14:dxf>
              <font>
                <color theme="0"/>
              </font>
              <fill>
                <patternFill>
                  <bgColor rgb="FFFF0000"/>
                </patternFill>
              </fill>
            </x14:dxf>
          </x14:cfRule>
          <xm:sqref>D7</xm:sqref>
        </x14:conditionalFormatting>
        <x14:conditionalFormatting xmlns:xm="http://schemas.microsoft.com/office/excel/2006/main">
          <x14:cfRule type="expression" priority="2" id="{6F0EEC7C-8234-4D24-BDE4-E0302317CE7E}">
            <xm:f>Cálculos!$AH$3&lt;3</xm:f>
            <x14:dxf>
              <font>
                <color theme="0"/>
              </font>
              <fill>
                <patternFill>
                  <bgColor theme="0"/>
                </patternFill>
              </fill>
              <border>
                <left/>
                <right/>
                <bottom/>
              </border>
            </x14:dxf>
          </x14:cfRule>
          <xm:sqref>B9:I9</xm:sqref>
        </x14:conditionalFormatting>
        <x14:conditionalFormatting xmlns:xm="http://schemas.microsoft.com/office/excel/2006/main">
          <x14:cfRule type="expression" priority="1" id="{316EB73A-7374-4689-B5BD-7BE852FA0F3D}">
            <xm:f>Cálculos!$AH$3&gt;3</xm:f>
            <x14:dxf>
              <font>
                <color theme="0"/>
              </font>
              <fill>
                <patternFill>
                  <bgColor theme="0"/>
                </patternFill>
              </fill>
              <border>
                <left/>
                <right/>
                <top/>
                <bottom/>
                <vertical/>
                <horizontal/>
              </border>
            </x14:dxf>
          </x14:cfRule>
          <xm:sqref>G9:I9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45E363A8-7FD8-492A-B8B1-1521FCB463A3}">
          <x14:formula1>
            <xm:f>CHOOSE(tipo_emplazamiento,INDIRECT(Aux!$N$6),INDIRECT(Aux!$N$7))</xm:f>
          </x14:formula1>
          <xm:sqref>D6</xm:sqref>
        </x14:dataValidation>
        <x14:dataValidation type="list" allowBlank="1" showInputMessage="1" showErrorMessage="1" xr:uid="{0D2F445D-C421-4D39-8EA1-9C53BD018A72}">
          <x14:formula1>
            <xm:f>Aux!$C$28:$C$32</xm:f>
          </x14:formula1>
          <xm:sqref>D19</xm:sqref>
        </x14:dataValidation>
        <x14:dataValidation type="list" allowBlank="1" showInputMessage="1" showErrorMessage="1" xr:uid="{C2842064-A5D6-402E-9571-608B02B3298E}">
          <x14:formula1>
            <xm:f>INDIRECT(CHOOSE(param_emplazamiento_1,Aux!$R$3,Aux!$R$4,Aux!$R$5,Aux!$R$6,Aux!$R$7,Aux!$R$8,Aux!$R$9,Aux!$R$10,Aux!$R$11,Aux!$R$12,Aux!$R$13,Aux!$R$14,Aux!$R$15,Aux!$R$16))</xm:f>
          </x14:formula1>
          <xm:sqref>D7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D4BCE-61C9-4763-A79C-02FDD83B9B10}">
  <sheetPr codeName="Hoja6">
    <tabColor theme="5"/>
  </sheetPr>
  <dimension ref="B1:K63"/>
  <sheetViews>
    <sheetView showOutlineSymbols="0" workbookViewId="0">
      <pane ySplit="1" topLeftCell="A2" activePane="bottomLeft" state="frozen"/>
      <selection pane="bottomLeft" activeCell="F23" sqref="F23"/>
    </sheetView>
  </sheetViews>
  <sheetFormatPr defaultColWidth="11.3984375" defaultRowHeight="14.25" x14ac:dyDescent="0.45"/>
  <cols>
    <col min="1" max="1" width="4.59765625" style="40" customWidth="1"/>
    <col min="2" max="2" width="18" style="40" customWidth="1"/>
    <col min="3" max="3" width="25.265625" style="40" customWidth="1"/>
    <col min="4" max="4" width="13.3984375" style="40" customWidth="1"/>
    <col min="5" max="5" width="14.1328125" style="40" customWidth="1"/>
    <col min="6" max="6" width="12.265625" style="40" customWidth="1"/>
    <col min="7" max="7" width="12" style="40" customWidth="1"/>
    <col min="8" max="8" width="12.1328125" style="40" customWidth="1"/>
    <col min="9" max="10" width="11.3984375" style="40"/>
    <col min="11" max="11" width="18" style="40" customWidth="1"/>
    <col min="12" max="16384" width="11.3984375" style="40"/>
  </cols>
  <sheetData>
    <row r="1" spans="2:11" s="165" customFormat="1" ht="23.25" x14ac:dyDescent="0.7">
      <c r="B1" s="164" t="s">
        <v>1765</v>
      </c>
      <c r="C1" s="164"/>
      <c r="D1" s="164"/>
      <c r="E1" s="164"/>
    </row>
    <row r="2" spans="2:11" ht="7.5" customHeight="1" x14ac:dyDescent="0.45"/>
    <row r="3" spans="2:11" ht="19.899999999999999" thickBot="1" x14ac:dyDescent="0.65">
      <c r="B3" s="440" t="s">
        <v>1766</v>
      </c>
      <c r="C3" s="440"/>
      <c r="D3" s="440"/>
      <c r="E3" s="440"/>
      <c r="F3" s="440"/>
      <c r="G3" s="440"/>
      <c r="H3" s="440"/>
      <c r="I3" s="440"/>
      <c r="J3" s="440"/>
      <c r="K3" s="440"/>
    </row>
    <row r="4" spans="2:11" ht="7.5" customHeight="1" thickTop="1" x14ac:dyDescent="0.45"/>
    <row r="5" spans="2:11" ht="17.25" thickBot="1" x14ac:dyDescent="0.55000000000000004">
      <c r="B5" s="64" t="s">
        <v>1763</v>
      </c>
      <c r="C5" s="64"/>
      <c r="D5" s="64"/>
      <c r="E5" s="64"/>
      <c r="F5" s="64"/>
      <c r="G5" s="64"/>
      <c r="H5" s="64"/>
      <c r="I5" s="64"/>
      <c r="J5" s="64"/>
      <c r="K5" s="64"/>
    </row>
    <row r="6" spans="2:11" ht="14.65" thickTop="1" x14ac:dyDescent="0.45">
      <c r="B6" s="66" t="s">
        <v>497</v>
      </c>
      <c r="C6" s="462" t="str" cm="1">
        <f t="array" ref="C6">IFERROR(INDEX(Aux!$D$22:$D$24,Cálculos!$AH$49),"")</f>
        <v>No hay espacios de aire dentro del aislamiento, o estos no tienen efecto significativo</v>
      </c>
      <c r="D6" s="463"/>
      <c r="E6" s="463"/>
      <c r="F6" s="463"/>
      <c r="G6" s="463"/>
      <c r="H6" s="463"/>
      <c r="I6" s="463"/>
      <c r="J6" s="463"/>
      <c r="K6" s="464"/>
    </row>
    <row r="7" spans="2:11" ht="7.5" customHeight="1" x14ac:dyDescent="0.45"/>
    <row r="8" spans="2:11" ht="19.899999999999999" thickBot="1" x14ac:dyDescent="0.65">
      <c r="B8" s="440" t="s">
        <v>103</v>
      </c>
      <c r="C8" s="440"/>
      <c r="D8" s="440"/>
      <c r="E8" s="440"/>
      <c r="F8" s="440"/>
      <c r="G8" s="440"/>
      <c r="H8" s="440"/>
      <c r="I8" s="440"/>
      <c r="J8" s="440"/>
      <c r="K8" s="440"/>
    </row>
    <row r="9" spans="2:11" ht="30" customHeight="1" thickTop="1" x14ac:dyDescent="0.45">
      <c r="B9" s="448" t="s">
        <v>1856</v>
      </c>
      <c r="C9" s="448"/>
      <c r="D9" s="448"/>
      <c r="E9" s="448"/>
      <c r="F9" s="448"/>
      <c r="G9" s="448"/>
      <c r="H9" s="448"/>
      <c r="I9" s="448"/>
      <c r="J9" s="448"/>
      <c r="K9" s="448"/>
    </row>
    <row r="10" spans="2:11" ht="7.5" customHeight="1" x14ac:dyDescent="0.45"/>
    <row r="11" spans="2:11" x14ac:dyDescent="0.45">
      <c r="B11" s="461" t="s">
        <v>83</v>
      </c>
      <c r="C11" s="452" t="str">
        <f ca="1">IF(ISBLANK(Cálculos!FZ7),"",Cálculos!FZ7)</f>
        <v>Sección 'A ': Capa 1 0 mm + Capa 2 0 mm + Capa 3 0 mm + Capa 4 0 mm + Capa 5 0 mm + Capa 6 0 mm + Capa 7 0 mm. Sección 'B ': Capa 1 0 mm + Capa 2 0 mm + Capa 3 0 mm + Capa 4 0 mm + Capa 5 0 mm + Capa 6 0 mm + Capa 7 0 mm</v>
      </c>
      <c r="D11" s="453"/>
      <c r="E11" s="453"/>
      <c r="F11" s="453"/>
      <c r="G11" s="453"/>
      <c r="H11" s="453"/>
      <c r="I11" s="453"/>
      <c r="J11" s="453"/>
      <c r="K11" s="454"/>
    </row>
    <row r="12" spans="2:11" x14ac:dyDescent="0.45">
      <c r="B12" s="461"/>
      <c r="C12" s="455"/>
      <c r="D12" s="456"/>
      <c r="E12" s="456"/>
      <c r="F12" s="456"/>
      <c r="G12" s="456"/>
      <c r="H12" s="456"/>
      <c r="I12" s="456"/>
      <c r="J12" s="456"/>
      <c r="K12" s="457"/>
    </row>
    <row r="13" spans="2:11" x14ac:dyDescent="0.45">
      <c r="B13" s="461"/>
      <c r="C13" s="458"/>
      <c r="D13" s="459"/>
      <c r="E13" s="459"/>
      <c r="F13" s="459"/>
      <c r="G13" s="459"/>
      <c r="H13" s="459"/>
      <c r="I13" s="459"/>
      <c r="J13" s="459"/>
      <c r="K13" s="460"/>
    </row>
    <row r="14" spans="2:11" ht="7.5" customHeight="1" x14ac:dyDescent="0.45"/>
    <row r="15" spans="2:11" x14ac:dyDescent="0.45">
      <c r="B15" s="465" t="str">
        <f>CHOOSE(método_acreditación_transmitancia,"Transmitancia térmica total sin corregir, U =","","")</f>
        <v>Transmitancia térmica total sin corregir, U =</v>
      </c>
      <c r="C15" s="466"/>
      <c r="D15" s="368" t="str" cm="1">
        <f t="array" ref="D15">IFERROR(IF(Cálculos!$AH$16,"",CHOOSE(método_acreditación_transmitancia,IF(contacto_terreno,U_wg_b,U_sin_corregir),R_100)),"")</f>
        <v/>
      </c>
      <c r="E15" s="138" t="str">
        <f>CHOOSE(método_acreditación_transmitancia,"[W/m²K]","","")</f>
        <v>[W/m²K]</v>
      </c>
    </row>
    <row r="16" spans="2:11" x14ac:dyDescent="0.45">
      <c r="B16" s="465" t="str">
        <f>CHOOSE(método_acreditación_transmitancia,"Corrección a la transmitancia térmica total, ΔU =","","")</f>
        <v>Corrección a la transmitancia térmica total, ΔU =</v>
      </c>
      <c r="C16" s="466"/>
      <c r="D16" s="81" t="str" cm="1">
        <f t="array" ref="D16">IFERROR(IF(Cálculos!$AH$16,"",CHOOSE(método_acreditación_transmitancia,IF(contacto_terreno,U_wg_b,ΔU),R_100)),"")</f>
        <v/>
      </c>
      <c r="E16" s="138" t="str">
        <f>CHOOSE(método_acreditación_transmitancia,"[W/m²K]","","")</f>
        <v>[W/m²K]</v>
      </c>
      <c r="F16" s="467" t="s">
        <v>1862</v>
      </c>
      <c r="G16" s="468"/>
      <c r="H16" s="81" t="str">
        <f>IFERROR(IF(Cálculos!$AH$16,"",CHOOSE(método_acreditación_transmitancia,IF(contacto_terreno,"",ΔU_U),"","")),"")</f>
        <v/>
      </c>
      <c r="I16" s="40" t="s">
        <v>335</v>
      </c>
    </row>
    <row r="17" spans="2:11" x14ac:dyDescent="0.45">
      <c r="B17" s="449" t="str">
        <f>CHOOSE(método_acreditación_transmitancia,"Transmitancia térmica total, U =","R100 del material aislante =","Transmitancia térmica de ensayo, U =","Transmitancia térmica de solución del listado, U")</f>
        <v>Transmitancia térmica total, U =</v>
      </c>
      <c r="C17" s="450"/>
      <c r="D17" s="369" t="str" cm="1">
        <f t="array" ref="D17">IFERROR(IF(Cálculos!$AH$16,"",CHOOSE(método_acreditación_transmitancia,IF(contacto_terreno,U_wg_b,U_corregida),R_100,U_usuario)),"")</f>
        <v/>
      </c>
      <c r="E17" s="370" t="str">
        <f>CHOOSE(método_acreditación_transmitancia,"[W/m²K]","","[W/m²K]","[W/m²K]")</f>
        <v>[W/m²K]</v>
      </c>
      <c r="F17" s="467" t="s">
        <v>1861</v>
      </c>
      <c r="G17" s="468"/>
      <c r="H17" s="81" t="str">
        <f>IFERROR(IF(Cálculos!$AH$16,"",CHOOSE(método_acreditación_transmitancia,IF(contacto_terreno,"",error_máximo_relativo),"","")),"")</f>
        <v/>
      </c>
      <c r="I17" s="40" t="s">
        <v>335</v>
      </c>
    </row>
    <row r="19" spans="2:11" x14ac:dyDescent="0.45">
      <c r="C19" s="146" t="s">
        <v>106</v>
      </c>
      <c r="D19" s="146" t="str">
        <f>CHOOSE(método_acreditación_transmitancia,"U máximo","R100 mínimo","U máximo","U máximo")</f>
        <v>U máximo</v>
      </c>
      <c r="E19" s="158" t="s">
        <v>107</v>
      </c>
    </row>
    <row r="20" spans="2:11" x14ac:dyDescent="0.45">
      <c r="C20" s="147" t="str" cm="1">
        <f t="array" ref="C20">INDEX(lista_zonas_macrozonas,param_emplazamiento_1)</f>
        <v>Zona E</v>
      </c>
      <c r="D20" s="148">
        <f>Cálculos!$AH$44</f>
        <v>0.6</v>
      </c>
      <c r="E20" s="149">
        <f>Cumple_exigencia_térmica</f>
        <v>0</v>
      </c>
    </row>
    <row r="21" spans="2:11" x14ac:dyDescent="0.45">
      <c r="B21" s="40" t="s">
        <v>1801</v>
      </c>
    </row>
    <row r="24" spans="2:11" ht="19.899999999999999" thickBot="1" x14ac:dyDescent="0.65">
      <c r="B24" s="440" t="s">
        <v>1805</v>
      </c>
      <c r="C24" s="440"/>
      <c r="D24" s="440"/>
      <c r="E24" s="440"/>
      <c r="F24" s="440"/>
      <c r="G24" s="440"/>
      <c r="H24" s="440"/>
      <c r="I24" s="440"/>
      <c r="J24" s="440"/>
      <c r="K24" s="440"/>
    </row>
    <row r="25" spans="2:11" ht="14.65" thickTop="1" x14ac:dyDescent="0.45"/>
    <row r="26" spans="2:11" ht="15.75" x14ac:dyDescent="0.55000000000000004">
      <c r="B26" s="289" t="s">
        <v>1466</v>
      </c>
    </row>
    <row r="27" spans="2:11" x14ac:dyDescent="0.45">
      <c r="B27" s="41" t="s">
        <v>1465</v>
      </c>
      <c r="C27" s="297" t="s">
        <v>125</v>
      </c>
      <c r="D27" s="451" t="str">
        <f>INDEX(SECCIONES[Nombre sección],MATCH($C$27,SECCIONES[Sección letra],0))</f>
        <v/>
      </c>
      <c r="E27" s="451"/>
    </row>
    <row r="28" spans="2:11" x14ac:dyDescent="0.45">
      <c r="B28" s="80" t="s">
        <v>256</v>
      </c>
      <c r="C28" s="80" t="s">
        <v>5</v>
      </c>
      <c r="D28" s="68" t="s">
        <v>1614</v>
      </c>
      <c r="E28" s="68" t="s">
        <v>12</v>
      </c>
    </row>
    <row r="29" spans="2:11" x14ac:dyDescent="0.45">
      <c r="B29" s="381" t="str" cm="1">
        <f t="array" ref="B29">IF(ROW()-ROW(INDEX(RESULTADOS_TRANSM_SECCIONES[],1,1))+1=1,"Rse"&amp;IF((tipo_elemento=2)*(espacio_no_acondicionado)," + Ru",""),IF(ROW()-ROW(INDEX(RESULTADOS_TRANSM_SECCIONES[],1,1))+1=N_capas+2,"Rsi",ROW()-ROW(INDEX(RESULTADOS_TRANSM_SECCIONES[],1,1))))</f>
        <v>Rse</v>
      </c>
      <c r="C29"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29" s="379" t="str">
        <f>IFERROR(IF((RESULTADOS_TRANSM_SECCIONES[[#This Row],[Capa]]="Rse")+(RESULTADOS_TRANSM_SECCIONES[[#This Row],[Capa]]="Rse + Ru")+(RESULTADOS_TRANSM_SECCIONES[[#This Row],[Capa]]="Rsi"),"",INDEX(SECCIONES_CAPAS[d],MATCH(Cálculos!$AH$26&amp;"-"&amp;RESULTADOS_TRANSM_SECCIONES[[#This Row],[Capa]],SECCIONES_CAPAS[llave],0))),"")</f>
        <v/>
      </c>
      <c r="E29"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0.04</v>
      </c>
    </row>
    <row r="30" spans="2:11" x14ac:dyDescent="0.45">
      <c r="B30" s="382" cm="1">
        <f t="array" ref="B30">IF(ROW()-ROW(INDEX(RESULTADOS_TRANSM_SECCIONES[],1,1))+1=1,"Rse"&amp;IF((tipo_elemento=2)*(espacio_no_acondicionado)," + Ru",""),IF(ROW()-ROW(INDEX(RESULTADOS_TRANSM_SECCIONES[],1,1))+1=N_capas+2,"Rsi",ROW()-ROW(INDEX(RESULTADOS_TRANSM_SECCIONES[],1,1))))</f>
        <v>1</v>
      </c>
      <c r="C30"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30" s="379">
        <f>IFERROR(IF((RESULTADOS_TRANSM_SECCIONES[[#This Row],[Capa]]="Rse")+(RESULTADOS_TRANSM_SECCIONES[[#This Row],[Capa]]="Rse + Ru")+(RESULTADOS_TRANSM_SECCIONES[[#This Row],[Capa]]="Rsi"),"",INDEX(SECCIONES_CAPAS[d],MATCH(Cálculos!$AH$26&amp;"-"&amp;RESULTADOS_TRANSM_SECCIONES[[#This Row],[Capa]],SECCIONES_CAPAS[llave],0))),"")</f>
        <v>0</v>
      </c>
      <c r="E30"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v>
      </c>
    </row>
    <row r="31" spans="2:11" x14ac:dyDescent="0.45">
      <c r="B31" s="382" cm="1">
        <f t="array" ref="B31">IF(ROW()-ROW(INDEX(RESULTADOS_TRANSM_SECCIONES[],1,1))+1=1,"Rse"&amp;IF((tipo_elemento=2)*(espacio_no_acondicionado)," + Ru",""),IF(ROW()-ROW(INDEX(RESULTADOS_TRANSM_SECCIONES[],1,1))+1=N_capas+2,"Rsi",ROW()-ROW(INDEX(RESULTADOS_TRANSM_SECCIONES[],1,1))))</f>
        <v>2</v>
      </c>
      <c r="C31"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31" s="379">
        <f>IFERROR(IF((RESULTADOS_TRANSM_SECCIONES[[#This Row],[Capa]]="Rse")+(RESULTADOS_TRANSM_SECCIONES[[#This Row],[Capa]]="Rse + Ru")+(RESULTADOS_TRANSM_SECCIONES[[#This Row],[Capa]]="Rsi"),"",INDEX(SECCIONES_CAPAS[d],MATCH(Cálculos!$AH$26&amp;"-"&amp;RESULTADOS_TRANSM_SECCIONES[[#This Row],[Capa]],SECCIONES_CAPAS[llave],0))),"")</f>
        <v>0</v>
      </c>
      <c r="E31"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v>
      </c>
    </row>
    <row r="32" spans="2:11" x14ac:dyDescent="0.45">
      <c r="B32" s="382" cm="1">
        <f t="array" ref="B32">IF(ROW()-ROW(INDEX(RESULTADOS_TRANSM_SECCIONES[],1,1))+1=1,"Rse"&amp;IF((tipo_elemento=2)*(espacio_no_acondicionado)," + Ru",""),IF(ROW()-ROW(INDEX(RESULTADOS_TRANSM_SECCIONES[],1,1))+1=N_capas+2,"Rsi",ROW()-ROW(INDEX(RESULTADOS_TRANSM_SECCIONES[],1,1))))</f>
        <v>3</v>
      </c>
      <c r="C32"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32" s="379">
        <f>IFERROR(IF((RESULTADOS_TRANSM_SECCIONES[[#This Row],[Capa]]="Rse")+(RESULTADOS_TRANSM_SECCIONES[[#This Row],[Capa]]="Rse + Ru")+(RESULTADOS_TRANSM_SECCIONES[[#This Row],[Capa]]="Rsi"),"",INDEX(SECCIONES_CAPAS[d],MATCH(Cálculos!$AH$26&amp;"-"&amp;RESULTADOS_TRANSM_SECCIONES[[#This Row],[Capa]],SECCIONES_CAPAS[llave],0))),"")</f>
        <v>0</v>
      </c>
      <c r="E32"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v>
      </c>
    </row>
    <row r="33" spans="2:5" x14ac:dyDescent="0.45">
      <c r="B33" s="382" cm="1">
        <f t="array" ref="B33">IF(ROW()-ROW(INDEX(RESULTADOS_TRANSM_SECCIONES[],1,1))+1=1,"Rse"&amp;IF((tipo_elemento=2)*(espacio_no_acondicionado)," + Ru",""),IF(ROW()-ROW(INDEX(RESULTADOS_TRANSM_SECCIONES[],1,1))+1=N_capas+2,"Rsi",ROW()-ROW(INDEX(RESULTADOS_TRANSM_SECCIONES[],1,1))))</f>
        <v>4</v>
      </c>
      <c r="C33"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33" s="379">
        <f>IFERROR(IF((RESULTADOS_TRANSM_SECCIONES[[#This Row],[Capa]]="Rse")+(RESULTADOS_TRANSM_SECCIONES[[#This Row],[Capa]]="Rse + Ru")+(RESULTADOS_TRANSM_SECCIONES[[#This Row],[Capa]]="Rsi"),"",INDEX(SECCIONES_CAPAS[d],MATCH(Cálculos!$AH$26&amp;"-"&amp;RESULTADOS_TRANSM_SECCIONES[[#This Row],[Capa]],SECCIONES_CAPAS[llave],0))),"")</f>
        <v>0</v>
      </c>
      <c r="E33"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v>
      </c>
    </row>
    <row r="34" spans="2:5" x14ac:dyDescent="0.45">
      <c r="B34" s="382" cm="1">
        <f t="array" ref="B34">IF(ROW()-ROW(INDEX(RESULTADOS_TRANSM_SECCIONES[],1,1))+1=1,"Rse"&amp;IF((tipo_elemento=2)*(espacio_no_acondicionado)," + Ru",""),IF(ROW()-ROW(INDEX(RESULTADOS_TRANSM_SECCIONES[],1,1))+1=N_capas+2,"Rsi",ROW()-ROW(INDEX(RESULTADOS_TRANSM_SECCIONES[],1,1))))</f>
        <v>5</v>
      </c>
      <c r="C34"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34" s="379">
        <f>IFERROR(IF((RESULTADOS_TRANSM_SECCIONES[[#This Row],[Capa]]="Rse")+(RESULTADOS_TRANSM_SECCIONES[[#This Row],[Capa]]="Rse + Ru")+(RESULTADOS_TRANSM_SECCIONES[[#This Row],[Capa]]="Rsi"),"",INDEX(SECCIONES_CAPAS[d],MATCH(Cálculos!$AH$26&amp;"-"&amp;RESULTADOS_TRANSM_SECCIONES[[#This Row],[Capa]],SECCIONES_CAPAS[llave],0))),"")</f>
        <v>0</v>
      </c>
      <c r="E34"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v>
      </c>
    </row>
    <row r="35" spans="2:5" x14ac:dyDescent="0.45">
      <c r="B35" s="382" cm="1">
        <f t="array" ref="B35">IF(ROW()-ROW(INDEX(RESULTADOS_TRANSM_SECCIONES[],1,1))+1=1,"Rse"&amp;IF((tipo_elemento=2)*(espacio_no_acondicionado)," + Ru",""),IF(ROW()-ROW(INDEX(RESULTADOS_TRANSM_SECCIONES[],1,1))+1=N_capas+2,"Rsi",ROW()-ROW(INDEX(RESULTADOS_TRANSM_SECCIONES[],1,1))))</f>
        <v>6</v>
      </c>
      <c r="C35"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35" s="379">
        <f>IFERROR(IF((RESULTADOS_TRANSM_SECCIONES[[#This Row],[Capa]]="Rse")+(RESULTADOS_TRANSM_SECCIONES[[#This Row],[Capa]]="Rse + Ru")+(RESULTADOS_TRANSM_SECCIONES[[#This Row],[Capa]]="Rsi"),"",INDEX(SECCIONES_CAPAS[d],MATCH(Cálculos!$AH$26&amp;"-"&amp;RESULTADOS_TRANSM_SECCIONES[[#This Row],[Capa]],SECCIONES_CAPAS[llave],0))),"")</f>
        <v>0</v>
      </c>
      <c r="E35"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v>
      </c>
    </row>
    <row r="36" spans="2:5" x14ac:dyDescent="0.45">
      <c r="B36" s="382" cm="1">
        <f t="array" ref="B36">IF(ROW()-ROW(INDEX(RESULTADOS_TRANSM_SECCIONES[],1,1))+1=1,"Rse"&amp;IF((tipo_elemento=2)*(espacio_no_acondicionado)," + Ru",""),IF(ROW()-ROW(INDEX(RESULTADOS_TRANSM_SECCIONES[],1,1))+1=N_capas+2,"Rsi",ROW()-ROW(INDEX(RESULTADOS_TRANSM_SECCIONES[],1,1))))</f>
        <v>7</v>
      </c>
      <c r="C36"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36" s="379">
        <f>IFERROR(IF((RESULTADOS_TRANSM_SECCIONES[[#This Row],[Capa]]="Rse")+(RESULTADOS_TRANSM_SECCIONES[[#This Row],[Capa]]="Rse + Ru")+(RESULTADOS_TRANSM_SECCIONES[[#This Row],[Capa]]="Rsi"),"",INDEX(SECCIONES_CAPAS[d],MATCH(Cálculos!$AH$26&amp;"-"&amp;RESULTADOS_TRANSM_SECCIONES[[#This Row],[Capa]],SECCIONES_CAPAS[llave],0))),"")</f>
        <v>0</v>
      </c>
      <c r="E36"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v>
      </c>
    </row>
    <row r="37" spans="2:5" x14ac:dyDescent="0.45">
      <c r="B37" s="382" t="str" cm="1">
        <f t="array" ref="B37">IF(ROW()-ROW(INDEX(RESULTADOS_TRANSM_SECCIONES[],1,1))+1=1,"Rse"&amp;IF((tipo_elemento=2)*(espacio_no_acondicionado)," + Ru",""),IF(ROW()-ROW(INDEX(RESULTADOS_TRANSM_SECCIONES[],1,1))+1=N_capas+2,"Rsi",ROW()-ROW(INDEX(RESULTADOS_TRANSM_SECCIONES[],1,1))))</f>
        <v>Rsi</v>
      </c>
      <c r="C37"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37" s="379" t="str">
        <f>IFERROR(IF((RESULTADOS_TRANSM_SECCIONES[[#This Row],[Capa]]="Rse")+(RESULTADOS_TRANSM_SECCIONES[[#This Row],[Capa]]="Rse + Ru")+(RESULTADOS_TRANSM_SECCIONES[[#This Row],[Capa]]="Rsi"),"",INDEX(SECCIONES_CAPAS[d],MATCH(Cálculos!$AH$26&amp;"-"&amp;RESULTADOS_TRANSM_SECCIONES[[#This Row],[Capa]],SECCIONES_CAPAS[llave],0))),"")</f>
        <v/>
      </c>
      <c r="E37"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0.13</v>
      </c>
    </row>
    <row r="38" spans="2:5" x14ac:dyDescent="0.45">
      <c r="B38" s="390"/>
      <c r="C38" s="393"/>
      <c r="D38" s="392" t="s">
        <v>1798</v>
      </c>
      <c r="E38" s="391">
        <f>SUM(RESULTADOS_TRANSM_SECCIONES[R '[m²K/W']])</f>
        <v>0.17</v>
      </c>
    </row>
    <row r="40" spans="2:5" ht="15.75" x14ac:dyDescent="0.55000000000000004">
      <c r="B40" s="289" t="s">
        <v>1414</v>
      </c>
      <c r="D40" s="306" t="str">
        <f>IFERROR(R_tot,"")</f>
        <v/>
      </c>
      <c r="E40" s="82" t="s">
        <v>100</v>
      </c>
    </row>
    <row r="41" spans="2:5" ht="15.75" x14ac:dyDescent="0.55000000000000004">
      <c r="B41" s="289" t="s">
        <v>1415</v>
      </c>
      <c r="D41" s="306" t="str">
        <f>IFERROR(R_tot_sup,"")</f>
        <v/>
      </c>
      <c r="E41" s="82" t="s">
        <v>100</v>
      </c>
    </row>
    <row r="42" spans="2:5" ht="15.75" x14ac:dyDescent="0.55000000000000004">
      <c r="B42" s="289" t="s">
        <v>1416</v>
      </c>
      <c r="D42" s="306">
        <f>IFERROR(R_tot_inf,"")</f>
        <v>0.17</v>
      </c>
      <c r="E42" s="82" t="s">
        <v>100</v>
      </c>
    </row>
    <row r="43" spans="2:5" x14ac:dyDescent="0.45">
      <c r="B43" s="138" t="s">
        <v>104</v>
      </c>
      <c r="D43" s="306" t="str">
        <f>IFERROR(Cálculos!$AH$24,"")</f>
        <v/>
      </c>
      <c r="E43" s="82" t="s">
        <v>105</v>
      </c>
    </row>
    <row r="44" spans="2:5" x14ac:dyDescent="0.45">
      <c r="B44" s="41" t="s">
        <v>1413</v>
      </c>
    </row>
    <row r="46" spans="2:5" ht="15.75" x14ac:dyDescent="0.55000000000000004">
      <c r="B46" s="289" t="s">
        <v>1788</v>
      </c>
    </row>
    <row r="47" spans="2:5" x14ac:dyDescent="0.45">
      <c r="B47" s="80" t="s">
        <v>111</v>
      </c>
      <c r="C47" s="68" t="s">
        <v>202</v>
      </c>
      <c r="D47" s="68" t="s">
        <v>1417</v>
      </c>
      <c r="E47" s="68" t="s">
        <v>1418</v>
      </c>
    </row>
    <row r="48" spans="2:5" x14ac:dyDescent="0.45">
      <c r="B48" s="383" t="str" cm="1">
        <f t="array" ref="B48">INDEX(SECCIONES[Nombre compuesto],ROW()-ROW(INDEX(RESULTADOS_TRANSM_LIM_SUP[],1,1))+1)</f>
        <v xml:space="preserve">A: </v>
      </c>
      <c r="C48" s="292" cm="1">
        <f t="array" ref="C48">INDEX(SECCIONES[f],ROW()-ROW(INDEX(RESULTADOS_TRANSM_LIM_SUP[],1,1))+1)</f>
        <v>0</v>
      </c>
      <c r="D48" s="292" cm="1">
        <f t="array" ref="D48">INDEX(SECCIONES[Rtsección],ROW()-ROW(INDEX(RESULTADOS_TRANSM_LIM_SUP[],1,1))+1)</f>
        <v>0.17</v>
      </c>
      <c r="E48" s="292" cm="1">
        <f t="array" ref="E48">INDEX(SECCIONES[f/Rtsección],ROW()-ROW(INDEX(RESULTADOS_TRANSM_LIM_SUP[],1,1))+1)</f>
        <v>0</v>
      </c>
    </row>
    <row r="49" spans="2:5" x14ac:dyDescent="0.45">
      <c r="B49" s="383" t="str" cm="1">
        <f t="array" ref="B49">INDEX(SECCIONES[Nombre compuesto],ROW()-ROW(INDEX(RESULTADOS_TRANSM_LIM_SUP[],1,1))+1)</f>
        <v xml:space="preserve">B: </v>
      </c>
      <c r="C49" s="292" cm="1">
        <f t="array" ref="C49">INDEX(SECCIONES[f],ROW()-ROW(INDEX(RESULTADOS_TRANSM_LIM_SUP[],1,1))+1)</f>
        <v>0</v>
      </c>
      <c r="D49" s="292" cm="1">
        <f t="array" ref="D49">INDEX(SECCIONES[Rtsección],ROW()-ROW(INDEX(RESULTADOS_TRANSM_LIM_SUP[],1,1))+1)</f>
        <v>0.17</v>
      </c>
      <c r="E49" s="292" cm="1">
        <f t="array" ref="E49">INDEX(SECCIONES[f/Rtsección],ROW()-ROW(INDEX(RESULTADOS_TRANSM_LIM_SUP[],1,1))+1)</f>
        <v>0</v>
      </c>
    </row>
    <row r="50" spans="2:5" x14ac:dyDescent="0.45">
      <c r="B50" s="390"/>
      <c r="C50" s="393"/>
      <c r="D50" s="392" t="s">
        <v>1799</v>
      </c>
      <c r="E50" s="391" t="str">
        <f>IFERROR(1/SUM(RESULTADOS_TRANSM_LIM_SUP[f/RT sección]),"")</f>
        <v/>
      </c>
    </row>
    <row r="51" spans="2:5" x14ac:dyDescent="0.45">
      <c r="D51" s="105"/>
    </row>
    <row r="52" spans="2:5" ht="15.75" x14ac:dyDescent="0.55000000000000004">
      <c r="B52" s="289" t="s">
        <v>1787</v>
      </c>
    </row>
    <row r="53" spans="2:5" x14ac:dyDescent="0.45">
      <c r="B53" s="80" t="s">
        <v>256</v>
      </c>
      <c r="C53" s="80" t="s">
        <v>1789</v>
      </c>
      <c r="D53" s="68" t="s">
        <v>1614</v>
      </c>
      <c r="E53" s="68" t="s">
        <v>1786</v>
      </c>
    </row>
    <row r="54" spans="2:5" x14ac:dyDescent="0.45">
      <c r="B54" s="381" t="str" cm="1">
        <f t="array" ref="B54">IF(ROW()-ROW(INDEX(RESULTADOS_TRANSM_LIM_INF[],1,1))+1=1,"Rse"&amp;IF((tipo_elemento=2)*(espacio_no_acondicionado)," + Ru",""),IF(ROW()-ROW(INDEX(RESULTADOS_TRANSM_LIM_INF[],1,1))+1=N_capas+2,"Rsi",ROW()-ROW(INDEX(RESULTADOS_TRANSM_LIM_INF[],1,1))))</f>
        <v>Rse</v>
      </c>
      <c r="C54" s="384" t="str" cm="1">
        <f t="array" ref="C54">IFERROR(IF((RESULTADOS_TRANSM_LIM_INF[[#This Row],[Capa]]="Rse")+(RESULTADOS_TRANSM_LIM_INF[[#This Row],[Capa]]="Rse + Ru")+(RESULTADOS_TRANSM_LIM_INF[[#This Row],[Capa]]="Rsi"),"",INDEX(CAPAS[descripción],RESULTADOS_TRANSM_LIM_INF[[#This Row],[Capa]])),"")</f>
        <v/>
      </c>
      <c r="D54" s="68" t="str" cm="1">
        <f t="array" ref="D54">IFERROR(IF((RESULTADOS_TRANSM_LIM_INF[[#This Row],[Capa]]="Rse")+(RESULTADOS_TRANSM_LIM_INF[[#This Row],[Capa]]="Rse + Ru")+(RESULTADOS_TRANSM_LIM_INF[[#This Row],[Capa]]="Rsi"),"",INDEX(CAPAS[d],RESULTADOS_TRANSM_LIM_INF[[#This Row],[Capa]])),"")</f>
        <v/>
      </c>
      <c r="E54" s="292" cm="1">
        <f t="array" ref="E54">IFERROR(IF((RESULTADOS_TRANSM_LIM_INF[[#This Row],[Capa]]="Rse")+(RESULTADOS_TRANSM_LIM_INF[[#This Row],[Capa]]="Rse + Ru"),R_se+IF((tipo_elemento=2)*(tipo_espacio_bajo_cubierta&gt;1),R_u_techo,0),IF(RESULTADOS_TRANSM_LIM_INF[[#This Row],[Capa]]="Rsi",R_si,INDEX(CAPAS[RTcapa],RESULTADOS_TRANSM_LIM_INF[[#This Row],[Capa]]))),"")</f>
        <v>0.04</v>
      </c>
    </row>
    <row r="55" spans="2:5" x14ac:dyDescent="0.45">
      <c r="B55" s="80" cm="1">
        <f t="array" ref="B55">IF(ROW()-ROW(INDEX(RESULTADOS_TRANSM_LIM_INF[],1,1))+1=1,"Rse"&amp;IF((tipo_elemento=2)*(espacio_no_acondicionado)," + Ru",""),IF(ROW()-ROW(INDEX(RESULTADOS_TRANSM_LIM_INF[],1,1))+1=N_capas+2,"Rsi",ROW()-ROW(INDEX(RESULTADOS_TRANSM_LIM_INF[],1,1))))</f>
        <v>1</v>
      </c>
      <c r="C55" s="378" t="str" cm="1">
        <f t="array" aca="1" ref="C55" ca="1">IFERROR(IF((RESULTADOS_TRANSM_LIM_INF[[#This Row],[Capa]]="Rse")+(RESULTADOS_TRANSM_LIM_INF[[#This Row],[Capa]]="Rse + Ru")+(RESULTADOS_TRANSM_LIM_INF[[#This Row],[Capa]]="Rsi"),"",INDEX(CAPAS[descripción],RESULTADOS_TRANSM_LIM_INF[[#This Row],[Capa]])),"")</f>
        <v>Capa 1</v>
      </c>
      <c r="D55" s="403" cm="1">
        <f t="array" ref="D55">IFERROR(IF((RESULTADOS_TRANSM_LIM_INF[[#This Row],[Capa]]="Rse")+(RESULTADOS_TRANSM_LIM_INF[[#This Row],[Capa]]="Rse + Ru")+(RESULTADOS_TRANSM_LIM_INF[[#This Row],[Capa]]="Rsi"),"",INDEX(CAPAS[d],RESULTADOS_TRANSM_LIM_INF[[#This Row],[Capa]])),"")</f>
        <v>0</v>
      </c>
      <c r="E55" s="292" cm="1">
        <f t="array" ref="E55">IFERROR(IF((RESULTADOS_TRANSM_LIM_INF[[#This Row],[Capa]]="Rse")+(RESULTADOS_TRANSM_LIM_INF[[#This Row],[Capa]]="Rse + Ru"),R_se+IF((tipo_elemento=2)*(tipo_espacio_bajo_cubierta&gt;1),R_u_techo,0),IF(RESULTADOS_TRANSM_LIM_INF[[#This Row],[Capa]]="Rsi",R_si,INDEX(CAPAS[RTcapa],RESULTADOS_TRANSM_LIM_INF[[#This Row],[Capa]]))),"")</f>
        <v>0</v>
      </c>
    </row>
    <row r="56" spans="2:5" x14ac:dyDescent="0.45">
      <c r="B56" s="80" cm="1">
        <f t="array" ref="B56">IF(ROW()-ROW(INDEX(RESULTADOS_TRANSM_LIM_INF[],1,1))+1=1,"Rse"&amp;IF((tipo_elemento=2)*(espacio_no_acondicionado)," + Ru",""),IF(ROW()-ROW(INDEX(RESULTADOS_TRANSM_LIM_INF[],1,1))+1=N_capas+2,"Rsi",ROW()-ROW(INDEX(RESULTADOS_TRANSM_LIM_INF[],1,1))))</f>
        <v>2</v>
      </c>
      <c r="C56" s="378" t="str" cm="1">
        <f t="array" aca="1" ref="C56" ca="1">IFERROR(IF((RESULTADOS_TRANSM_LIM_INF[[#This Row],[Capa]]="Rse")+(RESULTADOS_TRANSM_LIM_INF[[#This Row],[Capa]]="Rse + Ru")+(RESULTADOS_TRANSM_LIM_INF[[#This Row],[Capa]]="Rsi"),"",INDEX(CAPAS[descripción],RESULTADOS_TRANSM_LIM_INF[[#This Row],[Capa]])),"")</f>
        <v>Capa 2</v>
      </c>
      <c r="D56" s="403" cm="1">
        <f t="array" ref="D56">IFERROR(IF((RESULTADOS_TRANSM_LIM_INF[[#This Row],[Capa]]="Rse")+(RESULTADOS_TRANSM_LIM_INF[[#This Row],[Capa]]="Rse + Ru")+(RESULTADOS_TRANSM_LIM_INF[[#This Row],[Capa]]="Rsi"),"",INDEX(CAPAS[d],RESULTADOS_TRANSM_LIM_INF[[#This Row],[Capa]])),"")</f>
        <v>0</v>
      </c>
      <c r="E56" s="292" cm="1">
        <f t="array" ref="E56">IFERROR(IF((RESULTADOS_TRANSM_LIM_INF[[#This Row],[Capa]]="Rse")+(RESULTADOS_TRANSM_LIM_INF[[#This Row],[Capa]]="Rse + Ru"),R_se+IF((tipo_elemento=2)*(tipo_espacio_bajo_cubierta&gt;1),R_u_techo,0),IF(RESULTADOS_TRANSM_LIM_INF[[#This Row],[Capa]]="Rsi",R_si,INDEX(CAPAS[RTcapa],RESULTADOS_TRANSM_LIM_INF[[#This Row],[Capa]]))),"")</f>
        <v>0</v>
      </c>
    </row>
    <row r="57" spans="2:5" x14ac:dyDescent="0.45">
      <c r="B57" s="411" cm="1">
        <f t="array" ref="B57">IF(ROW()-ROW(INDEX(RESULTADOS_TRANSM_LIM_INF[],1,1))+1=1,"Rse"&amp;IF((tipo_elemento=2)*(espacio_no_acondicionado)," + Ru",""),IF(ROW()-ROW(INDEX(RESULTADOS_TRANSM_LIM_INF[],1,1))+1=N_capas+2,"Rsi",ROW()-ROW(INDEX(RESULTADOS_TRANSM_LIM_INF[],1,1))))</f>
        <v>3</v>
      </c>
      <c r="C57" s="400" t="str" cm="1">
        <f t="array" aca="1" ref="C57" ca="1">IFERROR(IF((RESULTADOS_TRANSM_LIM_INF[[#This Row],[Capa]]="Rse")+(RESULTADOS_TRANSM_LIM_INF[[#This Row],[Capa]]="Rse + Ru")+(RESULTADOS_TRANSM_LIM_INF[[#This Row],[Capa]]="Rsi"),"",INDEX(CAPAS[descripción],RESULTADOS_TRANSM_LIM_INF[[#This Row],[Capa]])),"")</f>
        <v>Capa 3</v>
      </c>
      <c r="D57" s="402" cm="1">
        <f t="array" ref="D57">IFERROR(IF((RESULTADOS_TRANSM_LIM_INF[[#This Row],[Capa]]="Rse")+(RESULTADOS_TRANSM_LIM_INF[[#This Row],[Capa]]="Rse + Ru")+(RESULTADOS_TRANSM_LIM_INF[[#This Row],[Capa]]="Rsi"),"",INDEX(CAPAS[d],RESULTADOS_TRANSM_LIM_INF[[#This Row],[Capa]])),"")</f>
        <v>0</v>
      </c>
      <c r="E57" s="401" cm="1">
        <f t="array" ref="E57">IFERROR(IF((RESULTADOS_TRANSM_LIM_INF[[#This Row],[Capa]]="Rse")+(RESULTADOS_TRANSM_LIM_INF[[#This Row],[Capa]]="Rse + Ru"),R_se+IF((tipo_elemento=2)*(tipo_espacio_bajo_cubierta&gt;1),R_u_techo,0),IF(RESULTADOS_TRANSM_LIM_INF[[#This Row],[Capa]]="Rsi",R_si,INDEX(CAPAS[RTcapa],RESULTADOS_TRANSM_LIM_INF[[#This Row],[Capa]]))),"")</f>
        <v>0</v>
      </c>
    </row>
    <row r="58" spans="2:5" x14ac:dyDescent="0.45">
      <c r="B58" s="411" cm="1">
        <f t="array" ref="B58">IF(ROW()-ROW(INDEX(RESULTADOS_TRANSM_LIM_INF[],1,1))+1=1,"Rse"&amp;IF((tipo_elemento=2)*(espacio_no_acondicionado)," + Ru",""),IF(ROW()-ROW(INDEX(RESULTADOS_TRANSM_LIM_INF[],1,1))+1=N_capas+2,"Rsi",ROW()-ROW(INDEX(RESULTADOS_TRANSM_LIM_INF[],1,1))))</f>
        <v>4</v>
      </c>
      <c r="C58" s="400" t="str" cm="1">
        <f t="array" aca="1" ref="C58" ca="1">IFERROR(IF((RESULTADOS_TRANSM_LIM_INF[[#This Row],[Capa]]="Rse")+(RESULTADOS_TRANSM_LIM_INF[[#This Row],[Capa]]="Rse + Ru")+(RESULTADOS_TRANSM_LIM_INF[[#This Row],[Capa]]="Rsi"),"",INDEX(CAPAS[descripción],RESULTADOS_TRANSM_LIM_INF[[#This Row],[Capa]])),"")</f>
        <v>Capa 4</v>
      </c>
      <c r="D58" s="402" cm="1">
        <f t="array" ref="D58">IFERROR(IF((RESULTADOS_TRANSM_LIM_INF[[#This Row],[Capa]]="Rse")+(RESULTADOS_TRANSM_LIM_INF[[#This Row],[Capa]]="Rse + Ru")+(RESULTADOS_TRANSM_LIM_INF[[#This Row],[Capa]]="Rsi"),"",INDEX(CAPAS[d],RESULTADOS_TRANSM_LIM_INF[[#This Row],[Capa]])),"")</f>
        <v>0</v>
      </c>
      <c r="E58" s="401" cm="1">
        <f t="array" ref="E58">IFERROR(IF((RESULTADOS_TRANSM_LIM_INF[[#This Row],[Capa]]="Rse")+(RESULTADOS_TRANSM_LIM_INF[[#This Row],[Capa]]="Rse + Ru"),R_se+IF((tipo_elemento=2)*(tipo_espacio_bajo_cubierta&gt;1),R_u_techo,0),IF(RESULTADOS_TRANSM_LIM_INF[[#This Row],[Capa]]="Rsi",R_si,INDEX(CAPAS[RTcapa],RESULTADOS_TRANSM_LIM_INF[[#This Row],[Capa]]))),"")</f>
        <v>0</v>
      </c>
    </row>
    <row r="59" spans="2:5" x14ac:dyDescent="0.45">
      <c r="B59" s="411" cm="1">
        <f t="array" ref="B59">IF(ROW()-ROW(INDEX(RESULTADOS_TRANSM_LIM_INF[],1,1))+1=1,"Rse"&amp;IF((tipo_elemento=2)*(espacio_no_acondicionado)," + Ru",""),IF(ROW()-ROW(INDEX(RESULTADOS_TRANSM_LIM_INF[],1,1))+1=N_capas+2,"Rsi",ROW()-ROW(INDEX(RESULTADOS_TRANSM_LIM_INF[],1,1))))</f>
        <v>5</v>
      </c>
      <c r="C59" s="400" t="str" cm="1">
        <f t="array" aca="1" ref="C59" ca="1">IFERROR(IF((RESULTADOS_TRANSM_LIM_INF[[#This Row],[Capa]]="Rse")+(RESULTADOS_TRANSM_LIM_INF[[#This Row],[Capa]]="Rse + Ru")+(RESULTADOS_TRANSM_LIM_INF[[#This Row],[Capa]]="Rsi"),"",INDEX(CAPAS[descripción],RESULTADOS_TRANSM_LIM_INF[[#This Row],[Capa]])),"")</f>
        <v>Capa 5</v>
      </c>
      <c r="D59" s="402" cm="1">
        <f t="array" ref="D59">IFERROR(IF((RESULTADOS_TRANSM_LIM_INF[[#This Row],[Capa]]="Rse")+(RESULTADOS_TRANSM_LIM_INF[[#This Row],[Capa]]="Rse + Ru")+(RESULTADOS_TRANSM_LIM_INF[[#This Row],[Capa]]="Rsi"),"",INDEX(CAPAS[d],RESULTADOS_TRANSM_LIM_INF[[#This Row],[Capa]])),"")</f>
        <v>0</v>
      </c>
      <c r="E59" s="401" cm="1">
        <f t="array" ref="E59">IFERROR(IF((RESULTADOS_TRANSM_LIM_INF[[#This Row],[Capa]]="Rse")+(RESULTADOS_TRANSM_LIM_INF[[#This Row],[Capa]]="Rse + Ru"),R_se+IF((tipo_elemento=2)*(tipo_espacio_bajo_cubierta&gt;1),R_u_techo,0),IF(RESULTADOS_TRANSM_LIM_INF[[#This Row],[Capa]]="Rsi",R_si,INDEX(CAPAS[RTcapa],RESULTADOS_TRANSM_LIM_INF[[#This Row],[Capa]]))),"")</f>
        <v>0</v>
      </c>
    </row>
    <row r="60" spans="2:5" x14ac:dyDescent="0.45">
      <c r="B60" s="411" cm="1">
        <f t="array" ref="B60">IF(ROW()-ROW(INDEX(RESULTADOS_TRANSM_LIM_INF[],1,1))+1=1,"Rse"&amp;IF((tipo_elemento=2)*(espacio_no_acondicionado)," + Ru",""),IF(ROW()-ROW(INDEX(RESULTADOS_TRANSM_LIM_INF[],1,1))+1=N_capas+2,"Rsi",ROW()-ROW(INDEX(RESULTADOS_TRANSM_LIM_INF[],1,1))))</f>
        <v>6</v>
      </c>
      <c r="C60" s="400" t="str" cm="1">
        <f t="array" aca="1" ref="C60" ca="1">IFERROR(IF((RESULTADOS_TRANSM_LIM_INF[[#This Row],[Capa]]="Rse")+(RESULTADOS_TRANSM_LIM_INF[[#This Row],[Capa]]="Rse + Ru")+(RESULTADOS_TRANSM_LIM_INF[[#This Row],[Capa]]="Rsi"),"",INDEX(CAPAS[descripción],RESULTADOS_TRANSM_LIM_INF[[#This Row],[Capa]])),"")</f>
        <v>Capa 6</v>
      </c>
      <c r="D60" s="402" cm="1">
        <f t="array" ref="D60">IFERROR(IF((RESULTADOS_TRANSM_LIM_INF[[#This Row],[Capa]]="Rse")+(RESULTADOS_TRANSM_LIM_INF[[#This Row],[Capa]]="Rse + Ru")+(RESULTADOS_TRANSM_LIM_INF[[#This Row],[Capa]]="Rsi"),"",INDEX(CAPAS[d],RESULTADOS_TRANSM_LIM_INF[[#This Row],[Capa]])),"")</f>
        <v>0</v>
      </c>
      <c r="E60" s="401" cm="1">
        <f t="array" ref="E60">IFERROR(IF((RESULTADOS_TRANSM_LIM_INF[[#This Row],[Capa]]="Rse")+(RESULTADOS_TRANSM_LIM_INF[[#This Row],[Capa]]="Rse + Ru"),R_se+IF((tipo_elemento=2)*(tipo_espacio_bajo_cubierta&gt;1),R_u_techo,0),IF(RESULTADOS_TRANSM_LIM_INF[[#This Row],[Capa]]="Rsi",R_si,INDEX(CAPAS[RTcapa],RESULTADOS_TRANSM_LIM_INF[[#This Row],[Capa]]))),"")</f>
        <v>0</v>
      </c>
    </row>
    <row r="61" spans="2:5" x14ac:dyDescent="0.45">
      <c r="B61" s="411" cm="1">
        <f t="array" ref="B61">IF(ROW()-ROW(INDEX(RESULTADOS_TRANSM_LIM_INF[],1,1))+1=1,"Rse"&amp;IF((tipo_elemento=2)*(espacio_no_acondicionado)," + Ru",""),IF(ROW()-ROW(INDEX(RESULTADOS_TRANSM_LIM_INF[],1,1))+1=N_capas+2,"Rsi",ROW()-ROW(INDEX(RESULTADOS_TRANSM_LIM_INF[],1,1))))</f>
        <v>7</v>
      </c>
      <c r="C61" s="400" t="str" cm="1">
        <f t="array" aca="1" ref="C61" ca="1">IFERROR(IF((RESULTADOS_TRANSM_LIM_INF[[#This Row],[Capa]]="Rse")+(RESULTADOS_TRANSM_LIM_INF[[#This Row],[Capa]]="Rse + Ru")+(RESULTADOS_TRANSM_LIM_INF[[#This Row],[Capa]]="Rsi"),"",INDEX(CAPAS[descripción],RESULTADOS_TRANSM_LIM_INF[[#This Row],[Capa]])),"")</f>
        <v>Capa 7</v>
      </c>
      <c r="D61" s="402" cm="1">
        <f t="array" ref="D61">IFERROR(IF((RESULTADOS_TRANSM_LIM_INF[[#This Row],[Capa]]="Rse")+(RESULTADOS_TRANSM_LIM_INF[[#This Row],[Capa]]="Rse + Ru")+(RESULTADOS_TRANSM_LIM_INF[[#This Row],[Capa]]="Rsi"),"",INDEX(CAPAS[d],RESULTADOS_TRANSM_LIM_INF[[#This Row],[Capa]])),"")</f>
        <v>0</v>
      </c>
      <c r="E61" s="401" cm="1">
        <f t="array" ref="E61">IFERROR(IF((RESULTADOS_TRANSM_LIM_INF[[#This Row],[Capa]]="Rse")+(RESULTADOS_TRANSM_LIM_INF[[#This Row],[Capa]]="Rse + Ru"),R_se+IF((tipo_elemento=2)*(tipo_espacio_bajo_cubierta&gt;1),R_u_techo,0),IF(RESULTADOS_TRANSM_LIM_INF[[#This Row],[Capa]]="Rsi",R_si,INDEX(CAPAS[RTcapa],RESULTADOS_TRANSM_LIM_INF[[#This Row],[Capa]]))),"")</f>
        <v>0</v>
      </c>
    </row>
    <row r="62" spans="2:5" x14ac:dyDescent="0.45">
      <c r="B62" s="411" t="str" cm="1">
        <f t="array" ref="B62">IF(ROW()-ROW(INDEX(RESULTADOS_TRANSM_LIM_INF[],1,1))+1=1,"Rse"&amp;IF((tipo_elemento=2)*(espacio_no_acondicionado)," + Ru",""),IF(ROW()-ROW(INDEX(RESULTADOS_TRANSM_LIM_INF[],1,1))+1=N_capas+2,"Rsi",ROW()-ROW(INDEX(RESULTADOS_TRANSM_LIM_INF[],1,1))))</f>
        <v>Rsi</v>
      </c>
      <c r="C62" s="400" t="str" cm="1">
        <f t="array" ref="C62">IFERROR(IF((RESULTADOS_TRANSM_LIM_INF[[#This Row],[Capa]]="Rse")+(RESULTADOS_TRANSM_LIM_INF[[#This Row],[Capa]]="Rse + Ru")+(RESULTADOS_TRANSM_LIM_INF[[#This Row],[Capa]]="Rsi"),"",INDEX(CAPAS[descripción],RESULTADOS_TRANSM_LIM_INF[[#This Row],[Capa]])),"")</f>
        <v/>
      </c>
      <c r="D62" s="402" t="str" cm="1">
        <f t="array" ref="D62">IFERROR(IF((RESULTADOS_TRANSM_LIM_INF[[#This Row],[Capa]]="Rse")+(RESULTADOS_TRANSM_LIM_INF[[#This Row],[Capa]]="Rse + Ru")+(RESULTADOS_TRANSM_LIM_INF[[#This Row],[Capa]]="Rsi"),"",INDEX(CAPAS[d],RESULTADOS_TRANSM_LIM_INF[[#This Row],[Capa]])),"")</f>
        <v/>
      </c>
      <c r="E62" s="401" cm="1">
        <f t="array" ref="E62">IFERROR(IF((RESULTADOS_TRANSM_LIM_INF[[#This Row],[Capa]]="Rse")+(RESULTADOS_TRANSM_LIM_INF[[#This Row],[Capa]]="Rse + Ru"),R_se+IF((tipo_elemento=2)*(tipo_espacio_bajo_cubierta&gt;1),R_u_techo,0),IF(RESULTADOS_TRANSM_LIM_INF[[#This Row],[Capa]]="Rsi",R_si,INDEX(CAPAS[RTcapa],RESULTADOS_TRANSM_LIM_INF[[#This Row],[Capa]]))),"")</f>
        <v>0.13</v>
      </c>
    </row>
    <row r="63" spans="2:5" x14ac:dyDescent="0.45">
      <c r="B63" s="411"/>
      <c r="C63" s="400"/>
      <c r="D63" s="402" t="s">
        <v>1800</v>
      </c>
      <c r="E63" s="401">
        <f>SUBTOTAL(109,RESULTADOS_TRANSM_LIM_INF[RTeq '[m²K/W']])</f>
        <v>0.17</v>
      </c>
    </row>
  </sheetData>
  <sheetProtection algorithmName="SHA-512" hashValue="yQJTst4eiPWdaCvnEm4ww2kiEZGzTGx+cyYyPzqA37K/+7kWgWJHbpJzk0kl3mgYPUIlWZTQ9QXAMSJ/Mv2iyQ==" saltValue="Nj8A/RbmIs4fDgaf55z0xw==" spinCount="100000" sheet="1" objects="1" scenarios="1"/>
  <mergeCells count="13">
    <mergeCell ref="B3:K3"/>
    <mergeCell ref="B17:C17"/>
    <mergeCell ref="B9:K9"/>
    <mergeCell ref="D27:E27"/>
    <mergeCell ref="B24:K24"/>
    <mergeCell ref="C11:K13"/>
    <mergeCell ref="B11:B13"/>
    <mergeCell ref="B8:K8"/>
    <mergeCell ref="C6:K6"/>
    <mergeCell ref="B15:C15"/>
    <mergeCell ref="B16:C16"/>
    <mergeCell ref="F16:G16"/>
    <mergeCell ref="F17:G17"/>
  </mergeCells>
  <phoneticPr fontId="5" type="noConversion"/>
  <conditionalFormatting sqref="E20">
    <cfRule type="iconSet" priority="20">
      <iconSet iconSet="3Symbols2" showValue="0">
        <cfvo type="percent" val="0"/>
        <cfvo type="num" val="0" gte="0"/>
        <cfvo type="num" val="1"/>
      </iconSet>
    </cfRule>
  </conditionalFormatting>
  <conditionalFormatting sqref="C27">
    <cfRule type="expression" dxfId="445" priority="3">
      <formula>ISERROR(MATCH($C$27,lista_secciones,0))</formula>
    </cfRule>
  </conditionalFormatting>
  <dataValidations disablePrompts="1" count="1">
    <dataValidation type="list" allowBlank="1" showInputMessage="1" showErrorMessage="1" sqref="C27" xr:uid="{CD044E15-E05B-4A4E-91D6-0D5D285A280F}">
      <formula1>lista_secciones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4" r:id="rId4" name="Button 4">
              <controlPr defaultSize="0" print="0" autoFill="0" autoPict="0" macro="[0]!Hoja6.mostrar_ocultar_transmitancia_Click">
                <anchor moveWithCells="1" sizeWithCells="1">
                  <from>
                    <xdr:col>1</xdr:col>
                    <xdr:colOff>57150</xdr:colOff>
                    <xdr:row>21</xdr:row>
                    <xdr:rowOff>152400</xdr:rowOff>
                  </from>
                  <to>
                    <xdr:col>2</xdr:col>
                    <xdr:colOff>1009650</xdr:colOff>
                    <xdr:row>23</xdr:row>
                    <xdr:rowOff>19050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expression" priority="11" id="{E00D9A01-8AD1-445B-9030-E58836EFAC71}">
            <xm:f>Cálculos!$AH$3&gt;1</xm:f>
            <x14:dxf>
              <numFmt numFmtId="1" formatCode="0"/>
            </x14:dxf>
          </x14:cfRule>
          <x14:cfRule type="expression" priority="81" id="{F8DD94DC-E0C6-4A10-B573-7A37C38AD185}">
            <xm:f>Cálculos!$AH$3&gt;1</xm:f>
            <x14:dxf>
              <numFmt numFmtId="1" formatCode="0"/>
            </x14:dxf>
          </x14:cfRule>
          <xm:sqref>D17</xm:sqref>
        </x14:conditionalFormatting>
        <x14:conditionalFormatting xmlns:xm="http://schemas.microsoft.com/office/excel/2006/main">
          <x14:cfRule type="expression" priority="4" id="{845EDC93-5EB4-4D8C-A110-5C7EBB2B6586}">
            <xm:f>Cálculos!$AH$3&gt;1</xm:f>
            <x14:dxf>
              <font>
                <color theme="0"/>
              </font>
              <fill>
                <patternFill>
                  <bgColor theme="0"/>
                </patternFill>
              </fill>
              <border>
                <left/>
                <right/>
                <top/>
              </border>
            </x14:dxf>
          </x14:cfRule>
          <xm:sqref>B15:I16</xm:sqref>
        </x14:conditionalFormatting>
        <x14:conditionalFormatting xmlns:xm="http://schemas.microsoft.com/office/excel/2006/main">
          <x14:cfRule type="expression" priority="7" id="{15E5E904-727E-4557-825D-8162379C3B35}">
            <xm:f>(N_secciones&lt;2)+(Cálculos!$AH$3&lt;&gt;1)</xm:f>
            <x14:dxf>
              <font>
                <color theme="0"/>
              </font>
              <fill>
                <patternFill>
                  <bgColor theme="0"/>
                </patternFill>
              </fill>
              <border>
                <left/>
                <right/>
                <top/>
                <bottom/>
              </border>
            </x14:dxf>
          </x14:cfRule>
          <xm:sqref>B41:E44 B46:E48 B50:E50 B52:E63</xm:sqref>
        </x14:conditionalFormatting>
        <x14:conditionalFormatting xmlns:xm="http://schemas.microsoft.com/office/excel/2006/main">
          <x14:cfRule type="expression" priority="10" id="{92BD718D-C944-4EC0-8C88-B7F4629A935D}">
            <xm:f>Cálculos!$AH$3&gt;1</xm:f>
            <x14:dxf>
              <font>
                <color theme="0"/>
              </font>
              <fill>
                <patternFill>
                  <bgColor theme="0"/>
                </patternFill>
              </fill>
              <border>
                <left/>
                <right/>
                <top/>
                <bottom/>
              </border>
            </x14:dxf>
          </x14:cfRule>
          <xm:sqref>B38:E42 B26:E32</xm:sqref>
        </x14:conditionalFormatting>
        <x14:conditionalFormatting xmlns:xm="http://schemas.microsoft.com/office/excel/2006/main">
          <x14:cfRule type="expression" priority="2" id="{B84E1228-7406-4408-B17B-13DBC90553FA}">
            <xm:f>Cálculos!$AH$3&gt;1</xm:f>
            <x14:dxf>
              <font>
                <color theme="0"/>
              </font>
              <fill>
                <patternFill>
                  <bgColor theme="0"/>
                </patternFill>
              </fill>
              <border>
                <left/>
                <right/>
                <top/>
                <bottom/>
                <vertical/>
                <horizontal/>
              </border>
            </x14:dxf>
          </x14:cfRule>
          <xm:sqref>B3:K6</xm:sqref>
        </x14:conditionalFormatting>
        <x14:conditionalFormatting xmlns:xm="http://schemas.microsoft.com/office/excel/2006/main">
          <x14:cfRule type="expression" priority="1" id="{A66F397A-5710-4C7F-9771-ADAFC865ED46}">
            <xm:f>Cálculos!$AH$3&gt;1</xm:f>
            <x14:dxf>
              <font>
                <color theme="0"/>
              </font>
              <fill>
                <patternFill>
                  <bgColor theme="0"/>
                </patternFill>
              </fill>
              <border>
                <left/>
                <right/>
                <top/>
              </border>
            </x14:dxf>
          </x14:cfRule>
          <x14:cfRule type="expression" priority="6" id="{625147AA-09B2-499D-BA29-EADD7952F89D}">
            <xm:f>(N_secciones&lt;2)+(Cálculos!$AH$3&lt;&gt;1)</xm:f>
            <x14:dxf>
              <font>
                <color theme="0"/>
              </font>
              <fill>
                <patternFill>
                  <bgColor theme="0"/>
                </patternFill>
              </fill>
              <border>
                <left/>
                <right/>
                <bottom/>
              </border>
            </x14:dxf>
          </x14:cfRule>
          <xm:sqref>F17:I17</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34552CEF-BE38-42CE-8EB6-21C3F3564E83}">
          <x14:formula1>
            <xm:f>Aux!$C$22:$C$24</xm:f>
          </x14:formula1>
          <xm:sqref>B6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D3378-3533-44E6-8A55-A59DAAE84A08}">
  <sheetPr codeName="Hoja7">
    <tabColor rgb="FF00B0F0"/>
  </sheetPr>
  <dimension ref="B1:R82"/>
  <sheetViews>
    <sheetView showOutlineSymbols="0" workbookViewId="0">
      <pane ySplit="1" topLeftCell="A2" activePane="bottomLeft" state="frozen"/>
      <selection pane="bottomLeft" activeCell="B50" sqref="B50:D50"/>
    </sheetView>
  </sheetViews>
  <sheetFormatPr defaultColWidth="11.3984375" defaultRowHeight="14.25" x14ac:dyDescent="0.45"/>
  <cols>
    <col min="1" max="1" width="4.3984375" style="40" customWidth="1"/>
    <col min="2" max="2" width="18.59765625" style="40" customWidth="1"/>
    <col min="3" max="3" width="12.73046875" style="40" customWidth="1"/>
    <col min="4" max="15" width="12" style="40" customWidth="1"/>
    <col min="16" max="16" width="9.86328125" style="40" bestFit="1" customWidth="1"/>
    <col min="17" max="16384" width="11.3984375" style="40"/>
  </cols>
  <sheetData>
    <row r="1" spans="2:15" s="167" customFormat="1" ht="23.25" x14ac:dyDescent="0.7">
      <c r="B1" s="166" t="s">
        <v>1412</v>
      </c>
      <c r="C1" s="166"/>
    </row>
    <row r="2" spans="2:15" ht="7.5" customHeight="1" x14ac:dyDescent="0.45"/>
    <row r="3" spans="2:15" ht="19.899999999999999" thickBot="1" x14ac:dyDescent="0.65">
      <c r="B3" s="84" t="s">
        <v>1831</v>
      </c>
      <c r="C3" s="84"/>
      <c r="D3" s="84"/>
      <c r="E3" s="84"/>
      <c r="F3" s="84"/>
      <c r="G3" s="84"/>
      <c r="H3" s="84"/>
      <c r="I3" s="84"/>
      <c r="J3" s="84"/>
      <c r="K3" s="84"/>
      <c r="L3" s="84"/>
      <c r="M3" s="84"/>
      <c r="N3" s="84"/>
      <c r="O3" s="84"/>
    </row>
    <row r="4" spans="2:15" ht="7.5" customHeight="1" thickTop="1" x14ac:dyDescent="0.45"/>
    <row r="5" spans="2:15" x14ac:dyDescent="0.45">
      <c r="C5" s="68" t="s">
        <v>126</v>
      </c>
    </row>
    <row r="6" spans="2:15" x14ac:dyDescent="0.45">
      <c r="B6" s="40" t="s">
        <v>1836</v>
      </c>
      <c r="C6" s="68" t="str">
        <f ca="1">Cálculos!CH10&amp;" °C"</f>
        <v>3,5 °C</v>
      </c>
    </row>
    <row r="7" spans="2:15" x14ac:dyDescent="0.45">
      <c r="B7" s="40" t="s">
        <v>1834</v>
      </c>
      <c r="C7" s="412">
        <f ca="1">Cálculos!CL10</f>
        <v>0.95</v>
      </c>
    </row>
    <row r="8" spans="2:15" x14ac:dyDescent="0.45">
      <c r="B8" s="40" t="s">
        <v>1835</v>
      </c>
      <c r="C8" s="68" t="str">
        <f>Cálculos!CP10&amp;" °C"</f>
        <v>19 °C</v>
      </c>
    </row>
    <row r="9" spans="2:15" x14ac:dyDescent="0.45">
      <c r="B9" s="40" t="s">
        <v>1837</v>
      </c>
      <c r="C9" s="412">
        <f>Cálculos!CW10</f>
        <v>0.75</v>
      </c>
    </row>
    <row r="10" spans="2:15" ht="7.5" customHeight="1" x14ac:dyDescent="0.45"/>
    <row r="11" spans="2:15" x14ac:dyDescent="0.45">
      <c r="B11" s="40" t="s">
        <v>1833</v>
      </c>
      <c r="C11" s="413">
        <v>1</v>
      </c>
      <c r="E11" s="105" t="s">
        <v>1838</v>
      </c>
      <c r="F11" s="412">
        <f>1</f>
        <v>1</v>
      </c>
    </row>
    <row r="12" spans="2:15" x14ac:dyDescent="0.45">
      <c r="B12" s="42" t="s">
        <v>1832</v>
      </c>
      <c r="C12" s="67" t="s">
        <v>1839</v>
      </c>
    </row>
    <row r="13" spans="2:15" ht="7.5" customHeight="1" x14ac:dyDescent="0.45"/>
    <row r="14" spans="2:15" ht="19.899999999999999" thickBot="1" x14ac:dyDescent="0.65">
      <c r="B14" s="84" t="s">
        <v>103</v>
      </c>
      <c r="C14" s="84"/>
      <c r="D14" s="84"/>
      <c r="E14" s="84"/>
      <c r="F14" s="84"/>
      <c r="G14" s="84"/>
      <c r="H14" s="84"/>
      <c r="I14" s="84"/>
      <c r="J14" s="84"/>
      <c r="K14" s="84"/>
      <c r="L14" s="84"/>
      <c r="M14" s="84"/>
      <c r="N14" s="84"/>
      <c r="O14" s="84"/>
    </row>
    <row r="15" spans="2:15" ht="14.65" thickTop="1" x14ac:dyDescent="0.45">
      <c r="B15" s="448" t="s">
        <v>109</v>
      </c>
      <c r="C15" s="448"/>
      <c r="D15" s="448"/>
      <c r="E15" s="448"/>
      <c r="F15" s="448"/>
      <c r="G15" s="448"/>
      <c r="H15" s="448"/>
      <c r="I15" s="448"/>
      <c r="J15" s="448"/>
      <c r="K15" s="448"/>
      <c r="L15" s="448"/>
      <c r="M15" s="448"/>
      <c r="N15" s="448"/>
      <c r="O15" s="448"/>
    </row>
    <row r="17" spans="2:15" ht="15" customHeight="1" x14ac:dyDescent="0.45">
      <c r="B17" s="474" t="s">
        <v>83</v>
      </c>
      <c r="C17" s="480" t="str">
        <f ca="1">IF(ISBLANK(Cálculos!FZ7),"",Cálculos!FZ7)</f>
        <v>Sección 'A ': Capa 1 0 mm + Capa 2 0 mm + Capa 3 0 mm + Capa 4 0 mm + Capa 5 0 mm + Capa 6 0 mm + Capa 7 0 mm. Sección 'B ': Capa 1 0 mm + Capa 2 0 mm + Capa 3 0 mm + Capa 4 0 mm + Capa 5 0 mm + Capa 6 0 mm + Capa 7 0 mm</v>
      </c>
      <c r="D17" s="480"/>
      <c r="E17" s="480"/>
      <c r="F17" s="480"/>
      <c r="G17" s="480"/>
      <c r="H17" s="480"/>
      <c r="I17" s="480"/>
      <c r="J17" s="480"/>
      <c r="K17" s="480"/>
      <c r="L17" s="480"/>
      <c r="M17" s="480"/>
    </row>
    <row r="18" spans="2:15" ht="15" customHeight="1" x14ac:dyDescent="0.45">
      <c r="B18" s="474"/>
      <c r="C18" s="480"/>
      <c r="D18" s="480"/>
      <c r="E18" s="480"/>
      <c r="F18" s="480"/>
      <c r="G18" s="480"/>
      <c r="H18" s="480"/>
      <c r="I18" s="480"/>
      <c r="J18" s="480"/>
      <c r="K18" s="480"/>
      <c r="L18" s="480"/>
      <c r="M18" s="480"/>
    </row>
    <row r="19" spans="2:15" x14ac:dyDescent="0.45">
      <c r="B19" s="474"/>
      <c r="C19" s="480"/>
      <c r="D19" s="480"/>
      <c r="E19" s="480"/>
      <c r="F19" s="480"/>
      <c r="G19" s="480"/>
      <c r="H19" s="480"/>
      <c r="I19" s="480"/>
      <c r="J19" s="480"/>
      <c r="K19" s="480"/>
      <c r="L19" s="480"/>
      <c r="M19" s="480"/>
    </row>
    <row r="20" spans="2:15" ht="7.5" customHeight="1" x14ac:dyDescent="0.45">
      <c r="B20" s="278"/>
      <c r="C20" s="278"/>
      <c r="D20" s="278"/>
      <c r="E20" s="278"/>
      <c r="F20" s="278"/>
      <c r="G20" s="278"/>
      <c r="H20" s="278"/>
      <c r="I20" s="278"/>
      <c r="J20" s="278"/>
      <c r="K20" s="278"/>
      <c r="L20" s="278"/>
      <c r="M20" s="278"/>
    </row>
    <row r="21" spans="2:15" ht="15" customHeight="1" x14ac:dyDescent="0.45">
      <c r="B21" s="140" t="s">
        <v>1713</v>
      </c>
      <c r="C21" s="469" t="str">
        <f>Cálculos!$E$8</f>
        <v>Zona E</v>
      </c>
      <c r="D21" s="469"/>
      <c r="E21" s="278"/>
      <c r="F21" s="278"/>
      <c r="G21" s="278"/>
      <c r="H21" s="278"/>
      <c r="I21" s="278"/>
      <c r="J21" s="278"/>
      <c r="K21" s="278"/>
      <c r="L21" s="278"/>
      <c r="M21" s="278"/>
    </row>
    <row r="22" spans="2:15" x14ac:dyDescent="0.45">
      <c r="B22" s="141" t="s">
        <v>1714</v>
      </c>
      <c r="C22" s="469" t="str">
        <f ca="1">Cálculos!$E$9</f>
        <v>Todas las comunas</v>
      </c>
      <c r="D22" s="469"/>
      <c r="E22" s="469"/>
      <c r="F22" s="469"/>
      <c r="G22" s="469"/>
      <c r="H22" s="469"/>
      <c r="I22" s="469"/>
      <c r="J22" s="278"/>
      <c r="K22" s="278"/>
      <c r="L22" s="278"/>
      <c r="M22" s="278"/>
    </row>
    <row r="23" spans="2:15" x14ac:dyDescent="0.45">
      <c r="B23" s="278"/>
      <c r="C23" s="278"/>
      <c r="D23" s="278"/>
      <c r="E23" s="278"/>
      <c r="F23" s="278"/>
      <c r="G23" s="278"/>
      <c r="H23" s="278"/>
      <c r="I23" s="278"/>
      <c r="J23" s="278"/>
      <c r="K23" s="278"/>
      <c r="L23" s="278"/>
      <c r="M23" s="278"/>
      <c r="N23" s="278"/>
      <c r="O23" s="278"/>
    </row>
    <row r="24" spans="2:15" ht="17.25" thickBot="1" x14ac:dyDescent="0.55000000000000004">
      <c r="B24" s="64" t="s">
        <v>110</v>
      </c>
      <c r="C24" s="64"/>
      <c r="D24" s="64"/>
      <c r="E24" s="64"/>
      <c r="F24" s="64"/>
      <c r="G24" s="64"/>
      <c r="H24" s="64"/>
      <c r="I24" s="64"/>
      <c r="J24" s="64"/>
      <c r="K24" s="64"/>
      <c r="L24" s="64"/>
      <c r="M24" s="64"/>
      <c r="N24" s="64"/>
      <c r="O24" s="64"/>
    </row>
    <row r="25" spans="2:15" ht="14.65" thickTop="1" x14ac:dyDescent="0.45">
      <c r="B25" s="278"/>
      <c r="C25" s="278"/>
      <c r="D25" s="278"/>
      <c r="E25" s="278"/>
      <c r="F25" s="278"/>
      <c r="G25" s="278"/>
      <c r="H25" s="278"/>
      <c r="I25" s="278"/>
      <c r="J25" s="278"/>
      <c r="K25" s="278"/>
      <c r="L25" s="278"/>
      <c r="M25" s="278"/>
      <c r="N25" s="278"/>
      <c r="O25" s="278"/>
    </row>
    <row r="26" spans="2:15" ht="30.75" customHeight="1" x14ac:dyDescent="0.45">
      <c r="B26" s="285" t="s">
        <v>107</v>
      </c>
      <c r="C26" s="284">
        <f ca="1">Cumple_sistema_C_Sup</f>
        <v>0</v>
      </c>
      <c r="D26" s="479" t="str">
        <f ca="1">Cálculos!$BZ$44</f>
        <v>Una o más secciones no cumplen con la resistencia térmica total mínima requerida. La condición más estricta para el emplazamiento ocurre en el mes de Julio.</v>
      </c>
      <c r="E26" s="479"/>
      <c r="F26" s="479"/>
      <c r="G26" s="479"/>
      <c r="H26" s="479"/>
      <c r="I26" s="479"/>
      <c r="J26" s="479"/>
      <c r="K26" s="479"/>
      <c r="L26" s="479"/>
      <c r="M26" s="479"/>
    </row>
    <row r="27" spans="2:15" x14ac:dyDescent="0.45">
      <c r="B27" s="478" t="s">
        <v>1410</v>
      </c>
      <c r="C27" s="478"/>
      <c r="D27" s="478"/>
      <c r="E27" s="478"/>
      <c r="F27" s="478"/>
      <c r="G27" s="478"/>
      <c r="H27" s="478"/>
      <c r="I27" s="478"/>
      <c r="J27" s="478"/>
      <c r="K27" s="478"/>
      <c r="L27" s="478"/>
      <c r="M27" s="478"/>
      <c r="N27" s="478"/>
      <c r="O27" s="478"/>
    </row>
    <row r="28" spans="2:15" ht="7.5" customHeight="1" x14ac:dyDescent="0.45">
      <c r="B28" s="287"/>
      <c r="C28" s="287"/>
      <c r="D28" s="287"/>
      <c r="E28" s="287"/>
      <c r="F28" s="287"/>
      <c r="G28" s="287"/>
      <c r="H28" s="287"/>
      <c r="I28" s="287"/>
      <c r="J28" s="287"/>
      <c r="K28" s="287"/>
      <c r="L28" s="287"/>
      <c r="M28" s="287"/>
      <c r="N28" s="287"/>
      <c r="O28" s="287"/>
    </row>
    <row r="29" spans="2:15" ht="17.25" thickBot="1" x14ac:dyDescent="0.55000000000000004">
      <c r="B29" s="64" t="s">
        <v>124</v>
      </c>
      <c r="C29" s="64"/>
      <c r="D29" s="64"/>
      <c r="E29" s="64"/>
      <c r="F29" s="64"/>
      <c r="G29" s="64"/>
      <c r="H29" s="64"/>
      <c r="I29" s="64"/>
      <c r="J29" s="64"/>
      <c r="K29" s="64"/>
      <c r="L29" s="64"/>
      <c r="M29" s="64"/>
      <c r="N29" s="64"/>
      <c r="O29" s="64"/>
    </row>
    <row r="30" spans="2:15" ht="14.65" thickTop="1" x14ac:dyDescent="0.45">
      <c r="B30" s="278"/>
      <c r="C30" s="278"/>
      <c r="D30" s="278"/>
      <c r="E30" s="278"/>
      <c r="F30" s="278"/>
      <c r="G30" s="278"/>
      <c r="H30" s="278"/>
      <c r="I30" s="278"/>
      <c r="J30" s="278"/>
      <c r="K30" s="278"/>
      <c r="L30" s="278"/>
      <c r="M30" s="278"/>
      <c r="N30" s="278"/>
      <c r="O30" s="278"/>
    </row>
    <row r="31" spans="2:15" ht="45" customHeight="1" x14ac:dyDescent="0.45">
      <c r="B31" s="285" t="s">
        <v>107</v>
      </c>
      <c r="C31" s="284">
        <f ca="1">Cálculos!FZ25</f>
        <v>1</v>
      </c>
      <c r="D31" s="479" t="str">
        <f ca="1">Cálculos!$BZ$55</f>
        <v>No se predice condensación en ninguna interfaz de ninguna sección.</v>
      </c>
      <c r="E31" s="479"/>
      <c r="F31" s="479"/>
      <c r="G31" s="479"/>
      <c r="H31" s="479"/>
      <c r="I31" s="479"/>
      <c r="J31" s="479"/>
      <c r="K31" s="479"/>
      <c r="L31" s="479"/>
      <c r="M31" s="479"/>
    </row>
    <row r="32" spans="2:15" x14ac:dyDescent="0.45">
      <c r="B32" s="478" t="s">
        <v>1409</v>
      </c>
      <c r="C32" s="478"/>
      <c r="D32" s="478"/>
      <c r="E32" s="478"/>
      <c r="F32" s="478"/>
      <c r="G32" s="478"/>
      <c r="H32" s="478"/>
      <c r="I32" s="478"/>
      <c r="J32" s="478"/>
      <c r="K32" s="478"/>
      <c r="L32" s="478"/>
      <c r="M32" s="478"/>
      <c r="N32" s="478"/>
      <c r="O32" s="478"/>
    </row>
    <row r="33" spans="2:16" ht="7.5" customHeight="1" x14ac:dyDescent="0.45"/>
    <row r="36" spans="2:16" ht="19.899999999999999" thickBot="1" x14ac:dyDescent="0.65">
      <c r="B36" s="84" t="s">
        <v>1805</v>
      </c>
      <c r="C36" s="84"/>
      <c r="D36" s="84"/>
      <c r="E36" s="84"/>
      <c r="F36" s="84"/>
      <c r="G36" s="84"/>
      <c r="H36" s="84"/>
      <c r="I36" s="84"/>
      <c r="J36" s="84"/>
      <c r="K36" s="84"/>
      <c r="L36" s="84"/>
      <c r="M36" s="84"/>
      <c r="N36" s="84"/>
      <c r="O36" s="84"/>
    </row>
    <row r="37" spans="2:16" ht="14.65" thickTop="1" x14ac:dyDescent="0.45">
      <c r="B37" s="475" t="s">
        <v>1408</v>
      </c>
      <c r="C37" s="475"/>
      <c r="D37" s="475"/>
      <c r="E37" s="475"/>
      <c r="F37" s="475"/>
      <c r="G37" s="475"/>
      <c r="H37" s="475"/>
      <c r="I37" s="475"/>
      <c r="J37" s="475"/>
      <c r="K37" s="475"/>
      <c r="L37" s="475"/>
      <c r="M37" s="475"/>
      <c r="N37" s="475"/>
      <c r="O37" s="475"/>
    </row>
    <row r="38" spans="2:16" ht="17.25" thickBot="1" x14ac:dyDescent="0.55000000000000004">
      <c r="B38" s="64" t="s">
        <v>110</v>
      </c>
      <c r="C38" s="64"/>
      <c r="D38" s="64"/>
      <c r="E38" s="64"/>
      <c r="F38" s="64"/>
      <c r="G38" s="64"/>
      <c r="H38" s="64"/>
      <c r="I38" s="64"/>
      <c r="J38" s="64"/>
      <c r="K38" s="64"/>
      <c r="L38" s="64"/>
      <c r="M38" s="64"/>
      <c r="N38" s="64"/>
      <c r="O38" s="64"/>
    </row>
    <row r="39" spans="2:16" ht="14.65" thickTop="1" x14ac:dyDescent="0.45">
      <c r="B39" s="41"/>
    </row>
    <row r="40" spans="2:16" x14ac:dyDescent="0.45">
      <c r="B40" s="476" t="s">
        <v>1407</v>
      </c>
      <c r="C40" s="477"/>
      <c r="D40" s="282">
        <f ca="1">Cálculos!$BZ$42</f>
        <v>0.44481009318910963</v>
      </c>
      <c r="F40" s="470" t="str" cm="1">
        <f t="array" aca="1" ref="F40" ca="1">Aux!$C$120&amp;INDEX(lista_meses,Cálculos!$BZ$41)&amp;"."&amp;IF(N_secciones&gt;1," La sección "&amp;INDEX(Cálculos!AT5:AT6,MATCH(MAX(RESULTADOS_COND_SUPERFICIAL[Rt sección]),RESULTADOS_COND_SUPERFICIAL[Rt sección],0))&amp;" es la de mayor resistencia térmica. La sección "&amp;INDEX(Cálculos!AT5:AT6,MATCH(MIN(RESULTADOS_COND_SUPERFICIAL[Rt sección]),RESULTADOS_COND_SUPERFICIAL[Rt sección],0))&amp;" es la de menor resistencia térmica.","")</f>
        <v>La condición más estricta para el emplazamiento ocurre en el mes de Julio. La sección A es la de mayor resistencia térmica. La sección A es la de menor resistencia térmica.</v>
      </c>
      <c r="G40" s="470"/>
      <c r="H40" s="470"/>
      <c r="I40" s="470"/>
      <c r="J40" s="470"/>
      <c r="K40" s="470"/>
      <c r="L40" s="470"/>
      <c r="M40" s="470"/>
    </row>
    <row r="41" spans="2:16" x14ac:dyDescent="0.45">
      <c r="B41" s="283" t="s">
        <v>111</v>
      </c>
      <c r="C41" s="283" t="s">
        <v>1400</v>
      </c>
      <c r="D41" s="157" t="s">
        <v>107</v>
      </c>
      <c r="F41" s="470"/>
      <c r="G41" s="470"/>
      <c r="H41" s="470"/>
      <c r="I41" s="470"/>
      <c r="J41" s="470"/>
      <c r="K41" s="470"/>
      <c r="L41" s="470"/>
      <c r="M41" s="470"/>
    </row>
    <row r="42" spans="2:16" s="200" customFormat="1" ht="15" customHeight="1" x14ac:dyDescent="0.45">
      <c r="B42" s="376" t="str" cm="1">
        <f t="array" ref="B42">INDEX(SECCIONES[Nombre compuesto],ROW()-ROW(INDEX(RESULTADOS_COND_SUPERFICIAL[],1,1))+1)</f>
        <v xml:space="preserve">A: </v>
      </c>
      <c r="C42" s="199" cm="1">
        <f t="array" ref="C42">ROUND(INDEX(SECCIONES[Rtsección_condensación],ROW()-ROW(INDEX(RESULTADOS_COND_SUPERFICIAL[],1,1))+1),3)</f>
        <v>0.17</v>
      </c>
      <c r="D42" s="279" cm="1">
        <f t="array" aca="1" ref="D42" ca="1">IF(INDEX(SECCIONES[cumple cond superficial],ROW()-ROW(INDEX(RESULTADOS_COND_SUPERFICIAL[],1,1))+1),1,0)</f>
        <v>0</v>
      </c>
      <c r="E42" s="40"/>
      <c r="F42" s="40"/>
      <c r="G42" s="40"/>
      <c r="H42" s="40"/>
      <c r="I42" s="40"/>
      <c r="J42" s="40"/>
      <c r="K42" s="40"/>
      <c r="L42" s="40"/>
      <c r="M42" s="40"/>
      <c r="N42" s="40"/>
      <c r="O42" s="40"/>
      <c r="P42" s="40"/>
    </row>
    <row r="43" spans="2:16" s="200" customFormat="1" ht="15" customHeight="1" x14ac:dyDescent="0.45">
      <c r="B43" s="376" t="str" cm="1">
        <f t="array" ref="B43">INDEX(SECCIONES[Nombre compuesto],ROW()-ROW(INDEX(RESULTADOS_COND_SUPERFICIAL[],1,1))+1)</f>
        <v xml:space="preserve">B: </v>
      </c>
      <c r="C43" s="199" cm="1">
        <f t="array" ref="C43">ROUND(INDEX(SECCIONES[Rtsección_condensación],ROW()-ROW(INDEX(RESULTADOS_COND_SUPERFICIAL[],1,1))+1),3)</f>
        <v>0.17</v>
      </c>
      <c r="D43" s="279" cm="1">
        <f t="array" aca="1" ref="D43" ca="1">IF(INDEX(SECCIONES[cumple cond superficial],ROW()-ROW(INDEX(RESULTADOS_COND_SUPERFICIAL[],1,1))+1),1,0)</f>
        <v>0</v>
      </c>
      <c r="E43" s="40"/>
      <c r="F43" s="40"/>
      <c r="G43" s="40"/>
      <c r="H43" s="40"/>
      <c r="I43" s="40"/>
      <c r="J43" s="40"/>
      <c r="K43" s="40"/>
      <c r="L43" s="40"/>
      <c r="M43" s="40"/>
      <c r="N43" s="40"/>
      <c r="O43" s="40"/>
      <c r="P43" s="40"/>
    </row>
    <row r="45" spans="2:16" s="200" customFormat="1" ht="17.25" thickBot="1" x14ac:dyDescent="0.55000000000000004">
      <c r="B45" s="64" t="s">
        <v>124</v>
      </c>
      <c r="C45" s="64"/>
      <c r="D45" s="64"/>
      <c r="E45" s="64"/>
      <c r="F45" s="64"/>
      <c r="G45" s="64"/>
      <c r="H45" s="64"/>
      <c r="I45" s="64"/>
      <c r="J45" s="64"/>
      <c r="K45" s="64"/>
      <c r="L45" s="64"/>
      <c r="M45" s="64"/>
      <c r="N45" s="64"/>
      <c r="O45" s="64"/>
      <c r="P45" s="40"/>
    </row>
    <row r="46" spans="2:16" ht="14.65" thickTop="1" x14ac:dyDescent="0.45">
      <c r="B46" s="41"/>
    </row>
    <row r="47" spans="2:16" x14ac:dyDescent="0.45">
      <c r="B47" s="41" t="s">
        <v>1758</v>
      </c>
    </row>
    <row r="48" spans="2:16" x14ac:dyDescent="0.45">
      <c r="B48" s="151" t="s">
        <v>111</v>
      </c>
      <c r="C48" s="146" t="str" cm="1">
        <f t="array" ref="C48">INDEX(lista_mes_abreviado,Mes_inicial_de_análisis)</f>
        <v>Jul</v>
      </c>
      <c r="D48" s="158" t="s">
        <v>107</v>
      </c>
    </row>
    <row r="49" spans="2:10" x14ac:dyDescent="0.45">
      <c r="B49" s="196" t="str" cm="1">
        <f t="array" ref="B49">INDEX(SECCIONES[Nombre compuesto],ROW()-ROW($B$48))</f>
        <v xml:space="preserve">A: </v>
      </c>
      <c r="C49" s="197">
        <f ca="1">INDEX(COND_INTERSTICIAL_AGUA_ACUMULADA[interfases con agua líquida],MATCH((COLUMN(C$48)-COLUMN($B$48))&amp;"-"&amp;(ROW(RESULTADOS_COND_INTERSTICIAL[[#This Row],[Sección]])-ROW($B$48)),COND_INTERSTICIAL_AGUA_ACUMULADA[llave],0))</f>
        <v>0</v>
      </c>
      <c r="D49" s="197" cm="1">
        <f t="array" aca="1" ref="D49" ca="1">IF(INDEX(SECCIONES[cumple cond intersticial],ROW()-ROW($D$48)),1,0)</f>
        <v>1</v>
      </c>
    </row>
    <row r="50" spans="2:10" x14ac:dyDescent="0.45">
      <c r="B50" s="196" t="str" cm="1">
        <f t="array" ref="B50">INDEX(SECCIONES[Nombre compuesto],ROW()-ROW($B$48))</f>
        <v xml:space="preserve">B: </v>
      </c>
      <c r="C50" s="197">
        <f ca="1">INDEX(COND_INTERSTICIAL_AGUA_ACUMULADA[interfases con agua líquida],MATCH((COLUMN(C$48)-COLUMN($B$48))&amp;"-"&amp;(ROW(RESULTADOS_COND_INTERSTICIAL[[#This Row],[Sección]])-ROW($B$48)),COND_INTERSTICIAL_AGUA_ACUMULADA[llave],0))</f>
        <v>0</v>
      </c>
      <c r="D50" s="197" cm="1">
        <f t="array" aca="1" ref="D50" ca="1">IF(INDEX(SECCIONES[cumple cond intersticial],ROW()-ROW($D$48)),1,0)</f>
        <v>1</v>
      </c>
    </row>
    <row r="51" spans="2:10" x14ac:dyDescent="0.45">
      <c r="B51" s="190"/>
      <c r="C51" s="190"/>
      <c r="D51" s="190"/>
    </row>
    <row r="52" spans="2:10" x14ac:dyDescent="0.45">
      <c r="B52" s="41" t="s">
        <v>1181</v>
      </c>
      <c r="C52" s="190"/>
      <c r="D52" s="190"/>
    </row>
    <row r="53" spans="2:10" x14ac:dyDescent="0.45">
      <c r="C53" s="105" t="s">
        <v>1179</v>
      </c>
      <c r="D53" s="66" t="s">
        <v>125</v>
      </c>
      <c r="E53" s="471" t="str" cm="1">
        <f t="array" ref="E53">INDEX(SECCIONES[Nombre sección],Gráf_sección)</f>
        <v/>
      </c>
      <c r="F53" s="471"/>
      <c r="G53" s="472" t="s">
        <v>1178</v>
      </c>
      <c r="H53" s="472"/>
      <c r="I53" s="473"/>
      <c r="J53" s="358" t="str" cm="1">
        <f t="array" ref="J53">INDEX(Aux!$H$45:$H$56,Gráf_mes)</f>
        <v>Julio</v>
      </c>
    </row>
    <row r="74" spans="2:18" x14ac:dyDescent="0.45">
      <c r="C74" s="387" t="s">
        <v>1411</v>
      </c>
      <c r="D74" s="41"/>
    </row>
    <row r="75" spans="2:18" x14ac:dyDescent="0.45">
      <c r="C75" s="387" t="s">
        <v>256</v>
      </c>
      <c r="D75" s="389" t="s">
        <v>93</v>
      </c>
      <c r="E75" s="436" t="s">
        <v>1864</v>
      </c>
    </row>
    <row r="76" spans="2:18" x14ac:dyDescent="0.45">
      <c r="C76" s="387">
        <f>ROW()-ROW(RESULTADOS_max_agua[[#Headers],[Capa]])</f>
        <v>1</v>
      </c>
      <c r="D76" s="388"/>
      <c r="E76" s="388"/>
    </row>
    <row r="77" spans="2:18" x14ac:dyDescent="0.45">
      <c r="C77" s="387">
        <f>ROW()-ROW(RESULTADOS_max_agua[[#Headers],[Capa]])</f>
        <v>2</v>
      </c>
      <c r="D77" s="388"/>
      <c r="E77" s="388"/>
      <c r="L77" s="200"/>
      <c r="M77" s="200"/>
      <c r="N77" s="200"/>
    </row>
    <row r="78" spans="2:18" s="200" customFormat="1" x14ac:dyDescent="0.45">
      <c r="B78" s="40"/>
      <c r="C78" s="387">
        <f>ROW()-ROW(RESULTADOS_max_agua[[#Headers],[Capa]])</f>
        <v>3</v>
      </c>
      <c r="D78" s="388"/>
      <c r="E78" s="388"/>
      <c r="F78" s="40"/>
      <c r="G78" s="40"/>
      <c r="H78" s="40"/>
      <c r="I78" s="40"/>
      <c r="J78" s="40"/>
      <c r="K78" s="40"/>
      <c r="L78" s="40"/>
      <c r="M78" s="40"/>
      <c r="N78" s="40"/>
      <c r="O78" s="40"/>
      <c r="P78" s="40"/>
      <c r="Q78" s="40"/>
      <c r="R78" s="40"/>
    </row>
    <row r="79" spans="2:18" x14ac:dyDescent="0.45">
      <c r="C79" s="387">
        <f>ROW()-ROW(RESULTADOS_max_agua[[#Headers],[Capa]])</f>
        <v>4</v>
      </c>
      <c r="D79" s="388"/>
      <c r="E79" s="388"/>
      <c r="M79" s="200"/>
      <c r="P79" s="200"/>
    </row>
    <row r="80" spans="2:18" x14ac:dyDescent="0.45">
      <c r="C80" s="387">
        <f>ROW()-ROW(RESULTADOS_max_agua[[#Headers],[Capa]])</f>
        <v>5</v>
      </c>
      <c r="D80" s="388"/>
      <c r="E80" s="388"/>
    </row>
    <row r="81" spans="3:5" x14ac:dyDescent="0.45">
      <c r="C81" s="387">
        <f>ROW()-ROW(RESULTADOS_max_agua[[#Headers],[Capa]])</f>
        <v>6</v>
      </c>
      <c r="D81" s="388"/>
      <c r="E81" s="388"/>
    </row>
    <row r="82" spans="3:5" x14ac:dyDescent="0.45">
      <c r="C82" s="387">
        <f>ROW()-ROW(RESULTADOS_max_agua[[#Headers],[Capa]])</f>
        <v>7</v>
      </c>
      <c r="D82" s="388"/>
      <c r="E82" s="388"/>
    </row>
  </sheetData>
  <sheetProtection algorithmName="SHA-512" hashValue="n0RCfLC65JTGX/U8Fp6pjG/ApFjloHR06fjmeS3esWupqnn3QnxwOhBxdWH9rBdfMxBzNhSRDUNqv0ajzW89Aw==" saltValue="BOVNUsyFN2eoWK1LGvK8fw==" spinCount="100000" sheet="1" objects="1" scenarios="1"/>
  <mergeCells count="14">
    <mergeCell ref="C22:I22"/>
    <mergeCell ref="F40:M41"/>
    <mergeCell ref="E53:F53"/>
    <mergeCell ref="G53:I53"/>
    <mergeCell ref="B15:O15"/>
    <mergeCell ref="B17:B19"/>
    <mergeCell ref="B37:O37"/>
    <mergeCell ref="B40:C40"/>
    <mergeCell ref="B27:O27"/>
    <mergeCell ref="B32:O32"/>
    <mergeCell ref="D26:M26"/>
    <mergeCell ref="D31:M31"/>
    <mergeCell ref="C17:M19"/>
    <mergeCell ref="C21:D21"/>
  </mergeCells>
  <phoneticPr fontId="5" type="noConversion"/>
  <conditionalFormatting sqref="C26">
    <cfRule type="iconSet" priority="5">
      <iconSet iconSet="3Symbols2" showValue="0">
        <cfvo type="percent" val="0"/>
        <cfvo type="num" val="0" gte="0"/>
        <cfvo type="num" val="1"/>
      </iconSet>
    </cfRule>
  </conditionalFormatting>
  <conditionalFormatting sqref="C31">
    <cfRule type="iconSet" priority="4">
      <iconSet iconSet="3Symbols2" showValue="0">
        <cfvo type="percent" val="0"/>
        <cfvo type="num" val="0" gte="0"/>
        <cfvo type="num" val="1"/>
      </iconSet>
    </cfRule>
  </conditionalFormatting>
  <conditionalFormatting sqref="N44">
    <cfRule type="iconSet" priority="2">
      <iconSet iconSet="3Symbols2" showValue="0">
        <cfvo type="percent" val="0"/>
        <cfvo type="num" val="0" gte="0"/>
        <cfvo type="num" val="1"/>
      </iconSet>
    </cfRule>
  </conditionalFormatting>
  <conditionalFormatting sqref="D53">
    <cfRule type="expression" dxfId="411" priority="1">
      <formula>ISERROR(MATCH($D$53,lista_secciones,0))</formula>
    </cfRule>
  </conditionalFormatting>
  <conditionalFormatting sqref="D42:O43">
    <cfRule type="iconSet" priority="460">
      <iconSet iconSet="3Symbols2" showValue="0">
        <cfvo type="percent" val="0"/>
        <cfvo type="num" val="0" gte="0"/>
        <cfvo type="num" val="1"/>
      </iconSet>
    </cfRule>
  </conditionalFormatting>
  <conditionalFormatting sqref="C42:C43">
    <cfRule type="top10" dxfId="410" priority="461" bottom="1" rank="1"/>
    <cfRule type="top10" dxfId="409" priority="462" rank="1"/>
  </conditionalFormatting>
  <conditionalFormatting sqref="D49:D50">
    <cfRule type="iconSet" priority="463">
      <iconSet iconSet="3Symbols2" showValue="0">
        <cfvo type="percent" val="0"/>
        <cfvo type="num" val="0" gte="0"/>
        <cfvo type="num" val="1"/>
      </iconSet>
    </cfRule>
  </conditionalFormatting>
  <dataValidations count="2">
    <dataValidation type="list" allowBlank="1" showInputMessage="1" showErrorMessage="1" sqref="D53" xr:uid="{3227151E-003F-4728-97F5-6F1F210A7E3E}">
      <formula1>lista_secciones</formula1>
    </dataValidation>
    <dataValidation type="list" allowBlank="1" showInputMessage="1" showErrorMessage="1" sqref="C12" xr:uid="{9DD042FF-A92B-49AC-84D4-CE8A6416944C}">
      <formula1>"Sí,No"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1" r:id="rId4" name="Button 7">
              <controlPr defaultSize="0" print="0" autoFill="0" autoPict="0" macro="[0]!Hoja7.mostrar_ocultar_condensación_Click">
                <anchor moveWithCells="1" sizeWithCells="1">
                  <from>
                    <xdr:col>1</xdr:col>
                    <xdr:colOff>66675</xdr:colOff>
                    <xdr:row>33</xdr:row>
                    <xdr:rowOff>114300</xdr:rowOff>
                  </from>
                  <to>
                    <xdr:col>3</xdr:col>
                    <xdr:colOff>161925</xdr:colOff>
                    <xdr:row>34</xdr:row>
                    <xdr:rowOff>171450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14407-0E40-4344-A50E-56F02F655127}">
  <sheetPr codeName="Hoja9">
    <tabColor theme="1"/>
    <pageSetUpPr fitToPage="1"/>
  </sheetPr>
  <dimension ref="A1:F41"/>
  <sheetViews>
    <sheetView showOutlineSymbols="0" workbookViewId="0">
      <pane ySplit="1" topLeftCell="A2" activePane="bottomLeft" state="frozen"/>
      <selection pane="bottomLeft" activeCell="G11" sqref="G11"/>
    </sheetView>
  </sheetViews>
  <sheetFormatPr defaultColWidth="11.3984375" defaultRowHeight="14.25" x14ac:dyDescent="0.45"/>
  <cols>
    <col min="1" max="1" width="20.1328125" style="40" customWidth="1"/>
    <col min="2" max="2" width="50.73046875" style="189" customWidth="1"/>
    <col min="3" max="3" width="40.1328125" style="40" customWidth="1"/>
    <col min="4" max="16384" width="11.3984375" style="40"/>
  </cols>
  <sheetData>
    <row r="1" spans="1:6" s="168" customFormat="1" ht="23.25" x14ac:dyDescent="0.7">
      <c r="A1" s="385" t="s">
        <v>1472</v>
      </c>
      <c r="B1" s="386"/>
      <c r="C1" s="386"/>
      <c r="D1" s="386"/>
      <c r="E1" s="386"/>
      <c r="F1" s="386"/>
    </row>
    <row r="2" spans="1:6" ht="7.5" customHeight="1" x14ac:dyDescent="0.45"/>
    <row r="3" spans="1:6" x14ac:dyDescent="0.45">
      <c r="A3" s="334" t="s">
        <v>1182</v>
      </c>
      <c r="B3" s="334"/>
      <c r="C3" s="334"/>
    </row>
    <row r="4" spans="1:6" ht="7.5" customHeight="1" x14ac:dyDescent="0.45"/>
    <row r="5" spans="1:6" x14ac:dyDescent="0.45">
      <c r="A5" s="350"/>
      <c r="B5" s="360" t="s">
        <v>1611</v>
      </c>
      <c r="C5" s="346" t="s">
        <v>1495</v>
      </c>
    </row>
    <row r="6" spans="1:6" x14ac:dyDescent="0.45">
      <c r="A6" s="351" t="s">
        <v>81</v>
      </c>
      <c r="B6" s="395" t="str">
        <f>IF(ISBLANK(Cálculos!FZ6),"",Cálculos!FZ6)</f>
        <v>Muro</v>
      </c>
      <c r="C6" s="347" t="str">
        <f>IF(ISBLANK(Cálculos!GA6),"",Cálculos!GA6)</f>
        <v/>
      </c>
    </row>
    <row r="7" spans="1:6" ht="99" customHeight="1" x14ac:dyDescent="0.45">
      <c r="A7" s="352" t="s">
        <v>83</v>
      </c>
      <c r="B7" s="396" t="str">
        <f ca="1">IF(ISBLANK(Cálculos!FZ7),"",Cálculos!FZ7)</f>
        <v>Sección 'A ': Capa 1 0 mm + Capa 2 0 mm + Capa 3 0 mm + Capa 4 0 mm + Capa 5 0 mm + Capa 6 0 mm + Capa 7 0 mm. Sección 'B ': Capa 1 0 mm + Capa 2 0 mm + Capa 3 0 mm + Capa 4 0 mm + Capa 5 0 mm + Capa 6 0 mm + Capa 7 0 mm</v>
      </c>
      <c r="C7" s="348" t="str">
        <f>IF(ISBLANK(Cálculos!GA7),"",Cálculos!GA7)</f>
        <v/>
      </c>
    </row>
    <row r="8" spans="1:6" x14ac:dyDescent="0.45">
      <c r="A8" s="351" t="s">
        <v>1759</v>
      </c>
      <c r="B8" s="395" t="str">
        <f>IF(ISBLANK(Cálculos!FZ8),"",Cálculos!FZ8)</f>
        <v>Zona E</v>
      </c>
      <c r="C8" s="347" t="str">
        <f>IF(ISBLANK(Cálculos!GA8),"",Cálculos!GA8)</f>
        <v/>
      </c>
    </row>
    <row r="9" spans="1:6" ht="30.75" customHeight="1" x14ac:dyDescent="0.45">
      <c r="A9" s="351" t="s">
        <v>1714</v>
      </c>
      <c r="B9" s="397" t="str">
        <f ca="1">IF(ISBLANK(Cálculos!FZ9),"",Cálculos!FZ9)</f>
        <v>Todas las comunas</v>
      </c>
      <c r="C9" s="347"/>
    </row>
    <row r="10" spans="1:6" x14ac:dyDescent="0.45">
      <c r="A10" s="351" t="s">
        <v>1524</v>
      </c>
      <c r="B10" s="395" t="str">
        <f>IF(ISBLANK(Cálculos!FZ10),"",Cálculos!FZ10)</f>
        <v>Secciones: 2, Capas: 7</v>
      </c>
      <c r="C10" s="347" t="str">
        <f>IF(ISBLANK(Cálculos!GA10),"",Cálculos!GA10)</f>
        <v/>
      </c>
    </row>
    <row r="11" spans="1:6" ht="7.5" customHeight="1" x14ac:dyDescent="0.45"/>
    <row r="12" spans="1:6" x14ac:dyDescent="0.45">
      <c r="A12" s="332" t="s">
        <v>1499</v>
      </c>
      <c r="B12" s="332"/>
      <c r="C12" s="332"/>
    </row>
    <row r="13" spans="1:6" ht="7.5" customHeight="1" x14ac:dyDescent="0.45"/>
    <row r="14" spans="1:6" x14ac:dyDescent="0.45">
      <c r="A14" s="340"/>
      <c r="B14" s="361" t="s">
        <v>1611</v>
      </c>
      <c r="C14" s="363" t="s">
        <v>1495</v>
      </c>
    </row>
    <row r="15" spans="1:6" ht="30" customHeight="1" x14ac:dyDescent="0.45">
      <c r="A15" s="341" t="s">
        <v>1183</v>
      </c>
      <c r="B15" s="397" t="str">
        <f>IF(ISBLANK(Cálculos!FZ11),"",Cálculos!FZ11)</f>
        <v>Cálculo por método simplificado según NCh 853.Of2021</v>
      </c>
      <c r="C15" s="364" t="str">
        <f>IF(ISBLANK(Cálculos!GA11),"",Cálculos!GA11)</f>
        <v/>
      </c>
    </row>
    <row r="16" spans="1:6" ht="15" customHeight="1" x14ac:dyDescent="0.45">
      <c r="A16" s="342" t="s">
        <v>1511</v>
      </c>
      <c r="B16" s="397" t="str">
        <f>IF(ISBLANK(Cálculos!FZ12),"",Cálculos!FZ12)</f>
        <v>U [W/m²K]</v>
      </c>
      <c r="C16" s="347" t="str">
        <f>IF(ISBLANK(Cálculos!GA12),"",Cálculos!GA12)</f>
        <v/>
      </c>
    </row>
    <row r="17" spans="1:3" ht="15" customHeight="1" x14ac:dyDescent="0.45">
      <c r="A17" s="343" t="s">
        <v>1512</v>
      </c>
      <c r="B17" s="397" t="str">
        <f>IF(ISBLANK(Cálculos!FZ13),"",Cálculos!FZ13)</f>
        <v>≤ 0,6 [W/m²K]</v>
      </c>
      <c r="C17" s="347" t="str">
        <f>IF(ISBLANK(Cálculos!GA13),"",Cálculos!GA13)</f>
        <v/>
      </c>
    </row>
    <row r="18" spans="1:3" ht="15" customHeight="1" x14ac:dyDescent="0.45">
      <c r="A18" s="342" t="s">
        <v>1514</v>
      </c>
      <c r="B18" s="397" t="str">
        <f>IF(ISBLANK(Cálculos!FZ14),"",IFERROR(Cálculos!FZ14,"n/a"))</f>
        <v/>
      </c>
      <c r="C18" s="347" t="str">
        <f>IF(ISBLANK(Cálculos!GA14),"",Cálculos!GA14)</f>
        <v/>
      </c>
    </row>
    <row r="19" spans="1:3" x14ac:dyDescent="0.45">
      <c r="A19" s="344" t="s">
        <v>1769</v>
      </c>
      <c r="B19" s="398" t="str">
        <f>IFERROR(IF(ISBLANK(Cálculos!FZ15),"",ROUND(Cálculos!FZ15,1)&amp;" %"),"")</f>
        <v/>
      </c>
      <c r="C19" s="365" t="str">
        <f>IFERROR(IF(ISBLANK(Cálculos!GA15),"",ROUND(Cálculos!GA15,1)&amp;" %"),"")</f>
        <v/>
      </c>
    </row>
    <row r="20" spans="1:3" ht="28.5" x14ac:dyDescent="0.45">
      <c r="A20" s="372" t="s">
        <v>1631</v>
      </c>
      <c r="B20" s="399">
        <f>IF(ISBLANK(Cálculos!FZ16),"",Cálculos!FZ16)</f>
        <v>0</v>
      </c>
      <c r="C20" s="366" t="str">
        <f>IF(ISBLANK(Cálculos!GA16),"",Cálculos!GA16)</f>
        <v/>
      </c>
    </row>
    <row r="21" spans="1:3" ht="7.5" customHeight="1" x14ac:dyDescent="0.45"/>
    <row r="22" spans="1:3" x14ac:dyDescent="0.45">
      <c r="A22" s="333" t="s">
        <v>1500</v>
      </c>
      <c r="B22" s="333"/>
      <c r="C22" s="333"/>
    </row>
    <row r="23" spans="1:3" ht="7.5" customHeight="1" x14ac:dyDescent="0.45"/>
    <row r="24" spans="1:3" x14ac:dyDescent="0.45">
      <c r="A24" s="345" t="s">
        <v>1768</v>
      </c>
      <c r="B24" s="362" t="s">
        <v>1611</v>
      </c>
      <c r="C24" s="367" t="s">
        <v>1495</v>
      </c>
    </row>
    <row r="25" spans="1:3" ht="41.65" x14ac:dyDescent="0.45">
      <c r="A25" s="342" t="s">
        <v>1643</v>
      </c>
      <c r="B25" s="395" t="str">
        <f ca="1">IF(ISBLANK(Cálculos!FZ17),"",Cálculos!FZ17&amp;" [m²K/W]")</f>
        <v>0,445 [m²K/W]</v>
      </c>
      <c r="C25" s="347" t="str">
        <f>IF(ISBLANK(Cálculos!GA17),"",Cálculos!GA17)</f>
        <v/>
      </c>
    </row>
    <row r="26" spans="1:3" ht="41.65" x14ac:dyDescent="0.45">
      <c r="A26" s="342" t="s">
        <v>1644</v>
      </c>
      <c r="B26" s="395" t="str">
        <f>IF(ISBLANK(Cálculos!FZ18),"",Cálculos!FZ18&amp;" [m²K/W]")</f>
        <v>0,17 [m²K/W]</v>
      </c>
      <c r="C26" s="347" t="str">
        <f>IF(ISBLANK(Cálculos!GA18),"",Cálculos!GA18)</f>
        <v/>
      </c>
    </row>
    <row r="27" spans="1:3" ht="28.5" x14ac:dyDescent="0.45">
      <c r="A27" s="371" t="s">
        <v>1641</v>
      </c>
      <c r="B27" s="399">
        <f ca="1">IF(ISBLANK(Cálculos!FZ19),"",Cálculos!FZ19)</f>
        <v>0</v>
      </c>
      <c r="C27" s="366" t="str">
        <f>IF(ISBLANK(Cálculos!GA19),"",Cálculos!GA19)</f>
        <v/>
      </c>
    </row>
    <row r="28" spans="1:3" ht="7.5" customHeight="1" x14ac:dyDescent="0.45">
      <c r="A28" s="41"/>
    </row>
    <row r="29" spans="1:3" x14ac:dyDescent="0.45">
      <c r="A29" s="338"/>
    </row>
    <row r="30" spans="1:3" ht="7.5" customHeight="1" x14ac:dyDescent="0.45"/>
    <row r="31" spans="1:3" ht="15" customHeight="1" x14ac:dyDescent="0.45">
      <c r="A31" s="345" t="s">
        <v>1770</v>
      </c>
      <c r="B31" s="362" t="s">
        <v>1611</v>
      </c>
      <c r="C31" s="339" t="s">
        <v>1495</v>
      </c>
    </row>
    <row r="32" spans="1:3" ht="41.65" x14ac:dyDescent="0.45">
      <c r="A32" s="342" t="s">
        <v>1468</v>
      </c>
      <c r="B32" s="395">
        <f ca="1">IF(ISBLANK(Cálculos!FZ20),"",Cálculos!FZ20)</f>
        <v>0</v>
      </c>
      <c r="C32" s="349" t="str">
        <f>IF(ISBLANK(Cálculos!GA20),"",Cálculos!GA20)</f>
        <v/>
      </c>
    </row>
    <row r="33" spans="1:3" ht="27.75" hidden="1" x14ac:dyDescent="0.45">
      <c r="A33" s="342" t="s">
        <v>1508</v>
      </c>
      <c r="B33" s="395" t="str">
        <f ca="1">IF(ISBLANK(Cálculos!FZ21),"",Cálculos!FZ21)</f>
        <v>n/a</v>
      </c>
      <c r="C33" s="349" t="str">
        <f>IF(ISBLANK(Cálculos!GA21),"",Cálculos!GA21)</f>
        <v/>
      </c>
    </row>
    <row r="34" spans="1:3" ht="41.65" hidden="1" x14ac:dyDescent="0.45">
      <c r="A34" s="342" t="s">
        <v>1507</v>
      </c>
      <c r="B34" s="395">
        <f ca="1">IF(ISBLANK(Cálculos!FZ22),"",Cálculos!FZ22)</f>
        <v>0</v>
      </c>
      <c r="C34" s="349" t="str">
        <f>IF(ISBLANK(Cálculos!GA22),"",Cálculos!GA22)</f>
        <v/>
      </c>
    </row>
    <row r="35" spans="1:3" ht="41.65" hidden="1" x14ac:dyDescent="0.45">
      <c r="A35" s="342" t="s">
        <v>1645</v>
      </c>
      <c r="B35" s="395" t="str">
        <f ca="1">IF(ISBLANK(Cálculos!FZ23),"",Cálculos!FZ23&amp;" [kg/m²]")</f>
        <v>0 [kg/m²]</v>
      </c>
      <c r="C35" s="349" t="str">
        <f>IF(ISBLANK(Cálculos!GA23),"",Cálculos!GA23)</f>
        <v/>
      </c>
    </row>
    <row r="36" spans="1:3" ht="27.75" hidden="1" x14ac:dyDescent="0.45">
      <c r="A36" s="342" t="s">
        <v>1506</v>
      </c>
      <c r="B36" s="395" t="str">
        <f ca="1">IF(ISBLANK(Cálculos!FZ24),"",Cálculos!FZ24)</f>
        <v>n/a</v>
      </c>
      <c r="C36" s="349" t="str">
        <f>IF(ISBLANK(Cálculos!GA24),"",Cálculos!GA24)</f>
        <v/>
      </c>
    </row>
    <row r="37" spans="1:3" ht="28.5" x14ac:dyDescent="0.45">
      <c r="A37" s="371" t="s">
        <v>1642</v>
      </c>
      <c r="B37" s="399">
        <f ca="1">IF(ISBLANK(Cálculos!FZ25),"",Cálculos!FZ25)</f>
        <v>1</v>
      </c>
      <c r="C37" s="353" t="str">
        <f>IF(ISBLANK(Cálculos!GA25),"",Cálculos!GA25)</f>
        <v/>
      </c>
    </row>
    <row r="38" spans="1:3" ht="7.5" customHeight="1" x14ac:dyDescent="0.45">
      <c r="A38" s="41"/>
    </row>
    <row r="39" spans="1:3" x14ac:dyDescent="0.45">
      <c r="A39" s="337"/>
    </row>
    <row r="41" spans="1:3" ht="8.25" customHeight="1" x14ac:dyDescent="0.45"/>
  </sheetData>
  <sheetProtection algorithmName="SHA-512" hashValue="bAJEVOkl6GNs/q99Gfs+A1gjeZr7Piqare5RhIo2cu6iIh4PDOYBlo7t91bHavARdOZ6ZaRk1TecyPZp4o169g==" saltValue="mUbGC9BYmAQjcOJxdJA2mA==" spinCount="100000" sheet="1" objects="1" scenarios="1"/>
  <conditionalFormatting sqref="B20">
    <cfRule type="iconSet" priority="9">
      <iconSet iconSet="3Symbols2" showValue="0">
        <cfvo type="percent" val="0"/>
        <cfvo type="num" val="0" gte="0"/>
        <cfvo type="num" val="1"/>
      </iconSet>
    </cfRule>
  </conditionalFormatting>
  <conditionalFormatting sqref="C20">
    <cfRule type="iconSet" priority="8">
      <iconSet iconSet="3Symbols2" showValue="0">
        <cfvo type="percent" val="0"/>
        <cfvo type="num" val="0" gte="0"/>
        <cfvo type="num" val="1"/>
      </iconSet>
    </cfRule>
  </conditionalFormatting>
  <conditionalFormatting sqref="B27">
    <cfRule type="iconSet" priority="7">
      <iconSet iconSet="3Symbols2" showValue="0">
        <cfvo type="percent" val="0"/>
        <cfvo type="num" val="0" gte="0"/>
        <cfvo type="num" val="1"/>
      </iconSet>
    </cfRule>
  </conditionalFormatting>
  <conditionalFormatting sqref="C27">
    <cfRule type="iconSet" priority="6">
      <iconSet iconSet="3Symbols2" showValue="0">
        <cfvo type="percent" val="0"/>
        <cfvo type="num" val="0" gte="0"/>
        <cfvo type="num" val="1"/>
      </iconSet>
    </cfRule>
  </conditionalFormatting>
  <conditionalFormatting sqref="B37:C37">
    <cfRule type="iconSet" priority="4">
      <iconSet iconSet="3Symbols2" showValue="0">
        <cfvo type="percent" val="0"/>
        <cfvo type="num" val="0" gte="0"/>
        <cfvo type="num" val="1"/>
      </iconSet>
    </cfRule>
  </conditionalFormatting>
  <conditionalFormatting sqref="C3:C37 A29:B29 A39:B39">
    <cfRule type="expression" dxfId="385" priority="3">
      <formula>NOT(datos_Base)</formula>
    </cfRule>
  </conditionalFormatting>
  <pageMargins left="0.7" right="0.7" top="0.94791666666666663" bottom="0.75" header="0.3" footer="0.3"/>
  <pageSetup scale="62" orientation="portrait" r:id="rId1"/>
  <headerFooter>
    <oddHeader>&amp;C&amp;"-,Negrita"&amp;16MEMORIA DE ANÁLISIS HIGROTÉRMICO 
DE ELEMENTO CONSTRUCTIVO</oddHeader>
    <oddFooter>&amp;R&amp;P de &amp;N</oddFooter>
  </headerFooter>
  <extLst>
    <ext xmlns:x14="http://schemas.microsoft.com/office/spreadsheetml/2009/9/main" uri="{78C0D931-6437-407d-A8EE-F0AAD7539E65}">
      <x14:conditionalFormattings>
        <x14:conditionalFormatting xmlns:xm="http://schemas.microsoft.com/office/excel/2006/main">
          <x14:cfRule type="expression" priority="13" id="{B64D86A9-AFAB-42CE-BF3C-1D23E6107AF5}">
            <xm:f>(Cálculos!$AH$3&gt;1)+(N_secciones&lt;2)</xm:f>
            <x14:dxf>
              <font>
                <color theme="0"/>
              </font>
              <fill>
                <patternFill>
                  <bgColor theme="0"/>
                </patternFill>
              </fill>
            </x14:dxf>
          </x14:cfRule>
          <xm:sqref>A19</xm:sqref>
        </x14:conditionalFormatting>
        <x14:conditionalFormatting xmlns:xm="http://schemas.microsoft.com/office/excel/2006/main">
          <x14:cfRule type="expression" priority="2" id="{ABAEC779-4369-422D-992F-5B95C5C90161}">
            <xm:f>(Cálculos!$AH$3&gt;1)+(N_secciones&lt;2)</xm:f>
            <x14:dxf>
              <font>
                <color theme="0"/>
              </font>
              <fill>
                <patternFill>
                  <bgColor theme="0"/>
                </patternFill>
              </fill>
            </x14:dxf>
          </x14:cfRule>
          <xm:sqref>B19</xm:sqref>
        </x14:conditionalFormatting>
        <x14:conditionalFormatting xmlns:xm="http://schemas.microsoft.com/office/excel/2006/main">
          <x14:cfRule type="expression" priority="1" id="{7C96D736-498C-45A1-975E-B4280A0BC9F4}">
            <xm:f>(Cálculos!$AH$3&gt;1)+(N_secciones&lt;2)</xm:f>
            <x14:dxf>
              <font>
                <color theme="0"/>
              </font>
              <fill>
                <patternFill>
                  <bgColor theme="0"/>
                </patternFill>
              </fill>
            </x14:dxf>
          </x14:cfRule>
          <xm:sqref>C19</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5A6F1-EF73-4DC4-8E61-02B8650B69DE}">
  <sheetPr codeName="Hoja8">
    <tabColor theme="0"/>
  </sheetPr>
  <dimension ref="A1:V29"/>
  <sheetViews>
    <sheetView showOutlineSymbols="0" workbookViewId="0">
      <selection activeCell="O24" sqref="O24"/>
    </sheetView>
  </sheetViews>
  <sheetFormatPr defaultColWidth="11.3984375" defaultRowHeight="14.25" x14ac:dyDescent="0.45"/>
  <cols>
    <col min="1" max="1" width="11.3984375" style="40"/>
    <col min="2" max="2" width="22" style="40" bestFit="1" customWidth="1"/>
    <col min="3" max="3" width="12.73046875" style="40" customWidth="1"/>
    <col min="4" max="5" width="11.3984375" style="40"/>
    <col min="6" max="6" width="21.73046875" style="40" customWidth="1"/>
    <col min="7" max="7" width="19.59765625" style="40" customWidth="1"/>
    <col min="8" max="8" width="11.3984375" style="40"/>
    <col min="9" max="9" width="10.73046875" style="40" bestFit="1" customWidth="1"/>
    <col min="10" max="10" width="11.3984375" style="40"/>
    <col min="11" max="11" width="21.1328125" style="40" customWidth="1"/>
    <col min="12" max="12" width="22" style="40" customWidth="1"/>
    <col min="13" max="13" width="15.73046875" style="40" bestFit="1" customWidth="1"/>
    <col min="14" max="14" width="11.73046875" style="40" customWidth="1"/>
    <col min="15" max="15" width="12.3984375" style="40" customWidth="1"/>
    <col min="16" max="16" width="12.86328125" style="40" customWidth="1"/>
    <col min="17" max="17" width="31.265625" style="40" bestFit="1" customWidth="1"/>
    <col min="18" max="18" width="13" style="40" bestFit="1" customWidth="1"/>
    <col min="19" max="19" width="15.265625" style="40" bestFit="1" customWidth="1"/>
    <col min="20" max="16384" width="11.3984375" style="40"/>
  </cols>
  <sheetData>
    <row r="1" spans="1:22" ht="23.25" x14ac:dyDescent="0.7">
      <c r="A1" s="83" t="s">
        <v>127</v>
      </c>
      <c r="M1" s="63"/>
    </row>
    <row r="3" spans="1:22" ht="19.899999999999999" thickBot="1" x14ac:dyDescent="0.65">
      <c r="A3" s="440" t="s">
        <v>1613</v>
      </c>
      <c r="B3" s="440"/>
      <c r="C3" s="440"/>
      <c r="E3" s="440" t="s">
        <v>1392</v>
      </c>
      <c r="F3" s="440"/>
      <c r="G3" s="440"/>
      <c r="H3" s="440"/>
      <c r="I3" s="440"/>
      <c r="K3" s="440" t="s">
        <v>128</v>
      </c>
      <c r="L3" s="440"/>
      <c r="M3" s="440"/>
      <c r="N3" s="440"/>
      <c r="O3" s="440"/>
      <c r="Q3" s="440" t="s">
        <v>1432</v>
      </c>
      <c r="R3" s="440"/>
      <c r="S3" s="440"/>
      <c r="T3" s="440"/>
      <c r="U3" s="440"/>
      <c r="V3" s="290"/>
    </row>
    <row r="4" spans="1:22" ht="14.65" thickTop="1" x14ac:dyDescent="0.45"/>
    <row r="5" spans="1:22" x14ac:dyDescent="0.45">
      <c r="A5" s="41" t="s">
        <v>86</v>
      </c>
      <c r="B5" s="277" t="s">
        <v>544</v>
      </c>
      <c r="E5" s="41" t="s">
        <v>1199</v>
      </c>
      <c r="K5" s="41" t="s">
        <v>130</v>
      </c>
      <c r="Q5" s="41" t="s">
        <v>130</v>
      </c>
      <c r="T5" s="41" t="s">
        <v>1441</v>
      </c>
    </row>
    <row r="6" spans="1:22" x14ac:dyDescent="0.45">
      <c r="E6" s="66"/>
      <c r="F6" t="s">
        <v>1196</v>
      </c>
      <c r="G6" s="276" t="str">
        <f>IF($E6&gt;0,$E6*Aux!$D$115,"")</f>
        <v/>
      </c>
      <c r="H6" s="40" t="s">
        <v>521</v>
      </c>
      <c r="K6" s="210" t="s">
        <v>134</v>
      </c>
      <c r="L6" s="67">
        <v>4.2</v>
      </c>
      <c r="M6" s="40" t="s">
        <v>135</v>
      </c>
      <c r="Q6" s="210" t="s">
        <v>134</v>
      </c>
      <c r="R6" s="67">
        <v>4.2</v>
      </c>
      <c r="S6" s="40" t="s">
        <v>135</v>
      </c>
      <c r="T6" s="210" t="s">
        <v>1436</v>
      </c>
      <c r="U6" s="295" t="s">
        <v>1452</v>
      </c>
    </row>
    <row r="7" spans="1:22" x14ac:dyDescent="0.45">
      <c r="A7" s="198" t="s">
        <v>1191</v>
      </c>
      <c r="B7" s="198" t="s">
        <v>1190</v>
      </c>
      <c r="E7" s="66"/>
      <c r="F7" t="s">
        <v>1197</v>
      </c>
      <c r="G7" s="276" t="str">
        <f>IF($E7&gt;0,$E7*Aux!$D$116,"")</f>
        <v/>
      </c>
      <c r="H7" s="40" t="s">
        <v>521</v>
      </c>
      <c r="K7" s="210" t="s">
        <v>136</v>
      </c>
      <c r="L7" s="67">
        <v>2.4</v>
      </c>
      <c r="M7" s="40" t="s">
        <v>135</v>
      </c>
      <c r="Q7" s="210" t="s">
        <v>136</v>
      </c>
      <c r="R7" s="67">
        <v>2.4</v>
      </c>
      <c r="S7" s="40" t="s">
        <v>135</v>
      </c>
      <c r="T7" s="210" t="s">
        <v>1434</v>
      </c>
      <c r="U7" s="67">
        <v>15</v>
      </c>
      <c r="V7" s="40" t="s">
        <v>1433</v>
      </c>
    </row>
    <row r="8" spans="1:22" x14ac:dyDescent="0.45">
      <c r="A8" s="201" t="s">
        <v>125</v>
      </c>
      <c r="B8" s="68" t="str" cm="1">
        <f t="array" ref="B8">IFERROR(IF(INDEX(zonas_térmicas_comunas[A],MATCH($B$5,zonas_térmicas_comunas[Comuna],0),0)&gt;0,INDEX(Aux!$L$102:$L$120,INDEX(zonas_térmicas_comunas[A],MATCH($B$5,zonas_térmicas_comunas[Comuna],0),0)),""),"")</f>
        <v/>
      </c>
      <c r="E8" s="41" t="s">
        <v>1193</v>
      </c>
      <c r="Q8" s="41" t="s">
        <v>1440</v>
      </c>
      <c r="T8" s="210" t="s">
        <v>1435</v>
      </c>
      <c r="U8" s="67">
        <v>20</v>
      </c>
      <c r="V8" s="40" t="s">
        <v>1433</v>
      </c>
    </row>
    <row r="9" spans="1:22" x14ac:dyDescent="0.45">
      <c r="A9" s="202" t="s">
        <v>573</v>
      </c>
      <c r="B9" s="68" t="str" cm="1">
        <f t="array" ref="B9">IFERROR(IF(INDEX(zonas_térmicas_comunas[B],MATCH($B$5,zonas_térmicas_comunas[Comuna],0),0)&gt;0,INDEX(Aux!$L$102:$L$120,INDEX(zonas_térmicas_comunas[B],MATCH($B$5,zonas_térmicas_comunas[Comuna],0),0)),""),"")</f>
        <v/>
      </c>
      <c r="E9" s="66"/>
      <c r="F9" t="s">
        <v>1198</v>
      </c>
      <c r="G9" s="276" t="str">
        <f>IF($E9&gt;0,$E9*Aux!$D$117,"")</f>
        <v/>
      </c>
      <c r="H9" t="s">
        <v>511</v>
      </c>
      <c r="K9" s="78" t="s">
        <v>137</v>
      </c>
      <c r="L9" s="71" t="s">
        <v>138</v>
      </c>
      <c r="M9" s="71" t="s">
        <v>139</v>
      </c>
      <c r="N9" s="71" t="s">
        <v>140</v>
      </c>
      <c r="Q9" s="210" t="s">
        <v>1442</v>
      </c>
      <c r="R9" s="67">
        <v>90</v>
      </c>
      <c r="S9" s="40" t="s">
        <v>1433</v>
      </c>
    </row>
    <row r="10" spans="1:22" x14ac:dyDescent="0.45">
      <c r="A10" s="203" t="s">
        <v>578</v>
      </c>
      <c r="B10" s="68" t="str" cm="1">
        <f t="array" ref="B10">IFERROR(IF(INDEX(zonas_térmicas_comunas[C],MATCH($B$5,zonas_térmicas_comunas[Comuna],0),0)&gt;0,INDEX(Aux!$L$102:$L$120,INDEX(zonas_térmicas_comunas[C],MATCH($B$5,zonas_térmicas_comunas[Comuna],0),0)),""),"")</f>
        <v/>
      </c>
      <c r="E10" s="41" t="s">
        <v>1846</v>
      </c>
      <c r="K10" s="79" t="s">
        <v>141</v>
      </c>
      <c r="L10" s="69" t="s">
        <v>142</v>
      </c>
      <c r="M10" s="69" t="s">
        <v>143</v>
      </c>
      <c r="N10" s="69" t="s">
        <v>143</v>
      </c>
      <c r="Q10" s="210" t="s">
        <v>1443</v>
      </c>
      <c r="R10" s="67">
        <v>140</v>
      </c>
      <c r="S10" s="40" t="s">
        <v>1433</v>
      </c>
    </row>
    <row r="11" spans="1:22" x14ac:dyDescent="0.45">
      <c r="A11" s="204" t="s">
        <v>581</v>
      </c>
      <c r="B11" s="68" t="str" cm="1">
        <f t="array" ref="B11">IFERROR(IF(INDEX(zonas_térmicas_comunas[D],MATCH($B$5,zonas_térmicas_comunas[Comuna],0),0)&gt;0,INDEX(Aux!$L$102:$L$120,INDEX(zonas_térmicas_comunas[D],MATCH($B$5,zonas_térmicas_comunas[Comuna],0),0)),""),"")</f>
        <v>Altitud &lt; 1.000 m.s.n.m.</v>
      </c>
      <c r="E11" s="418"/>
      <c r="F11" s="40" t="s">
        <v>1847</v>
      </c>
      <c r="G11" s="81" t="str">
        <f>IFERROR(δ_0/$E$11,"")</f>
        <v/>
      </c>
      <c r="H11" s="40" t="s">
        <v>30</v>
      </c>
      <c r="K11" s="79" t="s">
        <v>144</v>
      </c>
      <c r="L11" s="69" t="s">
        <v>145</v>
      </c>
      <c r="M11" s="69" t="s">
        <v>145</v>
      </c>
      <c r="N11" s="69" t="s">
        <v>145</v>
      </c>
      <c r="Q11" s="210" t="s">
        <v>1444</v>
      </c>
      <c r="R11" s="67">
        <v>290</v>
      </c>
      <c r="S11" s="40" t="s">
        <v>1433</v>
      </c>
    </row>
    <row r="12" spans="1:22" x14ac:dyDescent="0.45">
      <c r="A12" s="205" t="s">
        <v>584</v>
      </c>
      <c r="B12" s="68" t="str" cm="1">
        <f t="array" ref="B12">IFERROR(IF(INDEX(zonas_térmicas_comunas[E],MATCH($B$5,zonas_térmicas_comunas[Comuna],0),0)&gt;0,INDEX(Aux!$L$102:$L$120,INDEX(zonas_térmicas_comunas[E],MATCH($B$5,zonas_térmicas_comunas[Comuna],0),0)),""),"")</f>
        <v/>
      </c>
      <c r="K12" s="79" t="s">
        <v>146</v>
      </c>
      <c r="L12" s="70">
        <f>Cálculos!GE16*1000</f>
        <v>41</v>
      </c>
      <c r="M12" s="70">
        <f>Cálculos!GF16*1000</f>
        <v>41</v>
      </c>
      <c r="N12" s="70">
        <f>Cálculos!GG16*1000</f>
        <v>41</v>
      </c>
      <c r="Q12" s="41" t="s">
        <v>1449</v>
      </c>
    </row>
    <row r="13" spans="1:22" ht="19.899999999999999" thickBot="1" x14ac:dyDescent="0.65">
      <c r="A13" s="206" t="s">
        <v>586</v>
      </c>
      <c r="B13" s="68" t="str" cm="1">
        <f t="array" ref="B13">IFERROR(IF(INDEX(zonas_térmicas_comunas[F],MATCH($B$5,zonas_térmicas_comunas[Comuna],0),0)&gt;0,INDEX(Aux!$L$102:$L$120,INDEX(zonas_térmicas_comunas[F],MATCH($B$5,zonas_térmicas_comunas[Comuna],0),0)),""),"")</f>
        <v/>
      </c>
      <c r="E13" s="440" t="s">
        <v>129</v>
      </c>
      <c r="F13" s="440"/>
      <c r="G13" s="440"/>
      <c r="H13" s="440"/>
      <c r="I13" s="440"/>
      <c r="K13" s="79" t="s">
        <v>147</v>
      </c>
      <c r="L13" s="70">
        <f>Cálculos!GE17*1000</f>
        <v>114</v>
      </c>
      <c r="M13" s="70">
        <f>Cálculos!GF17*1000</f>
        <v>90</v>
      </c>
      <c r="N13" s="70">
        <f>Cálculos!GG17*1000</f>
        <v>90</v>
      </c>
      <c r="Q13" s="210" t="s">
        <v>136</v>
      </c>
      <c r="R13" s="67">
        <v>0.2</v>
      </c>
      <c r="S13" s="40" t="s">
        <v>135</v>
      </c>
    </row>
    <row r="14" spans="1:22" ht="14.65" thickTop="1" x14ac:dyDescent="0.45">
      <c r="A14" s="207" t="s">
        <v>588</v>
      </c>
      <c r="B14" s="68" t="str" cm="1">
        <f t="array" ref="B14">IFERROR(IF(INDEX(zonas_térmicas_comunas[G],MATCH($B$5,zonas_térmicas_comunas[Comuna],0),0)&gt;0,INDEX(Aux!$L$102:$L$120,INDEX(zonas_térmicas_comunas[G],MATCH($B$5,zonas_térmicas_comunas[Comuna],0),0)),""),"")</f>
        <v/>
      </c>
      <c r="K14" s="79" t="s">
        <v>148</v>
      </c>
      <c r="L14" s="69" t="s">
        <v>149</v>
      </c>
      <c r="M14" s="69">
        <v>0.6</v>
      </c>
      <c r="N14" s="69"/>
      <c r="Q14" s="41" t="s">
        <v>1450</v>
      </c>
    </row>
    <row r="15" spans="1:22" x14ac:dyDescent="0.45">
      <c r="A15" s="208" t="s">
        <v>591</v>
      </c>
      <c r="B15" s="68" t="str" cm="1">
        <f t="array" ref="B15">IFERROR(IF(INDEX(zonas_térmicas_comunas[H],MATCH($B$5,zonas_térmicas_comunas[Comuna],0),0)&gt;0,INDEX(Aux!$L$102:$L$120,INDEX(zonas_térmicas_comunas[H],MATCH($B$5,zonas_térmicas_comunas[Comuna],0),0)),""),"")</f>
        <v>Altitud ≥ 1.000 m.s.n.m.</v>
      </c>
      <c r="E15" s="40" t="s">
        <v>131</v>
      </c>
      <c r="F15" s="40" t="s">
        <v>1612</v>
      </c>
      <c r="G15" s="40" t="s">
        <v>132</v>
      </c>
      <c r="H15" s="142" t="s">
        <v>133</v>
      </c>
      <c r="K15" s="79" t="s">
        <v>150</v>
      </c>
      <c r="L15" s="69" t="s">
        <v>151</v>
      </c>
      <c r="M15" s="69" t="s">
        <v>152</v>
      </c>
      <c r="N15" s="70" t="s">
        <v>149</v>
      </c>
      <c r="Q15" s="210" t="s">
        <v>134</v>
      </c>
      <c r="R15" s="67">
        <v>0.3</v>
      </c>
      <c r="S15" s="40" t="s">
        <v>135</v>
      </c>
    </row>
    <row r="16" spans="1:22" x14ac:dyDescent="0.45">
      <c r="A16" s="209" t="s">
        <v>594</v>
      </c>
      <c r="B16" s="68" t="str" cm="1">
        <f t="array" ref="B16">IFERROR(IF(INDEX(zonas_térmicas_comunas[I],MATCH($B$5,zonas_térmicas_comunas[Comuna],0),0)&gt;0,INDEX(Aux!$L$102:$L$120,INDEX(zonas_térmicas_comunas[I],MATCH($B$5,zonas_térmicas_comunas[Comuna],0),0)),""),"")</f>
        <v/>
      </c>
      <c r="E16" s="40">
        <f>ROW()-ROW(Tabla14[[#Headers],['#]])</f>
        <v>1</v>
      </c>
      <c r="F16" s="66"/>
      <c r="G16" s="66"/>
      <c r="H16" s="66"/>
      <c r="K16" s="79" t="s">
        <v>153</v>
      </c>
      <c r="L16" s="70">
        <f>Cálculos!GE20</f>
        <v>4</v>
      </c>
      <c r="M16" s="70">
        <f>Cálculos!GF20</f>
        <v>12</v>
      </c>
      <c r="N16" s="70">
        <f>Cálculos!GG20</f>
        <v>1</v>
      </c>
      <c r="Q16" s="210" t="s">
        <v>1445</v>
      </c>
      <c r="R16" s="67">
        <v>3</v>
      </c>
      <c r="S16" s="40" t="s">
        <v>135</v>
      </c>
    </row>
    <row r="17" spans="5:22" ht="15" customHeight="1" x14ac:dyDescent="0.45">
      <c r="E17" s="40">
        <f>ROW()-ROW(Tabla14[[#Headers],['#]])</f>
        <v>2</v>
      </c>
      <c r="F17" s="66"/>
      <c r="G17" s="66"/>
      <c r="H17" s="66"/>
    </row>
    <row r="18" spans="5:22" x14ac:dyDescent="0.45">
      <c r="E18" s="40">
        <f>ROW()-ROW(Tabla14[[#Headers],['#]])</f>
        <v>3</v>
      </c>
      <c r="F18" s="66"/>
      <c r="G18" s="66"/>
      <c r="H18" s="66"/>
      <c r="K18" s="72" t="s">
        <v>111</v>
      </c>
      <c r="L18" s="73" t="s">
        <v>155</v>
      </c>
      <c r="M18" s="76" t="s">
        <v>156</v>
      </c>
      <c r="Q18" s="72" t="s">
        <v>111</v>
      </c>
      <c r="R18" s="73" t="s">
        <v>155</v>
      </c>
      <c r="S18" s="76" t="s">
        <v>156</v>
      </c>
    </row>
    <row r="19" spans="5:22" x14ac:dyDescent="0.45">
      <c r="E19" s="40">
        <f>ROW()-ROW(Tabla14[[#Headers],['#]])</f>
        <v>4</v>
      </c>
      <c r="F19" s="66"/>
      <c r="G19" s="66"/>
      <c r="H19" s="66"/>
      <c r="K19" s="77" t="s">
        <v>97</v>
      </c>
      <c r="L19" s="75">
        <f>Cálculos!GE23</f>
        <v>1.9409400000000001</v>
      </c>
      <c r="M19" s="124">
        <f>Cálculos!GF23</f>
        <v>0.19255357142857144</v>
      </c>
      <c r="Q19" s="77" t="s">
        <v>1437</v>
      </c>
      <c r="R19" s="75">
        <f>Cálculos!GE51</f>
        <v>2.16</v>
      </c>
      <c r="S19" s="124">
        <f>Cálculos!GF51</f>
        <v>0.2142857142857143</v>
      </c>
    </row>
    <row r="20" spans="5:22" x14ac:dyDescent="0.45">
      <c r="E20" s="40">
        <f>ROW()-ROW(Tabla14[[#Headers],['#]])</f>
        <v>5</v>
      </c>
      <c r="F20" s="66"/>
      <c r="G20" s="66"/>
      <c r="H20" s="66"/>
      <c r="K20" s="77" t="s">
        <v>157</v>
      </c>
      <c r="L20" s="75">
        <f>Cálculos!GE24</f>
        <v>8.1390600000000006</v>
      </c>
      <c r="M20" s="124">
        <f>Cálculos!GF24</f>
        <v>0.80744642857142868</v>
      </c>
      <c r="Q20" s="77" t="s">
        <v>1446</v>
      </c>
      <c r="R20" s="75">
        <f>Cálculos!GE52</f>
        <v>2.4651000000000005</v>
      </c>
      <c r="S20" s="124">
        <f>Cálculos!GF52</f>
        <v>0.24455357142857148</v>
      </c>
    </row>
    <row r="21" spans="5:22" x14ac:dyDescent="0.45">
      <c r="E21" s="40">
        <f>ROW()-ROW(Tabla14[[#Headers],['#]])</f>
        <v>6</v>
      </c>
      <c r="F21" s="66"/>
      <c r="G21" s="66"/>
      <c r="H21" s="66"/>
      <c r="K21" s="74" t="s">
        <v>158</v>
      </c>
      <c r="L21" s="68">
        <f>Cálculos!GE25</f>
        <v>10.08</v>
      </c>
      <c r="M21" s="123">
        <f>Cálculos!GF25</f>
        <v>1</v>
      </c>
      <c r="Q21" s="77" t="s">
        <v>1447</v>
      </c>
      <c r="R21" s="292">
        <f>Cálculos!GE53</f>
        <v>5.4548999999999994</v>
      </c>
      <c r="S21" s="124">
        <f>Cálculos!GF53</f>
        <v>0.54116071428571422</v>
      </c>
    </row>
    <row r="22" spans="5:22" x14ac:dyDescent="0.45">
      <c r="E22" s="40">
        <f>ROW()-ROW(Tabla14[[#Headers],['#]])</f>
        <v>7</v>
      </c>
      <c r="F22" s="66"/>
      <c r="G22" s="66"/>
      <c r="H22" s="66"/>
      <c r="M22" s="65"/>
      <c r="Q22" s="74" t="s">
        <v>158</v>
      </c>
      <c r="R22" s="293">
        <f>Cálculos!GE54</f>
        <v>10.08</v>
      </c>
      <c r="S22" s="294">
        <f>Cálculos!GF54</f>
        <v>1</v>
      </c>
    </row>
    <row r="23" spans="5:22" x14ac:dyDescent="0.45">
      <c r="E23" s="40">
        <f>ROW()-ROW(Tabla14[[#Headers],['#]])</f>
        <v>8</v>
      </c>
      <c r="F23" s="66"/>
      <c r="G23" s="66"/>
      <c r="H23" s="66"/>
      <c r="K23" s="41" t="s">
        <v>1448</v>
      </c>
    </row>
    <row r="24" spans="5:22" x14ac:dyDescent="0.45">
      <c r="E24" s="40">
        <f>ROW()-ROW(Tabla14[[#Headers],['#]])</f>
        <v>9</v>
      </c>
      <c r="F24" s="66"/>
      <c r="G24" s="66"/>
      <c r="H24" s="66"/>
      <c r="K24" s="41"/>
      <c r="Q24" s="478" t="s">
        <v>1471</v>
      </c>
      <c r="R24" s="478"/>
      <c r="S24" s="478"/>
      <c r="T24" s="478"/>
      <c r="U24" s="478"/>
      <c r="V24" s="478"/>
    </row>
    <row r="25" spans="5:22" x14ac:dyDescent="0.45">
      <c r="E25" s="40">
        <f>ROW()-ROW(Tabla14[[#Headers],['#]])</f>
        <v>10</v>
      </c>
      <c r="F25" s="66"/>
      <c r="G25" s="66"/>
      <c r="H25" s="66"/>
      <c r="K25" s="41"/>
      <c r="Q25" s="478"/>
      <c r="R25" s="478"/>
      <c r="S25" s="478"/>
      <c r="T25" s="478"/>
      <c r="U25" s="478"/>
      <c r="V25" s="478"/>
    </row>
    <row r="26" spans="5:22" x14ac:dyDescent="0.45">
      <c r="G26" s="105" t="s">
        <v>1188</v>
      </c>
      <c r="H26" s="407" t="str">
        <f>IFERROR(SUBTOTAL(101,Tabla14[λ medido]),"")</f>
        <v/>
      </c>
      <c r="K26" s="41"/>
    </row>
    <row r="27" spans="5:22" x14ac:dyDescent="0.45">
      <c r="G27" s="408" t="s">
        <v>154</v>
      </c>
      <c r="H27" s="409" t="str">
        <f>IFERROR(_xlfn.STDEV.S(Tabla14[λ medido]),"")</f>
        <v/>
      </c>
      <c r="K27" s="41"/>
    </row>
    <row r="28" spans="5:22" x14ac:dyDescent="0.45">
      <c r="G28" s="408" t="s">
        <v>1829</v>
      </c>
      <c r="H28" s="98" t="str">
        <f>IFERROR(IF(COUNT(Tabla14[λ medido])&gt;=3,Tabla14[[#Totals],[λ medido]]+H27*INDEX(Aux!$S$25:$S$32,MATCH(COUNT(Tabla14[λ medido]),Aux!$P$25:$P$32,0)),""),"")</f>
        <v/>
      </c>
      <c r="K28" s="41"/>
    </row>
    <row r="29" spans="5:22" x14ac:dyDescent="0.45">
      <c r="G29" s="410" t="s">
        <v>1189</v>
      </c>
      <c r="H29" s="80" t="str">
        <f>IFERROR(IF($H$28&lt;=0.08,MROUND($H$28,0.001),IF($H$28&lt;=0.2,MROUND($H$28,0.005),IF($H$28&lt;=2,MROUND($H$28,0.01),MROUND($H$28,0.1)))),"")</f>
        <v/>
      </c>
      <c r="K29" s="41"/>
    </row>
  </sheetData>
  <sheetProtection algorithmName="SHA-512" hashValue="0MBd4yNrhWOGWmho2IgSdwBI3qxGFfh+Kqp9tRzoB4Jx/O/ci/mLGF0pTXmcaZF6QwvgZXtJlQ/NwfQGg8VRzw==" saltValue="CHQdh3mSo5bzkVkaNKU+0g==" spinCount="100000" sheet="1" objects="1" scenarios="1"/>
  <mergeCells count="6">
    <mergeCell ref="Q24:V25"/>
    <mergeCell ref="K3:O3"/>
    <mergeCell ref="E13:I13"/>
    <mergeCell ref="A3:C3"/>
    <mergeCell ref="E3:I3"/>
    <mergeCell ref="Q3:U3"/>
  </mergeCells>
  <conditionalFormatting sqref="A8:A16">
    <cfRule type="expression" dxfId="381" priority="354">
      <formula>$B8=""</formula>
    </cfRule>
  </conditionalFormatting>
  <dataValidations disablePrompts="1" count="2">
    <dataValidation type="list" allowBlank="1" showInputMessage="1" showErrorMessage="1" sqref="L10:O10" xr:uid="{67E379EE-FB7E-4E8C-A95E-AF9861BD92AA}">
      <formula1>lista_escuadrias</formula1>
    </dataValidation>
    <dataValidation type="list" allowBlank="1" showInputMessage="1" showErrorMessage="1" sqref="B5" xr:uid="{39ED63D9-113F-4D2F-BB9B-7A7D9DE04C31}">
      <formula1>lista_comunas_región_provincia</formula1>
    </dataValidation>
  </dataValidations>
  <pageMargins left="0.7" right="0.7" top="0.75" bottom="0.75" header="0.3" footer="0.3"/>
  <pageSetup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73E094B4-1E7E-4F5B-A6E1-397BCC11ED89}">
          <x14:formula1>
            <xm:f>Aux!$B$59:$B$60</xm:f>
          </x14:formula1>
          <xm:sqref>L11:O11</xm:sqref>
        </x14:dataValidation>
        <x14:dataValidation type="list" allowBlank="1" showInputMessage="1" showErrorMessage="1" xr:uid="{EE7837AD-54CA-4347-B5F7-353DF781A37D}">
          <x14:formula1>
            <xm:f>Aux!$D$59:$D$61</xm:f>
          </x14:formula1>
          <xm:sqref>L15</xm:sqref>
        </x14:dataValidation>
        <x14:dataValidation type="list" allowBlank="1" showInputMessage="1" showErrorMessage="1" xr:uid="{38068C4B-A107-49B5-909F-922D07B91780}">
          <x14:formula1>
            <xm:f>Aux!$E$59:$E$61</xm:f>
          </x14:formula1>
          <xm:sqref>M15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B5A4E-BE2D-4BCE-9841-BE56277287F5}">
  <sheetPr codeName="Hoja3">
    <tabColor rgb="FFFFFF00"/>
  </sheetPr>
  <dimension ref="A1:HH187"/>
  <sheetViews>
    <sheetView showOutlineSymbols="0" topLeftCell="AD19" zoomScaleNormal="100" workbookViewId="0">
      <selection activeCell="AH41" sqref="AH41"/>
    </sheetView>
  </sheetViews>
  <sheetFormatPr defaultColWidth="11.3984375" defaultRowHeight="14.25" x14ac:dyDescent="0.45"/>
  <cols>
    <col min="1" max="1" width="3.59765625" customWidth="1"/>
    <col min="2" max="2" width="27" bestFit="1" customWidth="1"/>
    <col min="3" max="3" width="5.265625" bestFit="1" customWidth="1"/>
    <col min="4" max="4" width="11.86328125" bestFit="1" customWidth="1"/>
    <col min="5" max="5" width="52.1328125" bestFit="1" customWidth="1"/>
    <col min="8" max="8" width="25.59765625" customWidth="1"/>
    <col min="9" max="9" width="15.59765625" bestFit="1" customWidth="1"/>
    <col min="10" max="10" width="37.59765625" bestFit="1" customWidth="1"/>
    <col min="11" max="11" width="37.59765625" customWidth="1"/>
    <col min="12" max="12" width="23.1328125" bestFit="1" customWidth="1"/>
    <col min="13" max="13" width="32.59765625" bestFit="1" customWidth="1"/>
    <col min="14" max="14" width="16.1328125" bestFit="1" customWidth="1"/>
    <col min="15" max="15" width="7.1328125" bestFit="1" customWidth="1"/>
    <col min="16" max="16" width="18.265625" bestFit="1" customWidth="1"/>
    <col min="17" max="17" width="11.3984375" bestFit="1" customWidth="1"/>
    <col min="18" max="18" width="6.73046875" bestFit="1" customWidth="1"/>
    <col min="19" max="19" width="11.86328125" bestFit="1" customWidth="1"/>
    <col min="20" max="22" width="12.265625" bestFit="1" customWidth="1"/>
    <col min="23" max="23" width="7.1328125" bestFit="1" customWidth="1"/>
    <col min="24" max="24" width="12.265625" bestFit="1" customWidth="1"/>
    <col min="25" max="25" width="18.86328125" bestFit="1" customWidth="1"/>
    <col min="26" max="26" width="8" bestFit="1" customWidth="1"/>
    <col min="27" max="27" width="11.59765625" bestFit="1" customWidth="1"/>
    <col min="28" max="28" width="9.59765625" bestFit="1" customWidth="1"/>
    <col min="29" max="29" width="9.265625" bestFit="1" customWidth="1"/>
    <col min="30" max="30" width="11.3984375" bestFit="1" customWidth="1"/>
    <col min="31" max="31" width="14.86328125" customWidth="1"/>
    <col min="32" max="32" width="68.59765625" bestFit="1" customWidth="1"/>
    <col min="33" max="37" width="14.86328125" customWidth="1"/>
    <col min="40" max="40" width="12.1328125" bestFit="1" customWidth="1"/>
    <col min="41" max="41" width="12.1328125" customWidth="1"/>
    <col min="42" max="42" width="12" customWidth="1"/>
    <col min="43" max="44" width="12" bestFit="1" customWidth="1"/>
    <col min="45" max="45" width="10" customWidth="1"/>
    <col min="46" max="46" width="12.265625" bestFit="1" customWidth="1"/>
    <col min="47" max="48" width="12.265625" customWidth="1"/>
    <col min="49" max="50" width="55.265625" customWidth="1"/>
    <col min="51" max="51" width="21.73046875" bestFit="1" customWidth="1"/>
    <col min="52" max="52" width="22.1328125" customWidth="1"/>
    <col min="53" max="53" width="19.1328125" bestFit="1" customWidth="1"/>
    <col min="54" max="54" width="24.265625" customWidth="1"/>
    <col min="55" max="55" width="11.86328125" bestFit="1" customWidth="1"/>
    <col min="57" max="57" width="11.86328125" bestFit="1" customWidth="1"/>
    <col min="58" max="58" width="11.86328125" customWidth="1"/>
    <col min="62" max="62" width="15.59765625" customWidth="1"/>
    <col min="65" max="65" width="16.73046875" bestFit="1" customWidth="1"/>
    <col min="66" max="66" width="11.86328125" bestFit="1" customWidth="1"/>
    <col min="67" max="67" width="11.86328125" customWidth="1"/>
    <col min="68" max="68" width="7" bestFit="1" customWidth="1"/>
    <col min="69" max="69" width="19.59765625" bestFit="1" customWidth="1"/>
    <col min="70" max="70" width="19.59765625" customWidth="1"/>
    <col min="71" max="71" width="25.265625" bestFit="1" customWidth="1"/>
    <col min="72" max="72" width="26.3984375" bestFit="1" customWidth="1"/>
    <col min="73" max="73" width="27" bestFit="1" customWidth="1"/>
    <col min="74" max="74" width="33.3984375" bestFit="1" customWidth="1"/>
    <col min="75" max="75" width="22.3984375" bestFit="1" customWidth="1"/>
    <col min="77" max="77" width="35" bestFit="1" customWidth="1"/>
    <col min="78" max="78" width="29" customWidth="1"/>
    <col min="79" max="79" width="11.86328125" bestFit="1" customWidth="1"/>
    <col min="80" max="81" width="6.59765625" customWidth="1"/>
    <col min="82" max="82" width="7" customWidth="1"/>
    <col min="83" max="83" width="14.265625" bestFit="1" customWidth="1"/>
    <col min="84" max="84" width="8.86328125" bestFit="1" customWidth="1"/>
    <col min="85" max="85" width="10.59765625" bestFit="1" customWidth="1"/>
    <col min="86" max="86" width="7.265625" bestFit="1" customWidth="1"/>
    <col min="87" max="87" width="8.73046875" bestFit="1" customWidth="1"/>
    <col min="88" max="88" width="14.59765625" bestFit="1" customWidth="1"/>
    <col min="89" max="89" width="11.59765625" bestFit="1" customWidth="1"/>
    <col min="90" max="90" width="7.73046875" bestFit="1" customWidth="1"/>
    <col min="91" max="91" width="5.265625" bestFit="1" customWidth="1"/>
    <col min="92" max="92" width="13" customWidth="1"/>
    <col min="93" max="93" width="10" customWidth="1"/>
    <col min="94" max="94" width="6.3984375" customWidth="1"/>
    <col min="95" max="95" width="6.265625" customWidth="1"/>
    <col min="96" max="96" width="11.59765625" bestFit="1" customWidth="1"/>
    <col min="97" max="97" width="9.1328125" bestFit="1" customWidth="1"/>
    <col min="98" max="98" width="16.3984375" customWidth="1"/>
    <col min="99" max="99" width="15.265625" bestFit="1" customWidth="1"/>
    <col min="100" max="100" width="6.59765625" bestFit="1" customWidth="1"/>
    <col min="101" max="101" width="14" customWidth="1"/>
    <col min="102" max="102" width="10.1328125" bestFit="1" customWidth="1"/>
    <col min="103" max="103" width="5.265625" bestFit="1" customWidth="1"/>
    <col min="104" max="104" width="9.73046875" bestFit="1" customWidth="1"/>
    <col min="105" max="105" width="13.265625" bestFit="1" customWidth="1"/>
    <col min="106" max="106" width="8.1328125" bestFit="1" customWidth="1"/>
    <col min="107" max="108" width="6.73046875" bestFit="1" customWidth="1"/>
    <col min="109" max="109" width="11.86328125" bestFit="1" customWidth="1"/>
    <col min="110" max="110" width="12.59765625" bestFit="1" customWidth="1"/>
    <col min="111" max="111" width="15.73046875" bestFit="1" customWidth="1"/>
    <col min="112" max="112" width="11" bestFit="1" customWidth="1"/>
    <col min="113" max="113" width="15.86328125" bestFit="1" customWidth="1"/>
    <col min="114" max="114" width="16.73046875" bestFit="1" customWidth="1"/>
    <col min="115" max="115" width="9.265625" customWidth="1"/>
    <col min="116" max="116" width="12.265625" bestFit="1" customWidth="1"/>
    <col min="117" max="117" width="16.86328125" bestFit="1" customWidth="1"/>
    <col min="118" max="118" width="11.86328125" bestFit="1" customWidth="1"/>
    <col min="119" max="119" width="11.86328125" customWidth="1"/>
    <col min="120" max="120" width="10.3984375" bestFit="1" customWidth="1"/>
    <col min="121" max="121" width="13.59765625" bestFit="1" customWidth="1"/>
    <col min="122" max="122" width="8.86328125" bestFit="1" customWidth="1"/>
    <col min="123" max="123" width="13.73046875" bestFit="1" customWidth="1"/>
    <col min="124" max="124" width="14.3984375" bestFit="1" customWidth="1"/>
    <col min="125" max="125" width="18.73046875" bestFit="1" customWidth="1"/>
    <col min="126" max="126" width="8.3984375" bestFit="1" customWidth="1"/>
    <col min="127" max="127" width="14" bestFit="1" customWidth="1"/>
    <col min="128" max="128" width="8.86328125" bestFit="1" customWidth="1"/>
    <col min="129" max="129" width="13.59765625" customWidth="1"/>
    <col min="130" max="130" width="11.86328125" bestFit="1" customWidth="1"/>
    <col min="131" max="131" width="11.73046875" bestFit="1" customWidth="1"/>
    <col min="132" max="132" width="14.86328125" bestFit="1" customWidth="1"/>
    <col min="133" max="133" width="11.73046875" bestFit="1" customWidth="1"/>
    <col min="134" max="134" width="15" bestFit="1" customWidth="1"/>
    <col min="135" max="135" width="15.73046875" bestFit="1" customWidth="1"/>
    <col min="136" max="136" width="20" bestFit="1" customWidth="1"/>
    <col min="137" max="137" width="7.1328125" bestFit="1" customWidth="1"/>
    <col min="138" max="138" width="12" bestFit="1" customWidth="1"/>
    <col min="139" max="139" width="20.265625" bestFit="1" customWidth="1"/>
    <col min="140" max="145" width="12" bestFit="1" customWidth="1"/>
    <col min="146" max="146" width="13.265625" bestFit="1" customWidth="1"/>
    <col min="147" max="147" width="12.59765625" bestFit="1" customWidth="1"/>
    <col min="156" max="156" width="11.86328125" bestFit="1" customWidth="1"/>
    <col min="162" max="162" width="11.86328125" bestFit="1" customWidth="1"/>
    <col min="163" max="163" width="17.59765625" bestFit="1" customWidth="1"/>
    <col min="164" max="164" width="22.3984375" bestFit="1" customWidth="1"/>
    <col min="165" max="171" width="12" customWidth="1"/>
    <col min="172" max="176" width="13.1328125" customWidth="1"/>
    <col min="179" max="179" width="23.1328125" bestFit="1" customWidth="1"/>
    <col min="180" max="180" width="28.59765625" bestFit="1" customWidth="1"/>
    <col min="181" max="182" width="16.86328125" style="47" customWidth="1"/>
    <col min="183" max="183" width="12.86328125" style="47" customWidth="1"/>
    <col min="186" max="186" width="63.73046875" bestFit="1" customWidth="1"/>
    <col min="187" max="187" width="18.86328125" bestFit="1" customWidth="1"/>
    <col min="188" max="188" width="16.3984375" bestFit="1" customWidth="1"/>
    <col min="189" max="189" width="10.86328125" bestFit="1" customWidth="1"/>
    <col min="190" max="190" width="11.73046875" bestFit="1" customWidth="1"/>
    <col min="193" max="193" width="18.86328125" customWidth="1"/>
    <col min="194" max="194" width="13.3984375" customWidth="1"/>
    <col min="195" max="195" width="16.86328125" customWidth="1"/>
    <col min="196" max="196" width="17.59765625" customWidth="1"/>
    <col min="197" max="197" width="22.3984375" bestFit="1" customWidth="1"/>
    <col min="198" max="199" width="18.73046875" customWidth="1"/>
    <col min="202" max="202" width="28" customWidth="1"/>
    <col min="203" max="203" width="28.73046875" customWidth="1"/>
    <col min="204" max="204" width="30.265625" customWidth="1"/>
    <col min="205" max="205" width="34.265625" customWidth="1"/>
    <col min="206" max="206" width="27.265625" customWidth="1"/>
    <col min="207" max="207" width="26.73046875" customWidth="1"/>
    <col min="208" max="208" width="25" customWidth="1"/>
    <col min="209" max="209" width="17.265625" customWidth="1"/>
    <col min="210" max="210" width="27.1328125" customWidth="1"/>
    <col min="211" max="211" width="34.3984375" customWidth="1"/>
    <col min="212" max="212" width="29.265625" customWidth="1"/>
    <col min="213" max="213" width="33.73046875" customWidth="1"/>
    <col min="214" max="214" width="28.86328125" customWidth="1"/>
    <col min="215" max="215" width="33.265625" customWidth="1"/>
  </cols>
  <sheetData>
    <row r="1" spans="1:216" ht="14.65" thickBot="1" x14ac:dyDescent="0.5">
      <c r="A1" t="b">
        <v>1</v>
      </c>
      <c r="BY1" s="481" t="s">
        <v>159</v>
      </c>
      <c r="BZ1" s="482"/>
      <c r="CA1" s="483"/>
      <c r="FY1" s="47">
        <f>COLUMN()</f>
        <v>181</v>
      </c>
      <c r="FZ1" s="47">
        <f>COLUMN()</f>
        <v>182</v>
      </c>
      <c r="GA1" s="47">
        <f>COLUMN()</f>
        <v>183</v>
      </c>
    </row>
    <row r="2" spans="1:216" ht="14.65" thickBot="1" x14ac:dyDescent="0.5">
      <c r="B2" s="26" t="s">
        <v>164</v>
      </c>
      <c r="C2" s="177"/>
      <c r="D2" s="33"/>
      <c r="E2" s="34"/>
      <c r="AF2" s="26" t="s">
        <v>160</v>
      </c>
      <c r="AG2" s="177"/>
      <c r="AH2" s="33"/>
      <c r="AI2" s="34"/>
      <c r="BY2" s="11" t="s">
        <v>1802</v>
      </c>
      <c r="BZ2" t="b">
        <v>0</v>
      </c>
      <c r="CA2" s="12"/>
      <c r="CD2" s="1" t="s">
        <v>162</v>
      </c>
      <c r="FX2" s="481" t="s">
        <v>1491</v>
      </c>
      <c r="FY2" s="484"/>
      <c r="FZ2" s="484"/>
      <c r="GA2" s="484"/>
      <c r="GB2" s="483"/>
      <c r="GD2" s="57" t="s">
        <v>163</v>
      </c>
      <c r="GE2" s="30"/>
      <c r="GF2" s="30"/>
      <c r="GG2" s="30"/>
      <c r="GH2" s="58"/>
      <c r="GK2" t="s">
        <v>1492</v>
      </c>
      <c r="GL2" t="s">
        <v>1493</v>
      </c>
      <c r="GM2" t="s">
        <v>106</v>
      </c>
      <c r="GN2" t="s">
        <v>1525</v>
      </c>
      <c r="GO2" t="s">
        <v>102</v>
      </c>
      <c r="GP2" t="s">
        <v>1497</v>
      </c>
      <c r="GQ2" t="s">
        <v>1498</v>
      </c>
      <c r="GR2" t="s">
        <v>1513</v>
      </c>
      <c r="GS2" t="s">
        <v>1515</v>
      </c>
      <c r="GT2" t="s">
        <v>1631</v>
      </c>
      <c r="GU2" t="s">
        <v>1502</v>
      </c>
      <c r="GV2" t="s">
        <v>1503</v>
      </c>
      <c r="GW2" t="s">
        <v>1632</v>
      </c>
      <c r="GX2" t="s">
        <v>1504</v>
      </c>
      <c r="GY2" t="s">
        <v>1509</v>
      </c>
      <c r="GZ2" t="s">
        <v>1421</v>
      </c>
      <c r="HA2" t="s">
        <v>293</v>
      </c>
      <c r="HB2" t="s">
        <v>1505</v>
      </c>
      <c r="HC2" t="s">
        <v>1633</v>
      </c>
      <c r="HD2" t="s">
        <v>232</v>
      </c>
      <c r="HE2" t="s">
        <v>236</v>
      </c>
      <c r="HF2" t="s">
        <v>239</v>
      </c>
      <c r="HG2" t="s">
        <v>242</v>
      </c>
      <c r="HH2" t="s">
        <v>245</v>
      </c>
    </row>
    <row r="3" spans="1:216" x14ac:dyDescent="0.45">
      <c r="B3" s="185" t="s">
        <v>192</v>
      </c>
      <c r="C3" s="50"/>
      <c r="D3" s="354">
        <f>IFERROR(MATCH(tipo_elemento_usuario,lista_tipo_elementos,0),1)</f>
        <v>1</v>
      </c>
      <c r="E3" s="186" t="str" cm="1">
        <f t="array" ref="E3">INDEX(lista_tipo_elementos,tipo_elemento)</f>
        <v>Muro</v>
      </c>
      <c r="AF3" s="185" t="s">
        <v>165</v>
      </c>
      <c r="AG3" s="50"/>
      <c r="AH3" s="50">
        <f>MATCH(método_acreditación_térmico_usuario,lista_acreditación_térmica,0)</f>
        <v>1</v>
      </c>
      <c r="AI3" s="186"/>
      <c r="AL3" s="1" t="s">
        <v>92</v>
      </c>
      <c r="AM3" s="1"/>
      <c r="AS3" s="1" t="s">
        <v>166</v>
      </c>
      <c r="BY3" s="11" t="s">
        <v>161</v>
      </c>
      <c r="BZ3" t="b">
        <f>contacto_terreno</f>
        <v>0</v>
      </c>
      <c r="CA3" s="12"/>
      <c r="CD3" t="s">
        <v>168</v>
      </c>
      <c r="CE3" t="s">
        <v>169</v>
      </c>
      <c r="CF3" t="s">
        <v>170</v>
      </c>
      <c r="CG3" t="s">
        <v>171</v>
      </c>
      <c r="CH3" t="s">
        <v>172</v>
      </c>
      <c r="CI3" t="s">
        <v>173</v>
      </c>
      <c r="CJ3" t="s">
        <v>174</v>
      </c>
      <c r="CK3" t="s">
        <v>175</v>
      </c>
      <c r="CL3" t="s">
        <v>176</v>
      </c>
      <c r="CM3" t="s">
        <v>177</v>
      </c>
      <c r="CN3" t="s">
        <v>178</v>
      </c>
      <c r="CO3" t="s">
        <v>179</v>
      </c>
      <c r="CP3" t="s">
        <v>180</v>
      </c>
      <c r="CQ3" t="s">
        <v>1629</v>
      </c>
      <c r="CR3" t="s">
        <v>181</v>
      </c>
      <c r="CS3" t="s">
        <v>182</v>
      </c>
      <c r="CT3" t="s">
        <v>183</v>
      </c>
      <c r="CU3" s="3" t="s">
        <v>184</v>
      </c>
      <c r="CV3" t="s">
        <v>185</v>
      </c>
      <c r="CW3" s="3" t="s">
        <v>186</v>
      </c>
      <c r="CX3" s="3" t="s">
        <v>187</v>
      </c>
      <c r="CY3" t="s">
        <v>188</v>
      </c>
      <c r="CZ3" t="s">
        <v>1630</v>
      </c>
      <c r="FY3" s="61"/>
      <c r="FZ3" s="61"/>
      <c r="GA3" s="61"/>
      <c r="GB3" s="310"/>
      <c r="GD3" s="60" t="s">
        <v>189</v>
      </c>
      <c r="GE3" s="175" t="s">
        <v>190</v>
      </c>
      <c r="GF3" s="61" t="str">
        <f>IFERROR(Ai/(suma_A_e_k_U_e_k+0.33*n*V),"")</f>
        <v/>
      </c>
      <c r="GG3" s="62" t="s">
        <v>191</v>
      </c>
      <c r="GH3" s="56"/>
      <c r="GJ3">
        <f>COUNTA(resultados_acum[Tipo de elemento])</f>
        <v>0</v>
      </c>
    </row>
    <row r="4" spans="1:216" ht="14.65" thickBot="1" x14ac:dyDescent="0.5">
      <c r="B4" t="s">
        <v>491</v>
      </c>
      <c r="D4" s="47">
        <f>descripción_usuario</f>
        <v>0</v>
      </c>
      <c r="AF4" s="19" t="s">
        <v>1802</v>
      </c>
      <c r="AG4" s="20"/>
      <c r="AH4" s="20" t="b">
        <v>0</v>
      </c>
      <c r="AI4" s="21"/>
      <c r="AL4" t="s">
        <v>193</v>
      </c>
      <c r="AM4" t="s">
        <v>491</v>
      </c>
      <c r="AN4" t="s">
        <v>194</v>
      </c>
      <c r="AO4" t="s">
        <v>195</v>
      </c>
      <c r="AP4" t="s">
        <v>196</v>
      </c>
      <c r="AQ4" t="s">
        <v>197</v>
      </c>
      <c r="AS4" t="s">
        <v>198</v>
      </c>
      <c r="AT4" t="s">
        <v>199</v>
      </c>
      <c r="AU4" t="s">
        <v>200</v>
      </c>
      <c r="AV4" t="s">
        <v>201</v>
      </c>
      <c r="AW4" t="s">
        <v>1518</v>
      </c>
      <c r="AX4" t="s">
        <v>1519</v>
      </c>
      <c r="AY4" t="s">
        <v>1399</v>
      </c>
      <c r="AZ4" t="s">
        <v>1396</v>
      </c>
      <c r="BA4" t="s">
        <v>1397</v>
      </c>
      <c r="BB4" t="s">
        <v>1398</v>
      </c>
      <c r="BC4" t="s">
        <v>202</v>
      </c>
      <c r="BD4" t="s">
        <v>203</v>
      </c>
      <c r="BE4" t="s">
        <v>1522</v>
      </c>
      <c r="BF4" t="s">
        <v>1523</v>
      </c>
      <c r="BG4" t="s">
        <v>204</v>
      </c>
      <c r="BH4" t="s">
        <v>205</v>
      </c>
      <c r="BI4" t="s">
        <v>206</v>
      </c>
      <c r="BJ4" t="s">
        <v>207</v>
      </c>
      <c r="BK4" s="139" t="s">
        <v>1485</v>
      </c>
      <c r="BL4" t="s">
        <v>208</v>
      </c>
      <c r="BM4" t="s">
        <v>1804</v>
      </c>
      <c r="BN4" t="s">
        <v>209</v>
      </c>
      <c r="BO4" t="s">
        <v>195</v>
      </c>
      <c r="BP4" t="s">
        <v>210</v>
      </c>
      <c r="BQ4" t="s">
        <v>211</v>
      </c>
      <c r="BR4" t="s">
        <v>1467</v>
      </c>
      <c r="BS4" t="s">
        <v>212</v>
      </c>
      <c r="BT4" t="s">
        <v>213</v>
      </c>
      <c r="BU4" t="s">
        <v>214</v>
      </c>
      <c r="BV4" t="s">
        <v>1402</v>
      </c>
      <c r="BW4" t="s">
        <v>1176</v>
      </c>
      <c r="BY4" s="11" t="s">
        <v>167</v>
      </c>
      <c r="BZ4">
        <v>1</v>
      </c>
      <c r="CA4" s="12"/>
      <c r="CD4" s="1">
        <v>1</v>
      </c>
      <c r="CE4" t="e" cm="1">
        <f t="array" ref="CE4">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4" t="e" cm="1">
        <f t="array" ref="CF4">(INDEX(CLIMA[ϴe por defecto],IF(CLIMA[[#This Row],[Mes]]-1&lt;1,12,CLIMA[[#This Row],[Mes]]-1))+ϴ_an)/2</f>
        <v>#N/A</v>
      </c>
      <c r="CG4" s="152">
        <v>-1</v>
      </c>
      <c r="CH4" t="e">
        <f>CHOOSE(Selector_temp_exterior,IF(Suelo,CLIMA[[#This Row],[ϴe suelo]],CLIMA[[#This Row],[ϴe por defecto]]),CLIMA[[#This Row],[ϴe usuario]])</f>
        <v>#N/A</v>
      </c>
      <c r="CI4" s="91" t="e">
        <f>IF(CLIMA[[#This Row],[ϴe]]&gt;=0,610.5*EXP((17.269*CLIMA[[#This Row],[ϴe]])/(237.3+CLIMA[[#This Row],[ϴe]])),610.5*EXP((21.875*CLIMA[[#This Row],[ϴe]])/(265.5+CLIMA[[#This Row],[ϴe]])))</f>
        <v>#N/A</v>
      </c>
      <c r="CJ4" s="6" t="e" cm="1">
        <f t="array" ref="CJ4">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4" s="153">
        <v>0.85</v>
      </c>
      <c r="CL4" t="e">
        <f>CHOOSE(Selector_HR_exterior,CLIMA[[#This Row],[ϕe por defecto]],CLIMA[[#This Row],[ϕe usuario]])</f>
        <v>#N/A</v>
      </c>
      <c r="CM4" s="91" t="e">
        <f>CLIMA[[#This Row],[ϕe]]*CLIMA[[#This Row],[Psat(ϴe)]]</f>
        <v>#N/A</v>
      </c>
      <c r="CN4" s="90">
        <f>CHOOSE(Método_temp_interior,IF(CLIMA[[#This Row],[ϴe por defecto]]&lt;=10,20,IF(CLIMA[[#This Row],[ϴe por defecto]]&gt;=20,25,0.5*(CLIMA[[#This Row],[ϴe por defecto]]-10)+20)),Temperatura_interior_fija)</f>
        <v>19</v>
      </c>
      <c r="CO4" s="152">
        <v>20</v>
      </c>
      <c r="CP4" s="90">
        <f>CHOOSE(Selector_temp_interior,CLIMA[[#This Row],[ϴi por defecto]],CLIMA[[#This Row],[ϴi usuario]])</f>
        <v>19</v>
      </c>
      <c r="CQ4" s="90" t="e">
        <f>CLIMA[[#This Row],[ϴi]]-CLIMA[[#This Row],[ϴe]]</f>
        <v>#N/A</v>
      </c>
      <c r="CR4" s="90">
        <f>IF(CLIMA[[#This Row],[ϴi]]&gt;=0,610.5*EXP((17.269*CLIMA[[#This Row],[ϴi]])/(237.3+CLIMA[[#This Row],[ϴi]])),610.5*EXP((21.875*CLIMA[[#This Row],[ϴi]])/(265.5+CLIMA[[#This Row],[ϴi]])))</f>
        <v>2196.1512432322252</v>
      </c>
      <c r="CS4" s="152"/>
      <c r="CT4" s="152"/>
      <c r="CU4"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4" s="90">
        <f>CHOOSE(Método_hr_interior,CHOOSE(tipo_de_clima,CLIMA[[#This Row],[Psat(ϴi)]]*CLIMA[[#This Row],[ϕi]],CLIMA[[#This Row],[Pe]]+CLIMA[[#This Row],[Δp]]),CLIMA[[#This Row],[Pe]]+CLIMA[[#This Row],[Δp]],CLIMA[[#This Row],[Psat(ϴi)]]*CLIMA[[#This Row],[ϕi]])</f>
        <v>1647.1134324241689</v>
      </c>
      <c r="CW4"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4" s="153">
        <v>0.49</v>
      </c>
      <c r="CY4" s="6">
        <f>CHOOSE(Selector_HR_interior,CLIMA[[#This Row],[ϕi por defecto]],CLIMA[[#This Row],[ϕi usuario]])</f>
        <v>0.75</v>
      </c>
      <c r="CZ4" s="6" t="e">
        <f>CLIMA[[#This Row],[ϕi]]-CLIMA[[#This Row],[ϕe]]</f>
        <v>#N/A</v>
      </c>
      <c r="FX4" s="11"/>
      <c r="FZ4" s="47" t="b">
        <v>1</v>
      </c>
      <c r="GA4" s="47" t="b">
        <v>0</v>
      </c>
      <c r="GB4" s="12"/>
      <c r="GD4" s="11" t="s">
        <v>216</v>
      </c>
      <c r="GE4" s="2" t="s">
        <v>217</v>
      </c>
      <c r="GG4" s="5" t="s">
        <v>218</v>
      </c>
      <c r="GH4" s="12"/>
    </row>
    <row r="5" spans="1:216" ht="14.65" thickBot="1" x14ac:dyDescent="0.5">
      <c r="B5" s="11" t="s">
        <v>219</v>
      </c>
      <c r="D5" s="47">
        <f>IFERROR(CHOOSE(tipo_elemento,2,1,3,2),2)</f>
        <v>2</v>
      </c>
      <c r="E5" s="12" t="str" cm="1">
        <f t="array" ref="E5">INDEX(lista_dirección_flujo,dirección_flujo)</f>
        <v>Horizontal</v>
      </c>
      <c r="G5" s="394" t="str">
        <f>"Sección '"&amp;INDEX(SECCIONES[Nombre compuesto],MATCH(SECCIONES[[#Totals],[R100 capa aislante]],SECCIONES[R100 capa aislante],0))&amp;"' posee "&amp;1000*SUMIFS(SECCIONES_CAPAS[d],SECCIONES_CAPAS[Aislante],TRUE,SECCIONES_CAPAS[Sección],MATCH(SECCIONES[[#Totals],[R100 capa aislante]],SECCIONES[R100 capa aislante],0))&amp;" mm de material aislante"</f>
        <v>Sección 'A: ' posee 0 mm de material aislante</v>
      </c>
      <c r="AL5">
        <f>ROW()-ROW(INDEX(CAPAS[],1,1))+1</f>
        <v>1</v>
      </c>
      <c r="AM5" t="str" cm="1">
        <f t="array" aca="1" ref="AM5" ca="1">INDEX(SECCIONES_CAPAS[desc capa equivalente acum],MATCH(N_secciones&amp;"-"&amp;CAPAS[[#This Row],[Capa j]],SECCIONES_CAPAS[llave],0))</f>
        <v>Capa 1</v>
      </c>
      <c r="AN5" cm="1">
        <f t="array" ref="AN5">INDEX(DATOS[Espesor capas],CAPAS[[#This Row],[Capa j]]+2)</f>
        <v>0</v>
      </c>
      <c r="AO5">
        <f>IF(CAPAS[[#This Row],[Capa j]]=1,CAPAS[[#This Row],[d]],CAPAS[[#This Row],[d]]+AN4)</f>
        <v>0</v>
      </c>
      <c r="AP5">
        <f>SUMIF(SECCIONES_CAPAS[Capa],CAPAS[[#This Row],[Capa j]],SECCIONES_CAPAS[f/R])*CAPAS[[#This Row],[d]]</f>
        <v>0</v>
      </c>
      <c r="AQ5">
        <f>IFERROR(1/SUMIF(SECCIONES_CAPAS[Capa],CAPAS[[#This Row],[Capa j]],SECCIONES_CAPAS[f/R]),0)</f>
        <v>0</v>
      </c>
      <c r="AS5">
        <f>ROW()-ROW(INDEX(SECCIONES[],1,1))+1</f>
        <v>1</v>
      </c>
      <c r="AT5" t="str">
        <f>CHAR(64+SECCIONES[[#This Row],[Sección m]])</f>
        <v>A</v>
      </c>
      <c r="AU5" t="str" cm="1">
        <f t="array" ref="AU5">IF(INDEX(DATOS[],1,2+SECCIONES[[#This Row],[Sección m]])=0,"",INDEX(DATOS[],1,2+SECCIONES[[#This Row],[Sección m]]))</f>
        <v/>
      </c>
      <c r="AV5" t="str">
        <f>SECCIONES[[#This Row],[Sección letra]]&amp;": "&amp;SECCIONES[[#This Row],[Nombre sección]]</f>
        <v xml:space="preserve">A: </v>
      </c>
      <c r="AW5" t="str" cm="1">
        <f t="array" aca="1" ref="AW5" ca="1">"Sección '"&amp;SECCIONES[[#This Row],[Sección letra]]&amp;" "&amp;SECCIONES[[#This Row],[Nombre sección]]&amp;"':"&amp;" "&amp;INDEX(SECCIONES_CAPAS[descripción auto acum],N_capas*SECCIONES[[#This Row],[Sección m]])</f>
        <v>Sección 'A ': Capa 1 0 mm + Capa 2 0 mm + Capa 3 0 mm + Capa 4 0 mm + Capa 5 0 mm + Capa 6 0 mm + Capa 7 0 mm</v>
      </c>
      <c r="AX5" t="str">
        <f ca="1">IF(SECCIONES[[#This Row],[Sección m]]=1,SECCIONES[[#This Row],[descripción auto]],AX4&amp;". "&amp;SECCIONES[[#This Row],[descripción auto]])</f>
        <v>Sección 'A ': Capa 1 0 mm + Capa 2 0 mm + Capa 3 0 mm + Capa 4 0 mm + Capa 5 0 mm + Capa 6 0 mm + Capa 7 0 mm</v>
      </c>
      <c r="AY5">
        <f ca="1">SUMIFS(SECCIONES_CAPAS[d],SECCIONES_CAPAS[Sección],SECCIONES[[#This Row],[Sección m]],SECCIONES_CAPAS[Cámara aire no ventilada multicapa],TRUE)</f>
        <v>0</v>
      </c>
      <c r="AZ5" cm="1">
        <f t="array" aca="1" ref="AZ5" ca="1">IF(SECCIONES[[#This Row],[d total CANV multicapa]]*1000&gt;=MAX(R_Capa_aire[espesor '[mm']]),INDEX(R_Capa_aire[],COUNT(R_Capa_aire[espesor '[mm']]),dirección_flujo+1),(SECCIONES[[#This Row],[d total CANV multicapa]]*1000-INDEX(R_Capa_aire[],MATCH(SECCIONES[[#This Row],[d total CANV multicapa]]*1000,R_Capa_aire[espesor '[mm']],1),1))*(INDEX(R_Capa_aire[],MATCH(SECCIONES[[#This Row],[d total CANV multicapa]]*1000,R_Capa_aire[espesor '[mm']],1)+1,dirección_flujo+1)-INDEX(R_Capa_aire[],MATCH(SECCIONES[[#This Row],[d total CANV multicapa]]*1000,R_Capa_aire[espesor '[mm']],1),dirección_flujo+1))/(INDEX(R_Capa_aire[],MATCH(SECCIONES[[#This Row],[d total CANV multicapa]]*1000,R_Capa_aire[espesor '[mm']],1)+1,1)-INDEX(R_Capa_aire[],MATCH(SECCIONES[[#This Row],[d total CANV multicapa]]*1000,R_Capa_aire[espesor '[mm']],1),1))+INDEX(R_Capa_aire[],MATCH(SECCIONES[[#This Row],[d total CANV multicapa]]*1000,R_Capa_aire[espesor '[mm']],1),dirección_flujo+1))</f>
        <v>0</v>
      </c>
      <c r="BA5">
        <f ca="1">IFERROR(SECCIONES[[#This Row],[d total CANV multicapa]]/SECCIONES[[#This Row],[R cámara aire multicapa]],0)</f>
        <v>0</v>
      </c>
      <c r="BB5">
        <f ca="1">COUNTIFS(SECCIONES_CAPAS[Sección],SECCIONES[[#This Row],[Sección m]],SECCIONES_CAPAS[Cámara aire no ventilada multicapa],TRUE)</f>
        <v>0</v>
      </c>
      <c r="BC5" cm="1">
        <f t="array" ref="BC5">IF(N_secciones=1,1,INDEX(DATOS[],2,2+SECCIONES[[#This Row],[Sección m]]))</f>
        <v>0</v>
      </c>
      <c r="BD5">
        <f>IFERROR(R_si+R_se+SUMIF(SECCIONES_CAPAS[Sección],SECCIONES[[#This Row],[Sección m]],SECCIONES_CAPAS[R])+IF(espacio_no_acondicionado,R_u_techo,0),0)</f>
        <v>0.17</v>
      </c>
      <c r="BE5">
        <f>IF(SUMIF(SECCIONES_CAPAS[Sección],SECCIONES[[#This Row],[Sección m]],SECCIONES_CAPAS[verif error 1])&gt;0,1,0)</f>
        <v>1</v>
      </c>
      <c r="BF5">
        <f>IF(SUMIF(SECCIONES_CAPAS[Sección],SECCIONES[[#This Row],[Sección m]],SECCIONES_CAPAS[verif error 2])&gt;0,1,0)</f>
        <v>0</v>
      </c>
      <c r="BG5">
        <f>1/SECCIONES[[#This Row],[Rtsección]]</f>
        <v>5.8823529411764701</v>
      </c>
      <c r="BH5">
        <f>IFERROR(R_si+R_se+SUMIF(SECCIONES_CAPAS[Sección],SECCIONES[[#This Row],[Sección m]],SECCIONES_CAPAS[R]),0)</f>
        <v>0.17</v>
      </c>
      <c r="BI5">
        <f>1-R_si/SECCIONES[[#This Row],[Rtsección]]</f>
        <v>0.23529411764705888</v>
      </c>
      <c r="BJ5">
        <f>ROUND(100*SUMIFS(SECCIONES_CAPAS[R],SECCIONES_CAPAS[Sección],SECCIONES[[#This Row],[Sección m]],SECCIONES_CAPAS[λ],"&lt;0,1",SECCIONES_CAPAS[Cámara aire no ventilada],FALSE),0)</f>
        <v>0</v>
      </c>
      <c r="BK5" s="139">
        <f>SECCIONES[[#This Row],[Rtsección]]+IF((Método_temperatura_exterior=3)*(Método_humedad_relativa_exterior=3),0,-R_si+Rsi_condensación)+IF(contacto_terreno,Resistencia_térmica_2m_tierra,0)</f>
        <v>0.17</v>
      </c>
      <c r="BL5">
        <f>IFERROR(SECCIONES[[#This Row],[f]]/SECCIONES[[#This Row],[Rtsección]],0)</f>
        <v>0</v>
      </c>
      <c r="BM5" t="b" cm="1">
        <f t="array" ref="BM5">IFERROR(INDEX(SECCIONES_CAPAS[μ inf],MATCH(SECCIONES[[#This Row],[Sección m]]&amp;"-"&amp;N_capas,SECCIONES_CAPAS[llave])),FALSE)</f>
        <v>0</v>
      </c>
      <c r="BN5" t="b">
        <f ca="1">IF((Método_temperatura_exterior=3)+(Método_humedad_relativa_exterior=3),IF(INDEX(COND_SUPERFICIAL[Condensa],MATCH("7-"&amp;SECCIONES[[#This Row],[Sección m]],COND_SUPERFICIAL[llave],0)),FALSE,TRUE),IF(INDEX(COND_SUPERFICIAL[Condensa],MATCH("1-"&amp;SECCIONES[[#This Row],[Sección m]],COND_SUPERFICIAL[llave],0))+INDEX(COND_SUPERFICIAL[Condensa],MATCH("2-"&amp;SECCIONES[[#This Row],[Sección m]],COND_SUPERFICIAL[llave],0))+INDEX(COND_SUPERFICIAL[Condensa],MATCH("3-"&amp;SECCIONES[[#This Row],[Sección m]],COND_SUPERFICIAL[llave],0))+INDEX(COND_SUPERFICIAL[Condensa],MATCH("4-"&amp;SECCIONES[[#This Row],[Sección m]],COND_SUPERFICIAL[llave],0))+INDEX(COND_SUPERFICIAL[Condensa],MATCH("5-"&amp;SECCIONES[[#This Row],[Sección m]],COND_SUPERFICIAL[llave],0))+INDEX(COND_SUPERFICIAL[Condensa],MATCH("6-"&amp;SECCIONES[[#This Row],[Sección m]],COND_SUPERFICIAL[llave],0))+INDEX(COND_SUPERFICIAL[Condensa],MATCH("7-"&amp;SECCIONES[[#This Row],[Sección m]],COND_SUPERFICIAL[llave],0))+INDEX(COND_SUPERFICIAL[Condensa],MATCH("8-"&amp;SECCIONES[[#This Row],[Sección m]],COND_SUPERFICIAL[llave],0))+INDEX(COND_SUPERFICIAL[Condensa],MATCH("9-"&amp;SECCIONES[[#This Row],[Sección m]],COND_SUPERFICIAL[llave],0))+INDEX(COND_SUPERFICIAL[Condensa],MATCH("10-"&amp;SECCIONES[[#This Row],[Sección m]],COND_SUPERFICIAL[llave],0))+INDEX(COND_SUPERFICIAL[Condensa],MATCH("11-"&amp;SECCIONES[[#This Row],[Sección m]],COND_SUPERFICIAL[llave],0))+INDEX(COND_SUPERFICIAL[Condensa],MATCH("12-"&amp;SECCIONES[[#This Row],[Sección m]],COND_SUPERFICIAL[llave],0))=0,TRUE,FALSE))</f>
        <v>0</v>
      </c>
      <c r="BO5" cm="1">
        <f t="array" ref="BO5">INDEX(SECCIONES_CAPAS[d''],MATCH(SECCIONES[[#This Row],[Sección m]]&amp;"-"&amp;N_capas,SECCIONES_CAPAS[llave],0))</f>
        <v>0</v>
      </c>
      <c r="BP5">
        <f>IFERROR(SUMIF(SECCIONES_CAPAS[Sección],SECCIONES[[#This Row],[Sección m]],SECCIONES_CAPAS[Sd]),0)</f>
        <v>0</v>
      </c>
      <c r="BQ5" t="str" cm="1">
        <f t="array" aca="1" ref="BQ5" ca="1">IFERROR(MAX(IF((COND_INTERSTICIAL_AGUA_ACUMULADA[Sección]=SECCIONES[[#This Row],[Sección m]]),COND_INTERSTICIAL_AGUA_ACUMULADA[agua acumulada])),"")</f>
        <v/>
      </c>
      <c r="BR5">
        <f ca="1">COUNTIFS(COND_INTERSTICIAL_AGUA_ACUMULADA[interfases con agua líquida],"&gt;0",COND_INTERSTICIAL_AGUA_ACUMULADA[Sección],SECCIONES[[#This Row],[Sección m]])</f>
        <v>0</v>
      </c>
      <c r="BS5" t="str">
        <f ca="1">IF((SECCIONES[[#This Row],[Criterio condensación interst]]&lt;2)+(Método_temperatura_exterior=3)+(Método_humedad_relativa_exterior=3),"No aplica",INDEX(COND_INTERSTICIAL_AGUA_ACUMULADA[Mes],MATCH(SECCIONES[[#This Row],[humedad acumulada]],COND_INTERSTICIAL_AGUA_ACUMULADA[agua acumulada],0)))</f>
        <v>No aplica</v>
      </c>
      <c r="BT5" cm="1">
        <f t="array" aca="1" ref="BT5" ca="1">MAX(IF((COND_INTERSTICIAL_AGUA_ACUMULADA[Sección]=SECCIONES[[#This Row],[Sección m]]),COND_INTERSTICIAL_AGUA_ACUMULADA[interfases con agua líquida]))</f>
        <v>0</v>
      </c>
      <c r="BU5">
        <f ca="1">IF(COUNTIFS(COND_INTERSTICIAL_AGUA_ACUMULADA[Sección],SECCIONES[[#This Row],[Sección m]],COND_INTERSTICIAL_AGUA_ACUMULADA[interfases con agua líquida],"&gt;0")=0,1,IF((COUNTIFS(COND_INTERSTICIAL_AGUA_ACUMULADA[Sección],SECCIONES[[#This Row],[Sección m]],COND_INTERSTICIAL_AGUA_ACUMULADA[interfases con agua líquida],"&gt;0")&lt;12)*(SECCIONES[[#This Row],[humedad acumulada]]&lt;acumulación_máxima_de_agua),2,IF((SECCIONES[[#This Row],[humedad acumulada]]&gt;=acumulación_máxima_de_agua),3,IF(COUNTIFS(COND_INTERSTICIAL_AGUA_ACUMULADA[Sección],SECCIONES[[#This Row],[Sección m]],COND_INTERSTICIAL_AGUA_ACUMULADA[interfases con agua líquida],"&gt;0")=12,4,""))))</f>
        <v>1</v>
      </c>
      <c r="BV5">
        <f ca="1">CHOOSE(SECCIONES[[#This Row],[Criterio condensación interst]],1,0.5,0,0)</f>
        <v>1</v>
      </c>
      <c r="BW5" t="b">
        <f ca="1">IF((Método_temperatura_exterior=3)+(Método_humedad_relativa_exterior=3),IF(SECCIONES[[#This Row],[interfases con condensación]]=0,TRUE,FALSE),IF(SECCIONES[[#This Row],[Criterio condensación interst]]&lt;2,TRUE,FALSE))</f>
        <v>1</v>
      </c>
      <c r="BY5" s="11" t="s">
        <v>215</v>
      </c>
      <c r="BZ5">
        <v>1</v>
      </c>
      <c r="CA5" s="12"/>
      <c r="CD5" s="1">
        <v>2</v>
      </c>
      <c r="CE5" t="e" cm="1">
        <f t="array" ref="CE5">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5" t="e" cm="1">
        <f t="array" ref="CF5">(INDEX(CLIMA[ϴe por defecto],IF(CLIMA[[#This Row],[Mes]]-1&lt;1,12,CLIMA[[#This Row],[Mes]]-1))+ϴ_an)/2</f>
        <v>#N/A</v>
      </c>
      <c r="CG5" s="152">
        <v>0</v>
      </c>
      <c r="CH5" t="e">
        <f>CHOOSE(Selector_temp_exterior,IF(Suelo,CLIMA[[#This Row],[ϴe suelo]],CLIMA[[#This Row],[ϴe por defecto]]),CLIMA[[#This Row],[ϴe usuario]])</f>
        <v>#N/A</v>
      </c>
      <c r="CI5" s="91" t="e">
        <f>IF(CLIMA[[#This Row],[ϴe]]&gt;=0,610.5*EXP((17.269*CLIMA[[#This Row],[ϴe]])/(237.3+CLIMA[[#This Row],[ϴe]])),610.5*EXP((21.875*CLIMA[[#This Row],[ϴe]])/(265.5+CLIMA[[#This Row],[ϴe]])))</f>
        <v>#N/A</v>
      </c>
      <c r="CJ5" s="6" t="e" cm="1">
        <f t="array" ref="CJ5">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5" s="153">
        <v>0.84</v>
      </c>
      <c r="CL5" t="e">
        <f>CHOOSE(Selector_HR_exterior,CLIMA[[#This Row],[ϕe por defecto]],CLIMA[[#This Row],[ϕe usuario]])</f>
        <v>#N/A</v>
      </c>
      <c r="CM5" s="91" t="e">
        <f>CLIMA[[#This Row],[ϕe]]*CLIMA[[#This Row],[Psat(ϴe)]]</f>
        <v>#N/A</v>
      </c>
      <c r="CN5" s="90">
        <f>CHOOSE(Método_temp_interior,IF(CLIMA[[#This Row],[ϴe por defecto]]&lt;=10,20,IF(CLIMA[[#This Row],[ϴe por defecto]]&gt;=20,25,0.5*(CLIMA[[#This Row],[ϴe por defecto]]-10)+20)),Temperatura_interior_fija)</f>
        <v>19</v>
      </c>
      <c r="CO5" s="152">
        <v>20</v>
      </c>
      <c r="CP5" s="90">
        <f>CHOOSE(Selector_temp_interior,CLIMA[[#This Row],[ϴi por defecto]],CLIMA[[#This Row],[ϴi usuario]])</f>
        <v>19</v>
      </c>
      <c r="CQ5" s="90" t="e">
        <f>CLIMA[[#This Row],[ϴi]]-CLIMA[[#This Row],[ϴe]]</f>
        <v>#N/A</v>
      </c>
      <c r="CR5" s="90">
        <f>IF(CLIMA[[#This Row],[ϴi]]&gt;=0,610.5*EXP((17.269*CLIMA[[#This Row],[ϴi]])/(237.3+CLIMA[[#This Row],[ϴi]])),610.5*EXP((21.875*CLIMA[[#This Row],[ϴi]])/(265.5+CLIMA[[#This Row],[ϴi]])))</f>
        <v>2196.1512432322252</v>
      </c>
      <c r="CS5" s="152"/>
      <c r="CT5" s="152"/>
      <c r="CU5"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5" s="90">
        <f>CHOOSE(Método_hr_interior,CHOOSE(tipo_de_clima,CLIMA[[#This Row],[Psat(ϴi)]]*CLIMA[[#This Row],[ϕi]],CLIMA[[#This Row],[Pe]]+CLIMA[[#This Row],[Δp]]),CLIMA[[#This Row],[Pe]]+CLIMA[[#This Row],[Δp]],CLIMA[[#This Row],[Psat(ϴi)]]*CLIMA[[#This Row],[ϕi]])</f>
        <v>1647.1134324241689</v>
      </c>
      <c r="CW5"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5" s="153">
        <v>0.5</v>
      </c>
      <c r="CY5" s="6">
        <f>CHOOSE(Selector_HR_interior,CLIMA[[#This Row],[ϕi por defecto]],CLIMA[[#This Row],[ϕi usuario]])</f>
        <v>0.75</v>
      </c>
      <c r="CZ5" s="6" t="e">
        <f>CLIMA[[#This Row],[ϕi]]-CLIMA[[#This Row],[ϕe]]</f>
        <v>#N/A</v>
      </c>
      <c r="FX5" s="11"/>
      <c r="FY5" s="300" t="s">
        <v>1496</v>
      </c>
      <c r="FZ5" s="300" t="s">
        <v>1494</v>
      </c>
      <c r="GA5" s="300" t="s">
        <v>1495</v>
      </c>
      <c r="GB5" s="307" t="s">
        <v>1510</v>
      </c>
      <c r="GD5" s="11" t="s">
        <v>221</v>
      </c>
      <c r="GE5" s="2" t="s">
        <v>222</v>
      </c>
      <c r="GG5" s="5" t="s">
        <v>223</v>
      </c>
      <c r="GH5" s="12"/>
    </row>
    <row r="6" spans="1:216" ht="14.65" thickBot="1" x14ac:dyDescent="0.5">
      <c r="B6" s="11" t="s">
        <v>224</v>
      </c>
      <c r="D6" s="47">
        <v>1</v>
      </c>
      <c r="E6" s="12" t="str" cm="1">
        <f t="array" ref="E6">INDEX(tipo_uso_edificación,$D$6)</f>
        <v>Residencial</v>
      </c>
      <c r="AF6" s="26" t="s">
        <v>189</v>
      </c>
      <c r="AG6" s="177"/>
      <c r="AH6" s="33"/>
      <c r="AI6" s="34"/>
      <c r="AL6">
        <f>ROW()-ROW(INDEX(CAPAS[],1,1))+1</f>
        <v>2</v>
      </c>
      <c r="AM6" t="str" cm="1">
        <f t="array" aca="1" ref="AM6" ca="1">INDEX(SECCIONES_CAPAS[desc capa equivalente acum],MATCH(N_secciones&amp;"-"&amp;CAPAS[[#This Row],[Capa j]],SECCIONES_CAPAS[llave],0))</f>
        <v>Capa 2</v>
      </c>
      <c r="AN6" cm="1">
        <f t="array" ref="AN6">INDEX(DATOS[Espesor capas],CAPAS[[#This Row],[Capa j]]+2)</f>
        <v>0</v>
      </c>
      <c r="AO6">
        <f>IF(CAPAS[[#This Row],[Capa j]]=1,CAPAS[[#This Row],[d]],CAPAS[[#This Row],[d]]+AN5)</f>
        <v>0</v>
      </c>
      <c r="AP6">
        <f>SUMIF(SECCIONES_CAPAS[Capa],CAPAS[[#This Row],[Capa j]],SECCIONES_CAPAS[f/R])*CAPAS[[#This Row],[d]]</f>
        <v>0</v>
      </c>
      <c r="AQ6">
        <f>IFERROR(1/SUMIF(SECCIONES_CAPAS[Capa],CAPAS[[#This Row],[Capa j]],SECCIONES_CAPAS[f/R]),0)</f>
        <v>0</v>
      </c>
      <c r="AS6">
        <f>ROW()-ROW(INDEX(SECCIONES[],1,1))+1</f>
        <v>2</v>
      </c>
      <c r="AT6" t="str">
        <f>CHAR(64+SECCIONES[[#This Row],[Sección m]])</f>
        <v>B</v>
      </c>
      <c r="AU6" t="str" cm="1">
        <f t="array" ref="AU6">IF(INDEX(DATOS[],1,2+SECCIONES[[#This Row],[Sección m]])=0,"",INDEX(DATOS[],1,2+SECCIONES[[#This Row],[Sección m]]))</f>
        <v/>
      </c>
      <c r="AV6" t="str">
        <f>SECCIONES[[#This Row],[Sección letra]]&amp;": "&amp;SECCIONES[[#This Row],[Nombre sección]]</f>
        <v xml:space="preserve">B: </v>
      </c>
      <c r="AW6" t="str" cm="1">
        <f t="array" aca="1" ref="AW6" ca="1">"Sección '"&amp;SECCIONES[[#This Row],[Sección letra]]&amp;" "&amp;SECCIONES[[#This Row],[Nombre sección]]&amp;"':"&amp;" "&amp;INDEX(SECCIONES_CAPAS[descripción auto acum],N_capas*SECCIONES[[#This Row],[Sección m]])</f>
        <v>Sección 'B ': Capa 1 0 mm + Capa 2 0 mm + Capa 3 0 mm + Capa 4 0 mm + Capa 5 0 mm + Capa 6 0 mm + Capa 7 0 mm</v>
      </c>
      <c r="AX6" t="str">
        <f ca="1">IF(SECCIONES[[#This Row],[Sección m]]=1,SECCIONES[[#This Row],[descripción auto]],AX5&amp;". "&amp;SECCIONES[[#This Row],[descripción auto]])</f>
        <v>Sección 'A ': Capa 1 0 mm + Capa 2 0 mm + Capa 3 0 mm + Capa 4 0 mm + Capa 5 0 mm + Capa 6 0 mm + Capa 7 0 mm. Sección 'B ': Capa 1 0 mm + Capa 2 0 mm + Capa 3 0 mm + Capa 4 0 mm + Capa 5 0 mm + Capa 6 0 mm + Capa 7 0 mm</v>
      </c>
      <c r="AY6">
        <f ca="1">SUMIFS(SECCIONES_CAPAS[d],SECCIONES_CAPAS[Sección],SECCIONES[[#This Row],[Sección m]],SECCIONES_CAPAS[Cámara aire no ventilada multicapa],TRUE)</f>
        <v>0</v>
      </c>
      <c r="AZ6" cm="1">
        <f t="array" aca="1" ref="AZ6" ca="1">IF(SECCIONES[[#This Row],[d total CANV multicapa]]*1000&gt;=MAX(R_Capa_aire[espesor '[mm']]),INDEX(R_Capa_aire[],COUNT(R_Capa_aire[espesor '[mm']]),dirección_flujo+1),(SECCIONES[[#This Row],[d total CANV multicapa]]*1000-INDEX(R_Capa_aire[],MATCH(SECCIONES[[#This Row],[d total CANV multicapa]]*1000,R_Capa_aire[espesor '[mm']],1),1))*(INDEX(R_Capa_aire[],MATCH(SECCIONES[[#This Row],[d total CANV multicapa]]*1000,R_Capa_aire[espesor '[mm']],1)+1,dirección_flujo+1)-INDEX(R_Capa_aire[],MATCH(SECCIONES[[#This Row],[d total CANV multicapa]]*1000,R_Capa_aire[espesor '[mm']],1),dirección_flujo+1))/(INDEX(R_Capa_aire[],MATCH(SECCIONES[[#This Row],[d total CANV multicapa]]*1000,R_Capa_aire[espesor '[mm']],1)+1,1)-INDEX(R_Capa_aire[],MATCH(SECCIONES[[#This Row],[d total CANV multicapa]]*1000,R_Capa_aire[espesor '[mm']],1),1))+INDEX(R_Capa_aire[],MATCH(SECCIONES[[#This Row],[d total CANV multicapa]]*1000,R_Capa_aire[espesor '[mm']],1),dirección_flujo+1))</f>
        <v>0</v>
      </c>
      <c r="BA6">
        <f ca="1">IFERROR(SECCIONES[[#This Row],[d total CANV multicapa]]/SECCIONES[[#This Row],[R cámara aire multicapa]],0)</f>
        <v>0</v>
      </c>
      <c r="BB6">
        <f ca="1">COUNTIFS(SECCIONES_CAPAS[Sección],SECCIONES[[#This Row],[Sección m]],SECCIONES_CAPAS[Cámara aire no ventilada multicapa],TRUE)</f>
        <v>0</v>
      </c>
      <c r="BC6" cm="1">
        <f t="array" ref="BC6">IF(N_secciones=1,1,INDEX(DATOS[],2,2+SECCIONES[[#This Row],[Sección m]]))</f>
        <v>0</v>
      </c>
      <c r="BD6">
        <f>IFERROR(R_si+R_se+SUMIF(SECCIONES_CAPAS[Sección],SECCIONES[[#This Row],[Sección m]],SECCIONES_CAPAS[R])+IF(espacio_no_acondicionado,R_u_techo,0),0)</f>
        <v>0.17</v>
      </c>
      <c r="BE6">
        <f>IF(SUMIF(SECCIONES_CAPAS[Sección],SECCIONES[[#This Row],[Sección m]],SECCIONES_CAPAS[verif error 1])&gt;0,1,0)</f>
        <v>1</v>
      </c>
      <c r="BF6">
        <f>IF(SUMIF(SECCIONES_CAPAS[Sección],SECCIONES[[#This Row],[Sección m]],SECCIONES_CAPAS[verif error 2])&gt;0,1,0)</f>
        <v>0</v>
      </c>
      <c r="BG6">
        <f>1/SECCIONES[[#This Row],[Rtsección]]</f>
        <v>5.8823529411764701</v>
      </c>
      <c r="BH6">
        <f>IFERROR(R_si+R_se+SUMIF(SECCIONES_CAPAS[Sección],SECCIONES[[#This Row],[Sección m]],SECCIONES_CAPAS[R]),0)</f>
        <v>0.17</v>
      </c>
      <c r="BI6">
        <f>1-R_si/SECCIONES[[#This Row],[Rtsección]]</f>
        <v>0.23529411764705888</v>
      </c>
      <c r="BJ6">
        <f>ROUND(100*SUMIFS(SECCIONES_CAPAS[R],SECCIONES_CAPAS[Sección],SECCIONES[[#This Row],[Sección m]],SECCIONES_CAPAS[λ],"&lt;0,1",SECCIONES_CAPAS[Cámara aire no ventilada],FALSE),0)</f>
        <v>0</v>
      </c>
      <c r="BK6" s="139">
        <f>SECCIONES[[#This Row],[Rtsección]]+IF((Método_temperatura_exterior=3)*(Método_humedad_relativa_exterior=3),0,-R_si+Rsi_condensación)+IF(contacto_terreno,Resistencia_térmica_2m_tierra,0)</f>
        <v>0.17</v>
      </c>
      <c r="BL6">
        <f>IFERROR(SECCIONES[[#This Row],[f]]/SECCIONES[[#This Row],[Rtsección]],0)</f>
        <v>0</v>
      </c>
      <c r="BM6" t="b" cm="1">
        <f t="array" ref="BM6">IFERROR(INDEX(SECCIONES_CAPAS[μ inf],MATCH(SECCIONES[[#This Row],[Sección m]]&amp;"-"&amp;N_capas,SECCIONES_CAPAS[llave])),FALSE)</f>
        <v>0</v>
      </c>
      <c r="BN6" t="b">
        <f ca="1">IF((Método_temperatura_exterior=3)+(Método_humedad_relativa_exterior=3),IF(INDEX(COND_SUPERFICIAL[Condensa],MATCH("7-"&amp;SECCIONES[[#This Row],[Sección m]],COND_SUPERFICIAL[llave],0)),FALSE,TRUE),IF(INDEX(COND_SUPERFICIAL[Condensa],MATCH("1-"&amp;SECCIONES[[#This Row],[Sección m]],COND_SUPERFICIAL[llave],0))+INDEX(COND_SUPERFICIAL[Condensa],MATCH("2-"&amp;SECCIONES[[#This Row],[Sección m]],COND_SUPERFICIAL[llave],0))+INDEX(COND_SUPERFICIAL[Condensa],MATCH("3-"&amp;SECCIONES[[#This Row],[Sección m]],COND_SUPERFICIAL[llave],0))+INDEX(COND_SUPERFICIAL[Condensa],MATCH("4-"&amp;SECCIONES[[#This Row],[Sección m]],COND_SUPERFICIAL[llave],0))+INDEX(COND_SUPERFICIAL[Condensa],MATCH("5-"&amp;SECCIONES[[#This Row],[Sección m]],COND_SUPERFICIAL[llave],0))+INDEX(COND_SUPERFICIAL[Condensa],MATCH("6-"&amp;SECCIONES[[#This Row],[Sección m]],COND_SUPERFICIAL[llave],0))+INDEX(COND_SUPERFICIAL[Condensa],MATCH("7-"&amp;SECCIONES[[#This Row],[Sección m]],COND_SUPERFICIAL[llave],0))+INDEX(COND_SUPERFICIAL[Condensa],MATCH("8-"&amp;SECCIONES[[#This Row],[Sección m]],COND_SUPERFICIAL[llave],0))+INDEX(COND_SUPERFICIAL[Condensa],MATCH("9-"&amp;SECCIONES[[#This Row],[Sección m]],COND_SUPERFICIAL[llave],0))+INDEX(COND_SUPERFICIAL[Condensa],MATCH("10-"&amp;SECCIONES[[#This Row],[Sección m]],COND_SUPERFICIAL[llave],0))+INDEX(COND_SUPERFICIAL[Condensa],MATCH("11-"&amp;SECCIONES[[#This Row],[Sección m]],COND_SUPERFICIAL[llave],0))+INDEX(COND_SUPERFICIAL[Condensa],MATCH("12-"&amp;SECCIONES[[#This Row],[Sección m]],COND_SUPERFICIAL[llave],0))=0,TRUE,FALSE))</f>
        <v>0</v>
      </c>
      <c r="BO6" cm="1">
        <f t="array" ref="BO6">INDEX(SECCIONES_CAPAS[d''],MATCH(SECCIONES[[#This Row],[Sección m]]&amp;"-"&amp;N_capas,SECCIONES_CAPAS[llave],0))</f>
        <v>0</v>
      </c>
      <c r="BP6">
        <f>IFERROR(SUMIF(SECCIONES_CAPAS[Sección],SECCIONES[[#This Row],[Sección m]],SECCIONES_CAPAS[Sd]),0)</f>
        <v>0</v>
      </c>
      <c r="BQ6" t="str" cm="1">
        <f t="array" aca="1" ref="BQ6" ca="1">IFERROR(MAX(IF((COND_INTERSTICIAL_AGUA_ACUMULADA[Sección]=SECCIONES[[#This Row],[Sección m]]),COND_INTERSTICIAL_AGUA_ACUMULADA[agua acumulada])),"")</f>
        <v/>
      </c>
      <c r="BR6">
        <f ca="1">COUNTIFS(COND_INTERSTICIAL_AGUA_ACUMULADA[interfases con agua líquida],"&gt;0",COND_INTERSTICIAL_AGUA_ACUMULADA[Sección],SECCIONES[[#This Row],[Sección m]])</f>
        <v>0</v>
      </c>
      <c r="BS6" t="str">
        <f ca="1">IF((SECCIONES[[#This Row],[Criterio condensación interst]]&lt;2)+(Método_temperatura_exterior=3)+(Método_humedad_relativa_exterior=3),"No aplica",INDEX(COND_INTERSTICIAL_AGUA_ACUMULADA[Mes],MATCH(SECCIONES[[#This Row],[humedad acumulada]],COND_INTERSTICIAL_AGUA_ACUMULADA[agua acumulada],0)))</f>
        <v>No aplica</v>
      </c>
      <c r="BT6" cm="1">
        <f t="array" aca="1" ref="BT6" ca="1">MAX(IF((COND_INTERSTICIAL_AGUA_ACUMULADA[Sección]=SECCIONES[[#This Row],[Sección m]]),COND_INTERSTICIAL_AGUA_ACUMULADA[interfases con agua líquida]))</f>
        <v>0</v>
      </c>
      <c r="BU6">
        <f ca="1">IF(COUNTIFS(COND_INTERSTICIAL_AGUA_ACUMULADA[Sección],SECCIONES[[#This Row],[Sección m]],COND_INTERSTICIAL_AGUA_ACUMULADA[interfases con agua líquida],"&gt;0")=0,1,IF((COUNTIFS(COND_INTERSTICIAL_AGUA_ACUMULADA[Sección],SECCIONES[[#This Row],[Sección m]],COND_INTERSTICIAL_AGUA_ACUMULADA[interfases con agua líquida],"&gt;0")&lt;12)*(SECCIONES[[#This Row],[humedad acumulada]]&lt;acumulación_máxima_de_agua),2,IF((SECCIONES[[#This Row],[humedad acumulada]]&gt;=acumulación_máxima_de_agua),3,IF(COUNTIFS(COND_INTERSTICIAL_AGUA_ACUMULADA[Sección],SECCIONES[[#This Row],[Sección m]],COND_INTERSTICIAL_AGUA_ACUMULADA[interfases con agua líquida],"&gt;0")=12,4,""))))</f>
        <v>1</v>
      </c>
      <c r="BV6">
        <f ca="1">CHOOSE(SECCIONES[[#This Row],[Criterio condensación interst]],1,0.5,0,0)</f>
        <v>1</v>
      </c>
      <c r="BW6" t="b">
        <f ca="1">IF((Método_temperatura_exterior=3)+(Método_humedad_relativa_exterior=3),IF(SECCIONES[[#This Row],[interfases con condensación]]=0,TRUE,FALSE),IF(SECCIONES[[#This Row],[Criterio condensación interst]]&lt;2,TRUE,FALSE))</f>
        <v>1</v>
      </c>
      <c r="BY6" s="11" t="s">
        <v>220</v>
      </c>
      <c r="BZ6">
        <v>1</v>
      </c>
      <c r="CA6" s="12"/>
      <c r="CD6" s="1">
        <v>3</v>
      </c>
      <c r="CE6" t="e" cm="1">
        <f t="array" ref="CE6">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6" t="e" cm="1">
        <f t="array" ref="CF6">(INDEX(CLIMA[ϴe por defecto],IF(CLIMA[[#This Row],[Mes]]-1&lt;1,12,CLIMA[[#This Row],[Mes]]-1))+ϴ_an)/2</f>
        <v>#N/A</v>
      </c>
      <c r="CG6" s="152">
        <v>4</v>
      </c>
      <c r="CH6" t="e">
        <f>CHOOSE(Selector_temp_exterior,IF(Suelo,CLIMA[[#This Row],[ϴe suelo]],CLIMA[[#This Row],[ϴe por defecto]]),CLIMA[[#This Row],[ϴe usuario]])</f>
        <v>#N/A</v>
      </c>
      <c r="CI6" s="91" t="e">
        <f>IF(CLIMA[[#This Row],[ϴe]]&gt;=0,610.5*EXP((17.269*CLIMA[[#This Row],[ϴe]])/(237.3+CLIMA[[#This Row],[ϴe]])),610.5*EXP((21.875*CLIMA[[#This Row],[ϴe]])/(265.5+CLIMA[[#This Row],[ϴe]])))</f>
        <v>#N/A</v>
      </c>
      <c r="CJ6" s="6" t="e" cm="1">
        <f t="array" ref="CJ6">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6" s="153">
        <v>0.78</v>
      </c>
      <c r="CL6" t="e">
        <f>CHOOSE(Selector_HR_exterior,CLIMA[[#This Row],[ϕe por defecto]],CLIMA[[#This Row],[ϕe usuario]])</f>
        <v>#N/A</v>
      </c>
      <c r="CM6" s="91" t="e">
        <f>CLIMA[[#This Row],[ϕe]]*CLIMA[[#This Row],[Psat(ϴe)]]</f>
        <v>#N/A</v>
      </c>
      <c r="CN6" s="90">
        <f>CHOOSE(Método_temp_interior,IF(CLIMA[[#This Row],[ϴe por defecto]]&lt;=10,20,IF(CLIMA[[#This Row],[ϴe por defecto]]&gt;=20,25,0.5*(CLIMA[[#This Row],[ϴe por defecto]]-10)+20)),Temperatura_interior_fija)</f>
        <v>19</v>
      </c>
      <c r="CO6" s="152">
        <v>20</v>
      </c>
      <c r="CP6" s="90">
        <f>CHOOSE(Selector_temp_interior,CLIMA[[#This Row],[ϴi por defecto]],CLIMA[[#This Row],[ϴi usuario]])</f>
        <v>19</v>
      </c>
      <c r="CQ6" s="90" t="e">
        <f>CLIMA[[#This Row],[ϴi]]-CLIMA[[#This Row],[ϴe]]</f>
        <v>#N/A</v>
      </c>
      <c r="CR6" s="90">
        <f>IF(CLIMA[[#This Row],[ϴi]]&gt;=0,610.5*EXP((17.269*CLIMA[[#This Row],[ϴi]])/(237.3+CLIMA[[#This Row],[ϴi]])),610.5*EXP((21.875*CLIMA[[#This Row],[ϴi]])/(265.5+CLIMA[[#This Row],[ϴi]])))</f>
        <v>2196.1512432322252</v>
      </c>
      <c r="CS6" s="152"/>
      <c r="CT6" s="152"/>
      <c r="CU6"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6" s="90">
        <f>CHOOSE(Método_hr_interior,CHOOSE(tipo_de_clima,CLIMA[[#This Row],[Psat(ϴi)]]*CLIMA[[#This Row],[ϕi]],CLIMA[[#This Row],[Pe]]+CLIMA[[#This Row],[Δp]]),CLIMA[[#This Row],[Pe]]+CLIMA[[#This Row],[Δp]],CLIMA[[#This Row],[Psat(ϴi)]]*CLIMA[[#This Row],[ϕi]])</f>
        <v>1647.1134324241689</v>
      </c>
      <c r="CW6"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6" s="153">
        <v>0.54</v>
      </c>
      <c r="CY6" s="6">
        <f>CHOOSE(Selector_HR_interior,CLIMA[[#This Row],[ϕi por defecto]],CLIMA[[#This Row],[ϕi usuario]])</f>
        <v>0.75</v>
      </c>
      <c r="CZ6" s="6" t="e">
        <f>CLIMA[[#This Row],[ϕi]]-CLIMA[[#This Row],[ϕe]]</f>
        <v>#N/A</v>
      </c>
      <c r="FV6" s="3"/>
      <c r="FW6" s="60" t="s">
        <v>1493</v>
      </c>
      <c r="FX6" s="11" t="s">
        <v>1492</v>
      </c>
      <c r="FY6" s="301" t="str">
        <f>Configuración!$D$14</f>
        <v>Muro</v>
      </c>
      <c r="FZ6" s="301" t="str">
        <f>Configuración!$D$14</f>
        <v>Muro</v>
      </c>
      <c r="GA6" s="301"/>
      <c r="GB6" s="308"/>
      <c r="GD6" s="11" t="s">
        <v>227</v>
      </c>
      <c r="GE6" s="2" t="s">
        <v>228</v>
      </c>
      <c r="GG6" s="5" t="s">
        <v>229</v>
      </c>
      <c r="GH6" s="12"/>
    </row>
    <row r="7" spans="1:216" ht="14.65" thickBot="1" x14ac:dyDescent="0.5">
      <c r="B7" s="11" t="s">
        <v>230</v>
      </c>
      <c r="D7" s="47">
        <v>1</v>
      </c>
      <c r="E7" s="12" t="str" cm="1">
        <f t="array" ref="E7">INDEX(lista_tipo_emplazamiento,tipo_emplazamiento)</f>
        <v>Zona térmica</v>
      </c>
      <c r="AF7" s="60" t="s">
        <v>225</v>
      </c>
      <c r="AG7" s="175" t="s">
        <v>190</v>
      </c>
      <c r="AH7" s="61" cm="1">
        <f t="array" ref="AH7">IF($AH$8=0,0,INDEX(R_espacios_techo[Ru],$AH$8))</f>
        <v>0</v>
      </c>
      <c r="AI7" s="174" t="s">
        <v>191</v>
      </c>
      <c r="AL7">
        <f>ROW()-ROW(INDEX(CAPAS[],1,1))+1</f>
        <v>3</v>
      </c>
      <c r="AM7" t="str" cm="1">
        <f t="array" aca="1" ref="AM7" ca="1">INDEX(SECCIONES_CAPAS[desc capa equivalente acum],MATCH(N_secciones&amp;"-"&amp;CAPAS[[#This Row],[Capa j]],SECCIONES_CAPAS[llave],0))</f>
        <v>Capa 3</v>
      </c>
      <c r="AN7" cm="1">
        <f t="array" ref="AN7">INDEX(DATOS[Espesor capas],CAPAS[[#This Row],[Capa j]]+2)</f>
        <v>0</v>
      </c>
      <c r="AO7">
        <f>IF(CAPAS[[#This Row],[Capa j]]=1,CAPAS[[#This Row],[d]],CAPAS[[#This Row],[d]]+AN6)</f>
        <v>0</v>
      </c>
      <c r="AP7">
        <f>SUMIF(SECCIONES_CAPAS[Capa],CAPAS[[#This Row],[Capa j]],SECCIONES_CAPAS[f/R])*CAPAS[[#This Row],[d]]</f>
        <v>0</v>
      </c>
      <c r="AQ7">
        <f>IFERROR(1/SUMIF(SECCIONES_CAPAS[Capa],CAPAS[[#This Row],[Capa j]],SECCIONES_CAPAS[f/R]),0)</f>
        <v>0</v>
      </c>
      <c r="AS7">
        <f>SUBTOTAL(103,SECCIONES[Sección m])</f>
        <v>2</v>
      </c>
      <c r="AX7" t="str" cm="1">
        <f t="array" aca="1" ref="AX7" ca="1">INDEX(SECCIONES[descripción auto acum],N_secciones)</f>
        <v>Sección 'A ': Capa 1 0 mm + Capa 2 0 mm + Capa 3 0 mm + Capa 4 0 mm + Capa 5 0 mm + Capa 6 0 mm + Capa 7 0 mm. Sección 'B ': Capa 1 0 mm + Capa 2 0 mm + Capa 3 0 mm + Capa 4 0 mm + Capa 5 0 mm + Capa 6 0 mm + Capa 7 0 mm</v>
      </c>
      <c r="BC7" cm="1">
        <f t="array" ref="BC7">IF((SUBTOTAL(109,SECCIONES[f])&lt;1)*N_secciones=1,1,SUBTOTAL(109,SECCIONES[f]))</f>
        <v>0</v>
      </c>
      <c r="BJ7">
        <f>MAX(SECCIONES[R100 capa aislante])</f>
        <v>0</v>
      </c>
      <c r="BL7" t="e">
        <f>1/SUBTOTAL(109,SECCIONES[f/Rtsección])</f>
        <v>#DIV/0!</v>
      </c>
      <c r="BM7" s="47">
        <f>SUBTOTAL(109,SECCIONES[capa interior μ inf])</f>
        <v>0</v>
      </c>
      <c r="BY7" s="11" t="s">
        <v>226</v>
      </c>
      <c r="BZ7">
        <v>1</v>
      </c>
      <c r="CA7" s="12"/>
      <c r="CD7" s="1">
        <v>4</v>
      </c>
      <c r="CE7" t="e" cm="1">
        <f t="array" ref="CE7">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7" t="e" cm="1">
        <f t="array" ref="CF7">(INDEX(CLIMA[ϴe por defecto],IF(CLIMA[[#This Row],[Mes]]-1&lt;1,12,CLIMA[[#This Row],[Mes]]-1))+ϴ_an)/2</f>
        <v>#N/A</v>
      </c>
      <c r="CG7" s="152">
        <v>9</v>
      </c>
      <c r="CH7" t="e">
        <f>CHOOSE(Selector_temp_exterior,IF(Suelo,CLIMA[[#This Row],[ϴe suelo]],CLIMA[[#This Row],[ϴe por defecto]]),CLIMA[[#This Row],[ϴe usuario]])</f>
        <v>#N/A</v>
      </c>
      <c r="CI7" s="91" t="e">
        <f>IF(CLIMA[[#This Row],[ϴe]]&gt;=0,610.5*EXP((17.269*CLIMA[[#This Row],[ϴe]])/(237.3+CLIMA[[#This Row],[ϴe]])),610.5*EXP((21.875*CLIMA[[#This Row],[ϴe]])/(265.5+CLIMA[[#This Row],[ϴe]])))</f>
        <v>#N/A</v>
      </c>
      <c r="CJ7" s="6" t="e" cm="1">
        <f t="array" ref="CJ7">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7" s="153">
        <v>0.72</v>
      </c>
      <c r="CL7" t="e">
        <f>CHOOSE(Selector_HR_exterior,CLIMA[[#This Row],[ϕe por defecto]],CLIMA[[#This Row],[ϕe usuario]])</f>
        <v>#N/A</v>
      </c>
      <c r="CM7" s="91" t="e">
        <f>CLIMA[[#This Row],[ϕe]]*CLIMA[[#This Row],[Psat(ϴe)]]</f>
        <v>#N/A</v>
      </c>
      <c r="CN7" s="90">
        <f>CHOOSE(Método_temp_interior,IF(CLIMA[[#This Row],[ϴe por defecto]]&lt;=10,20,IF(CLIMA[[#This Row],[ϴe por defecto]]&gt;=20,25,0.5*(CLIMA[[#This Row],[ϴe por defecto]]-10)+20)),Temperatura_interior_fija)</f>
        <v>19</v>
      </c>
      <c r="CO7" s="152">
        <v>20</v>
      </c>
      <c r="CP7" s="90">
        <f>CHOOSE(Selector_temp_interior,CLIMA[[#This Row],[ϴi por defecto]],CLIMA[[#This Row],[ϴi usuario]])</f>
        <v>19</v>
      </c>
      <c r="CQ7" s="90" t="e">
        <f>CLIMA[[#This Row],[ϴi]]-CLIMA[[#This Row],[ϴe]]</f>
        <v>#N/A</v>
      </c>
      <c r="CR7" s="90">
        <f>IF(CLIMA[[#This Row],[ϴi]]&gt;=0,610.5*EXP((17.269*CLIMA[[#This Row],[ϴi]])/(237.3+CLIMA[[#This Row],[ϴi]])),610.5*EXP((21.875*CLIMA[[#This Row],[ϴi]])/(265.5+CLIMA[[#This Row],[ϴi]])))</f>
        <v>2196.1512432322252</v>
      </c>
      <c r="CS7" s="152"/>
      <c r="CT7" s="152"/>
      <c r="CU7"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7" s="90">
        <f>CHOOSE(Método_hr_interior,CHOOSE(tipo_de_clima,CLIMA[[#This Row],[Psat(ϴi)]]*CLIMA[[#This Row],[ϕi]],CLIMA[[#This Row],[Pe]]+CLIMA[[#This Row],[Δp]]),CLIMA[[#This Row],[Pe]]+CLIMA[[#This Row],[Δp]],CLIMA[[#This Row],[Psat(ϴi)]]*CLIMA[[#This Row],[ϕi]])</f>
        <v>1647.1134324241689</v>
      </c>
      <c r="CW7"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7" s="153">
        <v>0.59</v>
      </c>
      <c r="CY7" s="6">
        <f>CHOOSE(Selector_HR_interior,CLIMA[[#This Row],[ϕi por defecto]],CLIMA[[#This Row],[ϕi usuario]])</f>
        <v>0.75</v>
      </c>
      <c r="CZ7" s="6" t="e">
        <f>CLIMA[[#This Row],[ϕi]]-CLIMA[[#This Row],[ϕe]]</f>
        <v>#N/A</v>
      </c>
      <c r="FW7" s="60" t="s">
        <v>1493</v>
      </c>
      <c r="FX7" s="11" t="s">
        <v>1493</v>
      </c>
      <c r="FY7" s="301" t="str" cm="1">
        <f t="array" aca="1" ref="FY7" ca="1">IF(descripción_usuario=0,descripción_auto_elemento,descripción_usuario)</f>
        <v>Sección 'A ': Capa 1 0 mm + Capa 2 0 mm + Capa 3 0 mm + Capa 4 0 mm + Capa 5 0 mm + Capa 6 0 mm + Capa 7 0 mm. Sección 'B ': Capa 1 0 mm + Capa 2 0 mm + Capa 3 0 mm + Capa 4 0 mm + Capa 5 0 mm + Capa 6 0 mm + Capa 7 0 mm</v>
      </c>
      <c r="FZ7" s="301" t="str" cm="1">
        <f t="array" aca="1" ref="FZ7" ca="1">IF(descripción_usuario=0,descripción_auto_elemento,descripción_usuario)</f>
        <v>Sección 'A ': Capa 1 0 mm + Capa 2 0 mm + Capa 3 0 mm + Capa 4 0 mm + Capa 5 0 mm + Capa 6 0 mm + Capa 7 0 mm. Sección 'B ': Capa 1 0 mm + Capa 2 0 mm + Capa 3 0 mm + Capa 4 0 mm + Capa 5 0 mm + Capa 6 0 mm + Capa 7 0 mm</v>
      </c>
      <c r="GA7" s="301"/>
      <c r="GB7" s="308"/>
      <c r="GD7" s="19" t="s">
        <v>233</v>
      </c>
      <c r="GE7" s="176" t="s">
        <v>234</v>
      </c>
      <c r="GF7" s="20"/>
      <c r="GG7" s="59" t="s">
        <v>235</v>
      </c>
      <c r="GH7" s="21"/>
    </row>
    <row r="8" spans="1:216" ht="14.65" thickBot="1" x14ac:dyDescent="0.5">
      <c r="B8" s="11" t="s">
        <v>1711</v>
      </c>
      <c r="D8" s="47">
        <f>IFERROR(MATCH(Configuración!$D$6,lista_zonas_macrozonas,0),1)</f>
        <v>5</v>
      </c>
      <c r="E8" s="12" t="str" cm="1">
        <f t="array" ref="E8">INDEX(lista_zonas_macrozonas,param_emplazamiento_1)</f>
        <v>Zona E</v>
      </c>
      <c r="AF8" s="19" t="s">
        <v>231</v>
      </c>
      <c r="AG8" s="176"/>
      <c r="AH8" s="20">
        <f>IF(tipo_elemento&lt;&gt;2,1,MATCH(Configuración!$D$19,R_espacios_techo[características del techo],0))</f>
        <v>1</v>
      </c>
      <c r="AI8" s="21"/>
      <c r="AL8">
        <f>ROW()-ROW(INDEX(CAPAS[],1,1))+1</f>
        <v>4</v>
      </c>
      <c r="AM8" t="str" cm="1">
        <f t="array" aca="1" ref="AM8" ca="1">INDEX(SECCIONES_CAPAS[desc capa equivalente acum],MATCH(N_secciones&amp;"-"&amp;CAPAS[[#This Row],[Capa j]],SECCIONES_CAPAS[llave],0))</f>
        <v>Capa 4</v>
      </c>
      <c r="AN8" cm="1">
        <f t="array" ref="AN8">INDEX(DATOS[Espesor capas],CAPAS[[#This Row],[Capa j]]+2)</f>
        <v>0</v>
      </c>
      <c r="AO8">
        <f>IF(CAPAS[[#This Row],[Capa j]]=1,CAPAS[[#This Row],[d]],CAPAS[[#This Row],[d]]+AN7)</f>
        <v>0</v>
      </c>
      <c r="AP8">
        <f>SUMIF(SECCIONES_CAPAS[Capa],CAPAS[[#This Row],[Capa j]],SECCIONES_CAPAS[f/R])*CAPAS[[#This Row],[d]]</f>
        <v>0</v>
      </c>
      <c r="AQ8">
        <f>IFERROR(1/SUMIF(SECCIONES_CAPAS[Capa],CAPAS[[#This Row],[Capa j]],SECCIONES_CAPAS[f/R]),0)</f>
        <v>0</v>
      </c>
      <c r="BY8" s="11" t="s">
        <v>232</v>
      </c>
      <c r="BZ8">
        <v>3</v>
      </c>
      <c r="CA8" s="12"/>
      <c r="CD8" s="1">
        <v>5</v>
      </c>
      <c r="CE8" t="e" cm="1">
        <f t="array" ref="CE8">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8" t="e" cm="1">
        <f t="array" ref="CF8">(INDEX(CLIMA[ϴe por defecto],IF(CLIMA[[#This Row],[Mes]]-1&lt;1,12,CLIMA[[#This Row],[Mes]]-1))+ϴ_an)/2</f>
        <v>#N/A</v>
      </c>
      <c r="CG8" s="152">
        <v>14</v>
      </c>
      <c r="CH8" t="e">
        <f>CHOOSE(Selector_temp_exterior,IF(Suelo,CLIMA[[#This Row],[ϴe suelo]],CLIMA[[#This Row],[ϴe por defecto]]),CLIMA[[#This Row],[ϴe usuario]])</f>
        <v>#N/A</v>
      </c>
      <c r="CI8" s="91" t="e">
        <f>IF(CLIMA[[#This Row],[ϴe]]&gt;=0,610.5*EXP((17.269*CLIMA[[#This Row],[ϴe]])/(237.3+CLIMA[[#This Row],[ϴe]])),610.5*EXP((21.875*CLIMA[[#This Row],[ϴe]])/(265.5+CLIMA[[#This Row],[ϴe]])))</f>
        <v>#N/A</v>
      </c>
      <c r="CJ8" s="6" t="e" cm="1">
        <f t="array" ref="CJ8">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8" s="153">
        <v>0.68</v>
      </c>
      <c r="CL8" t="e">
        <f>CHOOSE(Selector_HR_exterior,CLIMA[[#This Row],[ϕe por defecto]],CLIMA[[#This Row],[ϕe usuario]])</f>
        <v>#N/A</v>
      </c>
      <c r="CM8" s="91" t="e">
        <f>CLIMA[[#This Row],[ϕe]]*CLIMA[[#This Row],[Psat(ϴe)]]</f>
        <v>#N/A</v>
      </c>
      <c r="CN8" s="90">
        <f>CHOOSE(Método_temp_interior,IF(CLIMA[[#This Row],[ϴe por defecto]]&lt;=10,20,IF(CLIMA[[#This Row],[ϴe por defecto]]&gt;=20,25,0.5*(CLIMA[[#This Row],[ϴe por defecto]]-10)+20)),Temperatura_interior_fija)</f>
        <v>19</v>
      </c>
      <c r="CO8" s="152">
        <v>22</v>
      </c>
      <c r="CP8" s="90">
        <f>CHOOSE(Selector_temp_interior,CLIMA[[#This Row],[ϴi por defecto]],CLIMA[[#This Row],[ϴi usuario]])</f>
        <v>19</v>
      </c>
      <c r="CQ8" s="90" t="e">
        <f>CLIMA[[#This Row],[ϴi]]-CLIMA[[#This Row],[ϴe]]</f>
        <v>#N/A</v>
      </c>
      <c r="CR8" s="90">
        <f>IF(CLIMA[[#This Row],[ϴi]]&gt;=0,610.5*EXP((17.269*CLIMA[[#This Row],[ϴi]])/(237.3+CLIMA[[#This Row],[ϴi]])),610.5*EXP((21.875*CLIMA[[#This Row],[ϴi]])/(265.5+CLIMA[[#This Row],[ϴi]])))</f>
        <v>2196.1512432322252</v>
      </c>
      <c r="CS8" s="152"/>
      <c r="CT8" s="152"/>
      <c r="CU8"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8" s="90">
        <f>CHOOSE(Método_hr_interior,CHOOSE(tipo_de_clima,CLIMA[[#This Row],[Psat(ϴi)]]*CLIMA[[#This Row],[ϕi]],CLIMA[[#This Row],[Pe]]+CLIMA[[#This Row],[Δp]]),CLIMA[[#This Row],[Pe]]+CLIMA[[#This Row],[Δp]],CLIMA[[#This Row],[Psat(ϴi)]]*CLIMA[[#This Row],[ϕi]])</f>
        <v>1647.1134324241689</v>
      </c>
      <c r="CW8"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8" s="153">
        <v>0.64</v>
      </c>
      <c r="CY8" s="6">
        <f>CHOOSE(Selector_HR_interior,CLIMA[[#This Row],[ϕi por defecto]],CLIMA[[#This Row],[ϕi usuario]])</f>
        <v>0.75</v>
      </c>
      <c r="CZ8" s="6" t="e">
        <f>CLIMA[[#This Row],[ϕi]]-CLIMA[[#This Row],[ϕe]]</f>
        <v>#N/A</v>
      </c>
      <c r="FW8" s="60" t="s">
        <v>1493</v>
      </c>
      <c r="FX8" s="11" t="s">
        <v>277</v>
      </c>
      <c r="FY8" s="301" t="str">
        <f>$BZ$22</f>
        <v>Zona E</v>
      </c>
      <c r="FZ8" s="301" t="str">
        <f>$BZ$22</f>
        <v>Zona E</v>
      </c>
      <c r="GA8" s="301"/>
      <c r="GB8" s="308"/>
      <c r="GD8" s="11"/>
      <c r="GH8" s="12"/>
    </row>
    <row r="9" spans="1:216" ht="14.65" thickBot="1" x14ac:dyDescent="0.5">
      <c r="B9" t="s">
        <v>1712</v>
      </c>
      <c r="D9" s="47">
        <f ca="1">IFERROR(MATCH(Configuración!$D$7,INDIRECT(CHOOSE(param_emplazamiento_1,Aux!$R$3,Aux!$R$4,Aux!$R$5,Aux!$R$6,Aux!$R$7,Aux!$R$8,Aux!$R$9,Aux!$R$10,Aux!$R$11,Aux!$R$12,Aux!$R$13,Aux!$R$14,Aux!$R$15,Aux!$R$16)),0),1)</f>
        <v>1</v>
      </c>
      <c r="E9" t="str" cm="1">
        <f t="array" aca="1" ref="E9" ca="1">INDEX(INDIRECT(CHOOSE(param_emplazamiento_1,Aux!$R$3,Aux!$R$4,Aux!$R$5,Aux!$R$6,Aux!$R$7,Aux!$R$8,Aux!$R$9,Aux!$R$10,Aux!$R$11,Aux!$R$12,Aux!$R$13,Aux!$R$14,Aux!$R$15,Aux!$R$16)),param_emplazamiento_2)</f>
        <v>Todas las comunas</v>
      </c>
      <c r="AF9" s="11"/>
      <c r="AG9" s="2"/>
      <c r="AI9" s="12"/>
      <c r="AL9">
        <f>ROW()-ROW(INDEX(CAPAS[],1,1))+1</f>
        <v>5</v>
      </c>
      <c r="AM9" t="str" cm="1">
        <f t="array" aca="1" ref="AM9" ca="1">INDEX(SECCIONES_CAPAS[desc capa equivalente acum],MATCH(N_secciones&amp;"-"&amp;CAPAS[[#This Row],[Capa j]],SECCIONES_CAPAS[llave],0))</f>
        <v>Capa 5</v>
      </c>
      <c r="AN9" cm="1">
        <f t="array" ref="AN9">INDEX(DATOS[Espesor capas],CAPAS[[#This Row],[Capa j]]+2)</f>
        <v>0</v>
      </c>
      <c r="AO9">
        <f>IF(CAPAS[[#This Row],[Capa j]]=1,CAPAS[[#This Row],[d]],CAPAS[[#This Row],[d]]+AN8)</f>
        <v>0</v>
      </c>
      <c r="AP9">
        <f>SUMIF(SECCIONES_CAPAS[Capa],CAPAS[[#This Row],[Capa j]],SECCIONES_CAPAS[f/R])*CAPAS[[#This Row],[d]]</f>
        <v>0</v>
      </c>
      <c r="AQ9">
        <f>IFERROR(1/SUMIF(SECCIONES_CAPAS[Capa],CAPAS[[#This Row],[Capa j]],SECCIONES_CAPAS[f/R]),0)</f>
        <v>0</v>
      </c>
      <c r="BY9" s="11" t="s">
        <v>236</v>
      </c>
      <c r="BZ9">
        <v>3</v>
      </c>
      <c r="CA9" s="12"/>
      <c r="CD9" s="1">
        <v>6</v>
      </c>
      <c r="CE9" t="e" cm="1">
        <f t="array" ref="CE9">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9" t="e" cm="1">
        <f t="array" ref="CF9">(INDEX(CLIMA[ϴe por defecto],IF(CLIMA[[#This Row],[Mes]]-1&lt;1,12,CLIMA[[#This Row],[Mes]]-1))+ϴ_an)/2</f>
        <v>#N/A</v>
      </c>
      <c r="CG9" s="152">
        <v>18</v>
      </c>
      <c r="CH9" t="e">
        <f>CHOOSE(Selector_temp_exterior,IF(Suelo,CLIMA[[#This Row],[ϴe suelo]],CLIMA[[#This Row],[ϴe por defecto]]),CLIMA[[#This Row],[ϴe usuario]])</f>
        <v>#N/A</v>
      </c>
      <c r="CI9" s="91" t="e">
        <f>IF(CLIMA[[#This Row],[ϴe]]&gt;=0,610.5*EXP((17.269*CLIMA[[#This Row],[ϴe]])/(237.3+CLIMA[[#This Row],[ϴe]])),610.5*EXP((21.875*CLIMA[[#This Row],[ϴe]])/(265.5+CLIMA[[#This Row],[ϴe]])))</f>
        <v>#N/A</v>
      </c>
      <c r="CJ9" s="6" t="e" cm="1">
        <f t="array" ref="CJ9">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9" s="153">
        <v>0.69</v>
      </c>
      <c r="CL9" t="e">
        <f>CHOOSE(Selector_HR_exterior,CLIMA[[#This Row],[ϕe por defecto]],CLIMA[[#This Row],[ϕe usuario]])</f>
        <v>#N/A</v>
      </c>
      <c r="CM9" s="91" t="e">
        <f>CLIMA[[#This Row],[ϕe]]*CLIMA[[#This Row],[Psat(ϴe)]]</f>
        <v>#N/A</v>
      </c>
      <c r="CN9" s="90">
        <f>CHOOSE(Método_temp_interior,IF(CLIMA[[#This Row],[ϴe por defecto]]&lt;=10,20,IF(CLIMA[[#This Row],[ϴe por defecto]]&gt;=20,25,0.5*(CLIMA[[#This Row],[ϴe por defecto]]-10)+20)),Temperatura_interior_fija)</f>
        <v>19</v>
      </c>
      <c r="CO9" s="152">
        <v>24</v>
      </c>
      <c r="CP9" s="90">
        <f>CHOOSE(Selector_temp_interior,CLIMA[[#This Row],[ϴi por defecto]],CLIMA[[#This Row],[ϴi usuario]])</f>
        <v>19</v>
      </c>
      <c r="CQ9" s="90" t="e">
        <f>CLIMA[[#This Row],[ϴi]]-CLIMA[[#This Row],[ϴe]]</f>
        <v>#N/A</v>
      </c>
      <c r="CR9" s="90">
        <f>IF(CLIMA[[#This Row],[ϴi]]&gt;=0,610.5*EXP((17.269*CLIMA[[#This Row],[ϴi]])/(237.3+CLIMA[[#This Row],[ϴi]])),610.5*EXP((21.875*CLIMA[[#This Row],[ϴi]])/(265.5+CLIMA[[#This Row],[ϴi]])))</f>
        <v>2196.1512432322252</v>
      </c>
      <c r="CS9" s="152"/>
      <c r="CT9" s="152"/>
      <c r="CU9"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9" s="90">
        <f>CHOOSE(Método_hr_interior,CHOOSE(tipo_de_clima,CLIMA[[#This Row],[Psat(ϴi)]]*CLIMA[[#This Row],[ϕi]],CLIMA[[#This Row],[Pe]]+CLIMA[[#This Row],[Δp]]),CLIMA[[#This Row],[Pe]]+CLIMA[[#This Row],[Δp]],CLIMA[[#This Row],[Psat(ϴi)]]*CLIMA[[#This Row],[ϕi]])</f>
        <v>1647.1134324241689</v>
      </c>
      <c r="CW9"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9" s="153">
        <v>0.68</v>
      </c>
      <c r="CY9" s="6">
        <f>CHOOSE(Selector_HR_interior,CLIMA[[#This Row],[ϕi por defecto]],CLIMA[[#This Row],[ϕi usuario]])</f>
        <v>0.75</v>
      </c>
      <c r="CZ9" s="6" t="e">
        <f>CLIMA[[#This Row],[ϕi]]-CLIMA[[#This Row],[ϕe]]</f>
        <v>#N/A</v>
      </c>
      <c r="FW9" s="60" t="s">
        <v>1493</v>
      </c>
      <c r="FX9" s="11" t="s">
        <v>1752</v>
      </c>
      <c r="FY9" s="301" t="str">
        <f ca="1">$BZ$23</f>
        <v>Todas las comunas</v>
      </c>
      <c r="FZ9" s="301" t="str">
        <f ca="1">$BZ$23</f>
        <v>Todas las comunas</v>
      </c>
      <c r="GA9" s="235"/>
      <c r="GB9" s="359"/>
      <c r="GD9" s="54" t="s">
        <v>240</v>
      </c>
      <c r="GE9" s="55"/>
      <c r="GF9" s="55"/>
      <c r="GG9" s="55"/>
      <c r="GH9" s="56"/>
    </row>
    <row r="10" spans="1:216" ht="14.65" thickBot="1" x14ac:dyDescent="0.5">
      <c r="B10" s="11" t="s">
        <v>237</v>
      </c>
      <c r="D10" s="47" t="b">
        <v>0</v>
      </c>
      <c r="E10" s="12"/>
      <c r="AF10" s="60" t="s">
        <v>238</v>
      </c>
      <c r="AG10" s="175" t="s">
        <v>190</v>
      </c>
      <c r="AH10" s="61"/>
      <c r="AI10" s="174" t="s">
        <v>191</v>
      </c>
      <c r="AL10">
        <f>ROW()-ROW(INDEX(CAPAS[],1,1))+1</f>
        <v>6</v>
      </c>
      <c r="AM10" t="str" cm="1">
        <f t="array" aca="1" ref="AM10" ca="1">INDEX(SECCIONES_CAPAS[desc capa equivalente acum],MATCH(N_secciones&amp;"-"&amp;CAPAS[[#This Row],[Capa j]],SECCIONES_CAPAS[llave],0))</f>
        <v>Capa 6</v>
      </c>
      <c r="AN10" cm="1">
        <f t="array" ref="AN10">INDEX(DATOS[Espesor capas],CAPAS[[#This Row],[Capa j]]+2)</f>
        <v>0</v>
      </c>
      <c r="AO10">
        <f>IF(CAPAS[[#This Row],[Capa j]]=1,CAPAS[[#This Row],[d]],CAPAS[[#This Row],[d]]+AN9)</f>
        <v>0</v>
      </c>
      <c r="AP10">
        <f>SUMIF(SECCIONES_CAPAS[Capa],CAPAS[[#This Row],[Capa j]],SECCIONES_CAPAS[f/R])*CAPAS[[#This Row],[d]]</f>
        <v>0</v>
      </c>
      <c r="AQ10">
        <f>IFERROR(1/SUMIF(SECCIONES_CAPAS[Capa],CAPAS[[#This Row],[Capa j]],SECCIONES_CAPAS[f/R]),0)</f>
        <v>0</v>
      </c>
      <c r="BY10" s="11" t="s">
        <v>239</v>
      </c>
      <c r="BZ10">
        <v>2</v>
      </c>
      <c r="CA10" s="12"/>
      <c r="CD10" s="1">
        <v>7</v>
      </c>
      <c r="CE10" cm="1">
        <f t="array" aca="1" ref="CE10" ca="1">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3.5</v>
      </c>
      <c r="CF10" t="e" cm="1">
        <f t="array" ref="CF10">(INDEX(CLIMA[ϴe por defecto],IF(CLIMA[[#This Row],[Mes]]-1&lt;1,12,CLIMA[[#This Row],[Mes]]-1))+ϴ_an)/2</f>
        <v>#N/A</v>
      </c>
      <c r="CG10" s="152">
        <v>19</v>
      </c>
      <c r="CH10">
        <f ca="1">CHOOSE(Selector_temp_exterior,IF(Suelo,CLIMA[[#This Row],[ϴe suelo]],CLIMA[[#This Row],[ϴe por defecto]]),CLIMA[[#This Row],[ϴe usuario]])</f>
        <v>3.5</v>
      </c>
      <c r="CI10" s="91">
        <f ca="1">IF(CLIMA[[#This Row],[ϴe]]&gt;=0,610.5*EXP((17.269*CLIMA[[#This Row],[ϴe]])/(237.3+CLIMA[[#This Row],[ϴe]])),610.5*EXP((21.875*CLIMA[[#This Row],[ϴe]])/(265.5+CLIMA[[#This Row],[ϴe]])))</f>
        <v>784.68408753927326</v>
      </c>
      <c r="CJ10" s="6" cm="1">
        <f t="array" aca="1" ref="CJ10" ca="1">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0.95</v>
      </c>
      <c r="CK10" s="153">
        <v>0.73</v>
      </c>
      <c r="CL10">
        <f ca="1">CHOOSE(Selector_HR_exterior,CLIMA[[#This Row],[ϕe por defecto]],CLIMA[[#This Row],[ϕe usuario]])</f>
        <v>0.95</v>
      </c>
      <c r="CM10" s="91">
        <f ca="1">CLIMA[[#This Row],[ϕe]]*CLIMA[[#This Row],[Psat(ϴe)]]</f>
        <v>745.44988316230956</v>
      </c>
      <c r="CN10" s="90">
        <f>CHOOSE(Método_temp_interior,IF(CLIMA[[#This Row],[ϴe por defecto]]&lt;=10,20,IF(CLIMA[[#This Row],[ϴe por defecto]]&gt;=20,25,0.5*(CLIMA[[#This Row],[ϴe por defecto]]-10)+20)),Temperatura_interior_fija)</f>
        <v>19</v>
      </c>
      <c r="CO10" s="152">
        <v>24.5</v>
      </c>
      <c r="CP10" s="90">
        <f>CHOOSE(Selector_temp_interior,CLIMA[[#This Row],[ϴi por defecto]],CLIMA[[#This Row],[ϴi usuario]])</f>
        <v>19</v>
      </c>
      <c r="CQ10" s="90">
        <f ca="1">CLIMA[[#This Row],[ϴi]]-CLIMA[[#This Row],[ϴe]]</f>
        <v>15.5</v>
      </c>
      <c r="CR10" s="90">
        <f>IF(CLIMA[[#This Row],[ϴi]]&gt;=0,610.5*EXP((17.269*CLIMA[[#This Row],[ϴi]])/(237.3+CLIMA[[#This Row],[ϴi]])),610.5*EXP((21.875*CLIMA[[#This Row],[ϴi]])/(265.5+CLIMA[[#This Row],[ϴi]])))</f>
        <v>2196.1512432322252</v>
      </c>
      <c r="CS10" s="152"/>
      <c r="CT10" s="152"/>
      <c r="CU10" s="90">
        <f ca="1">CHOOSE(Método_hr_interior,CHOOSE(tipo_de_clima,CLIMA[[#This Row],[Pi]]-CLIMA[[#This Row],[Pe]],IF(CLIMA[[#This Row],[ϴe]]&lt;=0,y0_Δp,IF(CLIMA[[#This Row],[ϴe]]&lt;=20,m_Δp*CLIMA[[#This Row],[ϴe]]+y0_Δp,y1_Δp))),(CLIMA[[#This Row],[G usuario]]/(CLIMA[[#This Row],[n usuario]]*V_aire))*R_v*(CLIMA[[#This Row],[ϴi]]+273),CLIMA[[#This Row],[Pi]]-CLIMA[[#This Row],[Pe]])</f>
        <v>901.66354926185932</v>
      </c>
      <c r="CV10" s="90">
        <f>CHOOSE(Método_hr_interior,CHOOSE(tipo_de_clima,CLIMA[[#This Row],[Psat(ϴi)]]*CLIMA[[#This Row],[ϕi]],CLIMA[[#This Row],[Pe]]+CLIMA[[#This Row],[Δp]]),CLIMA[[#This Row],[Pe]]+CLIMA[[#This Row],[Δp]],CLIMA[[#This Row],[Psat(ϴi)]]*CLIMA[[#This Row],[ϕi]])</f>
        <v>1647.1134324241689</v>
      </c>
      <c r="CW10"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10" s="153">
        <v>0.69</v>
      </c>
      <c r="CY10" s="6">
        <f>CHOOSE(Selector_HR_interior,CLIMA[[#This Row],[ϕi por defecto]],CLIMA[[#This Row],[ϕi usuario]])</f>
        <v>0.75</v>
      </c>
      <c r="CZ10" s="6">
        <f ca="1">CLIMA[[#This Row],[ϕi]]-CLIMA[[#This Row],[ϕe]]</f>
        <v>-0.19999999999999996</v>
      </c>
      <c r="FW10" s="60" t="s">
        <v>1493</v>
      </c>
      <c r="FX10" s="19" t="s">
        <v>1525</v>
      </c>
      <c r="FY10" s="302" t="str" cm="1">
        <f t="array" ref="FY10">"Secciones: "&amp;N_secciones&amp;", Capas: "&amp;N_capas</f>
        <v>Secciones: 2, Capas: 7</v>
      </c>
      <c r="FZ10" s="302" t="str" cm="1">
        <f t="array" ref="FZ10">"Secciones: "&amp;N_secciones&amp;", Capas: "&amp;N_capas</f>
        <v>Secciones: 2, Capas: 7</v>
      </c>
      <c r="GA10" s="302"/>
      <c r="GB10" s="309"/>
      <c r="GD10" s="11" t="s">
        <v>243</v>
      </c>
      <c r="GE10">
        <f>Anexo!$L$6</f>
        <v>4.2</v>
      </c>
      <c r="GF10" t="s">
        <v>135</v>
      </c>
      <c r="GH10" s="12"/>
    </row>
    <row r="11" spans="1:216" ht="14.65" thickBot="1" x14ac:dyDescent="0.5">
      <c r="B11" s="11" t="s">
        <v>241</v>
      </c>
      <c r="D11" s="47" t="b">
        <f>IF(tipo_elemento&lt;2,contacto_terreno_usuario,FALSE)</f>
        <v>0</v>
      </c>
      <c r="E11" s="12"/>
      <c r="AF11" s="19"/>
      <c r="AG11" s="176"/>
      <c r="AH11" s="20"/>
      <c r="AI11" s="21"/>
      <c r="AL11">
        <f>ROW()-ROW(INDEX(CAPAS[],1,1))+1</f>
        <v>7</v>
      </c>
      <c r="AM11" t="str" cm="1">
        <f t="array" aca="1" ref="AM11" ca="1">INDEX(SECCIONES_CAPAS[desc capa equivalente acum],MATCH(N_secciones&amp;"-"&amp;CAPAS[[#This Row],[Capa j]],SECCIONES_CAPAS[llave],0))</f>
        <v>Capa 7</v>
      </c>
      <c r="AN11" cm="1">
        <f t="array" ref="AN11">INDEX(DATOS[Espesor capas],CAPAS[[#This Row],[Capa j]]+2)</f>
        <v>0</v>
      </c>
      <c r="AO11">
        <f>IF(CAPAS[[#This Row],[Capa j]]=1,CAPAS[[#This Row],[d]],CAPAS[[#This Row],[d]]+AN10)</f>
        <v>0</v>
      </c>
      <c r="AP11">
        <f>SUMIF(SECCIONES_CAPAS[Capa],CAPAS[[#This Row],[Capa j]],SECCIONES_CAPAS[f/R])*CAPAS[[#This Row],[d]]</f>
        <v>0</v>
      </c>
      <c r="AQ11">
        <f>IFERROR(1/SUMIF(SECCIONES_CAPAS[Capa],CAPAS[[#This Row],[Capa j]],SECCIONES_CAPAS[f/R]),0)</f>
        <v>0</v>
      </c>
      <c r="BY11" s="11" t="s">
        <v>242</v>
      </c>
      <c r="BZ11">
        <v>3</v>
      </c>
      <c r="CA11" s="12"/>
      <c r="CD11" s="1">
        <v>8</v>
      </c>
      <c r="CE11" t="e" cm="1">
        <f t="array" ref="CE11">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11" t="e" cm="1">
        <f t="array" aca="1" ref="CF11" ca="1">(INDEX(CLIMA[ϴe por defecto],IF(CLIMA[[#This Row],[Mes]]-1&lt;1,12,CLIMA[[#This Row],[Mes]]-1))+ϴ_an)/2</f>
        <v>#N/A</v>
      </c>
      <c r="CG11" s="152">
        <v>19</v>
      </c>
      <c r="CH11" t="e">
        <f>CHOOSE(Selector_temp_exterior,IF(Suelo,CLIMA[[#This Row],[ϴe suelo]],CLIMA[[#This Row],[ϴe por defecto]]),CLIMA[[#This Row],[ϴe usuario]])</f>
        <v>#N/A</v>
      </c>
      <c r="CI11" s="91" t="e">
        <f>IF(CLIMA[[#This Row],[ϴe]]&gt;=0,610.5*EXP((17.269*CLIMA[[#This Row],[ϴe]])/(237.3+CLIMA[[#This Row],[ϴe]])),610.5*EXP((21.875*CLIMA[[#This Row],[ϴe]])/(265.5+CLIMA[[#This Row],[ϴe]])))</f>
        <v>#N/A</v>
      </c>
      <c r="CJ11" s="6" t="e" cm="1">
        <f t="array" ref="CJ11">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11" s="153">
        <v>0.75</v>
      </c>
      <c r="CL11" t="e">
        <f>CHOOSE(Selector_HR_exterior,CLIMA[[#This Row],[ϕe por defecto]],CLIMA[[#This Row],[ϕe usuario]])</f>
        <v>#N/A</v>
      </c>
      <c r="CM11" s="91" t="e">
        <f>CLIMA[[#This Row],[ϕe]]*CLIMA[[#This Row],[Psat(ϴe)]]</f>
        <v>#N/A</v>
      </c>
      <c r="CN11" s="90">
        <f>CHOOSE(Método_temp_interior,IF(CLIMA[[#This Row],[ϴe por defecto]]&lt;=10,20,IF(CLIMA[[#This Row],[ϴe por defecto]]&gt;=20,25,0.5*(CLIMA[[#This Row],[ϴe por defecto]]-10)+20)),Temperatura_interior_fija)</f>
        <v>19</v>
      </c>
      <c r="CO11" s="152">
        <v>24.5</v>
      </c>
      <c r="CP11" s="90">
        <f>CHOOSE(Selector_temp_interior,CLIMA[[#This Row],[ϴi por defecto]],CLIMA[[#This Row],[ϴi usuario]])</f>
        <v>19</v>
      </c>
      <c r="CQ11" s="90" t="e">
        <f>CLIMA[[#This Row],[ϴi]]-CLIMA[[#This Row],[ϴe]]</f>
        <v>#N/A</v>
      </c>
      <c r="CR11" s="90">
        <f>IF(CLIMA[[#This Row],[ϴi]]&gt;=0,610.5*EXP((17.269*CLIMA[[#This Row],[ϴi]])/(237.3+CLIMA[[#This Row],[ϴi]])),610.5*EXP((21.875*CLIMA[[#This Row],[ϴi]])/(265.5+CLIMA[[#This Row],[ϴi]])))</f>
        <v>2196.1512432322252</v>
      </c>
      <c r="CS11" s="152"/>
      <c r="CT11" s="152"/>
      <c r="CU11"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11" s="90">
        <f>CHOOSE(Método_hr_interior,CHOOSE(tipo_de_clima,CLIMA[[#This Row],[Psat(ϴi)]]*CLIMA[[#This Row],[ϕi]],CLIMA[[#This Row],[Pe]]+CLIMA[[#This Row],[Δp]]),CLIMA[[#This Row],[Pe]]+CLIMA[[#This Row],[Δp]],CLIMA[[#This Row],[Psat(ϴi)]]*CLIMA[[#This Row],[ϕi]])</f>
        <v>1647.1134324241689</v>
      </c>
      <c r="CW11"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11" s="153">
        <v>0.69</v>
      </c>
      <c r="CY11" s="6">
        <f>CHOOSE(Selector_HR_interior,CLIMA[[#This Row],[ϕi por defecto]],CLIMA[[#This Row],[ϕi usuario]])</f>
        <v>0.75</v>
      </c>
      <c r="CZ11" s="6" t="e">
        <f>CLIMA[[#This Row],[ϕi]]-CLIMA[[#This Row],[ϕe]]</f>
        <v>#N/A</v>
      </c>
      <c r="FW11" s="60" t="s">
        <v>1498</v>
      </c>
      <c r="FX11" s="11" t="s">
        <v>102</v>
      </c>
      <c r="FY11" s="301" t="str">
        <f>CHOOSE(método_acreditación_transmitancia,IF(contacto_terreno,"Cálculo según NCh3117.Of2018","Cálculo por método simplificado según NCh 853.Of2021"),"Valor R100 según NCh2251 2010","Ensayo según NCh851, de acuerdo con informe N° "&amp;Configuración!$D$9&amp;" de "&amp;Configuración!$F$9,"Solución del Listado Térmico, código "&amp;Configuración!$D$9&amp;" y de la edición "&amp;Configuración!$F$9)</f>
        <v>Cálculo por método simplificado según NCh 853.Of2021</v>
      </c>
      <c r="FZ11" s="301" t="str">
        <f>CHOOSE(método_acreditación_transmitancia,IF(contacto_terreno,"Cálculo según NCh3117.Of2018","Cálculo por método simplificado según NCh 853.Of2021"),"Valor R100 según NCh2251 2010","Ensayo según NCh851, de acuerdo con informe N° "&amp;Configuración!$D$9&amp;" de "&amp;Configuración!$F$9,"Solución del Listado Térmico, código "&amp;Configuración!$D$9&amp;" y de la edición "&amp;Configuración!$F$9)</f>
        <v>Cálculo por método simplificado según NCh 853.Of2021</v>
      </c>
      <c r="GA11" s="301"/>
      <c r="GB11" s="308"/>
      <c r="GD11" s="11" t="s">
        <v>246</v>
      </c>
      <c r="GE11">
        <f>Anexo!$L$7</f>
        <v>2.4</v>
      </c>
      <c r="GF11" t="s">
        <v>135</v>
      </c>
      <c r="GH11" s="12"/>
    </row>
    <row r="12" spans="1:216" ht="14.65" thickBot="1" x14ac:dyDescent="0.5">
      <c r="B12" s="19" t="s">
        <v>244</v>
      </c>
      <c r="C12" s="20"/>
      <c r="D12" s="304" t="b">
        <f>IF(tipo_elemento&lt;&gt;2,FALSE,IF(MATCH(Configuración!$D$19,R_espacios_techo[características del techo],0)&gt;1,TRUE,FALSE))</f>
        <v>0</v>
      </c>
      <c r="E12" s="21"/>
      <c r="AG12" s="2"/>
      <c r="AL12">
        <f>SUBTOTAL(103,CAPAS[Capa j])</f>
        <v>7</v>
      </c>
      <c r="AN12">
        <f>SUBTOTAL(109,CAPAS[d])</f>
        <v>0</v>
      </c>
      <c r="AQ12" s="139">
        <f>R_si+SUM(CAPAS[RTcapa])+IF(espacio_no_acondicionado,R_u_techo,0)+R_se</f>
        <v>0.17</v>
      </c>
      <c r="BY12" s="11" t="s">
        <v>1783</v>
      </c>
      <c r="BZ12" s="414">
        <f>Condensación!$C$11</f>
        <v>1</v>
      </c>
      <c r="CA12" s="12"/>
      <c r="CD12" s="1">
        <v>9</v>
      </c>
      <c r="CE12" t="e" cm="1">
        <f t="array" ref="CE12">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12" t="e" cm="1">
        <f t="array" ref="CF12">(INDEX(CLIMA[ϴe por defecto],IF(CLIMA[[#This Row],[Mes]]-1&lt;1,12,CLIMA[[#This Row],[Mes]]-1))+ϴ_an)/2</f>
        <v>#N/A</v>
      </c>
      <c r="CG12" s="152">
        <v>15</v>
      </c>
      <c r="CH12" t="e">
        <f>CHOOSE(Selector_temp_exterior,IF(Suelo,CLIMA[[#This Row],[ϴe suelo]],CLIMA[[#This Row],[ϴe por defecto]]),CLIMA[[#This Row],[ϴe usuario]])</f>
        <v>#N/A</v>
      </c>
      <c r="CI12" s="91" t="e">
        <f>IF(CLIMA[[#This Row],[ϴe]]&gt;=0,610.5*EXP((17.269*CLIMA[[#This Row],[ϴe]])/(237.3+CLIMA[[#This Row],[ϴe]])),610.5*EXP((21.875*CLIMA[[#This Row],[ϴe]])/(265.5+CLIMA[[#This Row],[ϴe]])))</f>
        <v>#N/A</v>
      </c>
      <c r="CJ12" s="6" t="e" cm="1">
        <f t="array" ref="CJ12">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12" s="153">
        <v>0.79</v>
      </c>
      <c r="CL12" t="e">
        <f>CHOOSE(Selector_HR_exterior,CLIMA[[#This Row],[ϕe por defecto]],CLIMA[[#This Row],[ϕe usuario]])</f>
        <v>#N/A</v>
      </c>
      <c r="CM12" s="91" t="e">
        <f>CLIMA[[#This Row],[ϕe]]*CLIMA[[#This Row],[Psat(ϴe)]]</f>
        <v>#N/A</v>
      </c>
      <c r="CN12" s="90">
        <f>CHOOSE(Método_temp_interior,IF(CLIMA[[#This Row],[ϴe por defecto]]&lt;=10,20,IF(CLIMA[[#This Row],[ϴe por defecto]]&gt;=20,25,0.5*(CLIMA[[#This Row],[ϴe por defecto]]-10)+20)),Temperatura_interior_fija)</f>
        <v>19</v>
      </c>
      <c r="CO12" s="152">
        <v>22.5</v>
      </c>
      <c r="CP12" s="90">
        <f>CHOOSE(Selector_temp_interior,CLIMA[[#This Row],[ϴi por defecto]],CLIMA[[#This Row],[ϴi usuario]])</f>
        <v>19</v>
      </c>
      <c r="CQ12" s="90" t="e">
        <f>CLIMA[[#This Row],[ϴi]]-CLIMA[[#This Row],[ϴe]]</f>
        <v>#N/A</v>
      </c>
      <c r="CR12" s="90">
        <f>IF(CLIMA[[#This Row],[ϴi]]&gt;=0,610.5*EXP((17.269*CLIMA[[#This Row],[ϴi]])/(237.3+CLIMA[[#This Row],[ϴi]])),610.5*EXP((21.875*CLIMA[[#This Row],[ϴi]])/(265.5+CLIMA[[#This Row],[ϴi]])))</f>
        <v>2196.1512432322252</v>
      </c>
      <c r="CS12" s="152"/>
      <c r="CT12" s="152"/>
      <c r="CU12"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12" s="90">
        <f>CHOOSE(Método_hr_interior,CHOOSE(tipo_de_clima,CLIMA[[#This Row],[Psat(ϴi)]]*CLIMA[[#This Row],[ϕi]],CLIMA[[#This Row],[Pe]]+CLIMA[[#This Row],[Δp]]),CLIMA[[#This Row],[Pe]]+CLIMA[[#This Row],[Δp]],CLIMA[[#This Row],[Psat(ϴi)]]*CLIMA[[#This Row],[ϕi]])</f>
        <v>1647.1134324241689</v>
      </c>
      <c r="CW12"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12" s="153">
        <v>0.65</v>
      </c>
      <c r="CY12" s="6">
        <f>CHOOSE(Selector_HR_interior,CLIMA[[#This Row],[ϕi por defecto]],CLIMA[[#This Row],[ϕi usuario]])</f>
        <v>0.75</v>
      </c>
      <c r="CZ12" s="6" t="e">
        <f>CLIMA[[#This Row],[ϕi]]-CLIMA[[#This Row],[ϕe]]</f>
        <v>#N/A</v>
      </c>
      <c r="FW12" s="60" t="s">
        <v>1498</v>
      </c>
      <c r="FX12" s="11" t="s">
        <v>1497</v>
      </c>
      <c r="FY12" s="301" t="str">
        <f>CHOOSE(método_acreditación_transmitancia,"U [W/m²K]","Valor R100","U [W/m²K]","U [W/m²K]")</f>
        <v>U [W/m²K]</v>
      </c>
      <c r="FZ12" s="301" t="str">
        <f>CHOOSE(método_acreditación_transmitancia,"U [W/m²K]","Valor R100","U [W/m²K]","U [W/m²K]")</f>
        <v>U [W/m²K]</v>
      </c>
      <c r="GA12" s="301"/>
      <c r="GB12" s="308"/>
      <c r="GD12" s="11"/>
      <c r="GH12" s="12"/>
    </row>
    <row r="13" spans="1:216" ht="14.65" thickBot="1" x14ac:dyDescent="0.5">
      <c r="AF13" s="26" t="s">
        <v>247</v>
      </c>
      <c r="AG13" s="177"/>
      <c r="AH13" s="33"/>
      <c r="AI13" s="34"/>
      <c r="BY13" s="11" t="s">
        <v>245</v>
      </c>
      <c r="BZ13">
        <f>IF(ϕsicr_usuario&gt;0,ϕsicr_usuario,IF((Método_temperatura_exterior=3)+(Método_humedad_relativa_exterior=3),1,ϕsicr_defecto))</f>
        <v>1</v>
      </c>
      <c r="CA13" s="12"/>
      <c r="CD13" s="1">
        <v>10</v>
      </c>
      <c r="CE13" t="e" cm="1">
        <f t="array" ref="CE13">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13" t="e" cm="1">
        <f t="array" ref="CF13">(INDEX(CLIMA[ϴe por defecto],IF(CLIMA[[#This Row],[Mes]]-1&lt;1,12,CLIMA[[#This Row],[Mes]]-1))+ϴ_an)/2</f>
        <v>#N/A</v>
      </c>
      <c r="CG13" s="152">
        <v>10</v>
      </c>
      <c r="CH13" t="e">
        <f>CHOOSE(Selector_temp_exterior,IF(Suelo,CLIMA[[#This Row],[ϴe suelo]],CLIMA[[#This Row],[ϴe por defecto]]),CLIMA[[#This Row],[ϴe usuario]])</f>
        <v>#N/A</v>
      </c>
      <c r="CI13" s="91" t="e">
        <f>IF(CLIMA[[#This Row],[ϴe]]&gt;=0,610.5*EXP((17.269*CLIMA[[#This Row],[ϴe]])/(237.3+CLIMA[[#This Row],[ϴe]])),610.5*EXP((21.875*CLIMA[[#This Row],[ϴe]])/(265.5+CLIMA[[#This Row],[ϴe]])))</f>
        <v>#N/A</v>
      </c>
      <c r="CJ13" s="6" t="e" cm="1">
        <f t="array" ref="CJ13">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13" s="153">
        <v>0.83</v>
      </c>
      <c r="CL13" t="e">
        <f>CHOOSE(Selector_HR_exterior,CLIMA[[#This Row],[ϕe por defecto]],CLIMA[[#This Row],[ϕe usuario]])</f>
        <v>#N/A</v>
      </c>
      <c r="CM13" s="91" t="e">
        <f>CLIMA[[#This Row],[ϕe]]*CLIMA[[#This Row],[Psat(ϴe)]]</f>
        <v>#N/A</v>
      </c>
      <c r="CN13" s="90">
        <f>CHOOSE(Método_temp_interior,IF(CLIMA[[#This Row],[ϴe por defecto]]&lt;=10,20,IF(CLIMA[[#This Row],[ϴe por defecto]]&gt;=20,25,0.5*(CLIMA[[#This Row],[ϴe por defecto]]-10)+20)),Temperatura_interior_fija)</f>
        <v>19</v>
      </c>
      <c r="CO13" s="152">
        <v>20</v>
      </c>
      <c r="CP13" s="90">
        <f>CHOOSE(Selector_temp_interior,CLIMA[[#This Row],[ϴi por defecto]],CLIMA[[#This Row],[ϴi usuario]])</f>
        <v>19</v>
      </c>
      <c r="CQ13" s="90" t="e">
        <f>CLIMA[[#This Row],[ϴi]]-CLIMA[[#This Row],[ϴe]]</f>
        <v>#N/A</v>
      </c>
      <c r="CR13" s="90">
        <f>IF(CLIMA[[#This Row],[ϴi]]&gt;=0,610.5*EXP((17.269*CLIMA[[#This Row],[ϴi]])/(237.3+CLIMA[[#This Row],[ϴi]])),610.5*EXP((21.875*CLIMA[[#This Row],[ϴi]])/(265.5+CLIMA[[#This Row],[ϴi]])))</f>
        <v>2196.1512432322252</v>
      </c>
      <c r="CS13" s="152"/>
      <c r="CT13" s="152"/>
      <c r="CU13"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13" s="90">
        <f>CHOOSE(Método_hr_interior,CHOOSE(tipo_de_clima,CLIMA[[#This Row],[Psat(ϴi)]]*CLIMA[[#This Row],[ϕi]],CLIMA[[#This Row],[Pe]]+CLIMA[[#This Row],[Δp]]),CLIMA[[#This Row],[Pe]]+CLIMA[[#This Row],[Δp]],CLIMA[[#This Row],[Psat(ϴi)]]*CLIMA[[#This Row],[ϕi]])</f>
        <v>1647.1134324241689</v>
      </c>
      <c r="CW13"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13" s="153">
        <v>0.6</v>
      </c>
      <c r="CY13" s="6">
        <f>CHOOSE(Selector_HR_interior,CLIMA[[#This Row],[ϕi por defecto]],CLIMA[[#This Row],[ϕi usuario]])</f>
        <v>0.75</v>
      </c>
      <c r="CZ13" s="6" t="e">
        <f>CLIMA[[#This Row],[ϕi]]-CLIMA[[#This Row],[ϕe]]</f>
        <v>#N/A</v>
      </c>
      <c r="FW13" s="60" t="s">
        <v>1498</v>
      </c>
      <c r="FX13" s="11" t="s">
        <v>1498</v>
      </c>
      <c r="FY13" s="301" t="str">
        <f>IFERROR(CHOOSE(método_acreditación_transmitancia,"≤ ","≥ ","≤ ","≤ ")&amp;$AH$44&amp;IF(método_acreditación_transmitancia&lt;&gt;2," [W/m²K]",""),"")</f>
        <v>≤ 0,6 [W/m²K]</v>
      </c>
      <c r="FZ13" s="301" t="str">
        <f>IFERROR(CHOOSE(método_acreditación_transmitancia,"≤ ","≥ ","≤ ","≤ ")&amp;$AH$44&amp;IF(método_acreditación_transmitancia&lt;&gt;2," [W/m²K]",""),"")</f>
        <v>≤ 0,6 [W/m²K]</v>
      </c>
      <c r="GA13" s="301"/>
      <c r="GB13" s="159"/>
      <c r="GD13" s="11"/>
      <c r="GE13" t="s">
        <v>138</v>
      </c>
      <c r="GF13" t="s">
        <v>139</v>
      </c>
      <c r="GG13" t="s">
        <v>140</v>
      </c>
      <c r="GH13" s="12" t="s">
        <v>252</v>
      </c>
    </row>
    <row r="14" spans="1:216" ht="14.65" thickBot="1" x14ac:dyDescent="0.5">
      <c r="B14" s="1" t="s">
        <v>253</v>
      </c>
      <c r="AF14" s="185" t="s">
        <v>249</v>
      </c>
      <c r="AG14" s="298" t="s">
        <v>250</v>
      </c>
      <c r="AH14" s="50" cm="1">
        <f t="array" ref="AH14">INDEX(lista_rsi,dirección_flujo)</f>
        <v>0.13</v>
      </c>
      <c r="AI14" s="186" t="s">
        <v>100</v>
      </c>
      <c r="BY14" s="11" t="s">
        <v>1609</v>
      </c>
      <c r="BZ14">
        <v>1</v>
      </c>
      <c r="CA14" s="12"/>
      <c r="CD14" s="1">
        <v>11</v>
      </c>
      <c r="CE14" t="e" cm="1">
        <f t="array" ref="CE14">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14" t="e" cm="1">
        <f t="array" ref="CF14">(INDEX(CLIMA[ϴe por defecto],IF(CLIMA[[#This Row],[Mes]]-1&lt;1,12,CLIMA[[#This Row],[Mes]]-1))+ϴ_an)/2</f>
        <v>#N/A</v>
      </c>
      <c r="CG14" s="152">
        <v>5</v>
      </c>
      <c r="CH14" t="e">
        <f>CHOOSE(Selector_temp_exterior,IF(Suelo,CLIMA[[#This Row],[ϴe suelo]],CLIMA[[#This Row],[ϴe por defecto]]),CLIMA[[#This Row],[ϴe usuario]])</f>
        <v>#N/A</v>
      </c>
      <c r="CI14" s="91" t="e">
        <f>IF(CLIMA[[#This Row],[ϴe]]&gt;=0,610.5*EXP((17.269*CLIMA[[#This Row],[ϴe]])/(237.3+CLIMA[[#This Row],[ϴe]])),610.5*EXP((21.875*CLIMA[[#This Row],[ϴe]])/(265.5+CLIMA[[#This Row],[ϴe]])))</f>
        <v>#N/A</v>
      </c>
      <c r="CJ14" s="6" t="e" cm="1">
        <f t="array" ref="CJ14">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14" s="153">
        <v>0.88</v>
      </c>
      <c r="CL14" t="e">
        <f>CHOOSE(Selector_HR_exterior,CLIMA[[#This Row],[ϕe por defecto]],CLIMA[[#This Row],[ϕe usuario]])</f>
        <v>#N/A</v>
      </c>
      <c r="CM14" s="91" t="e">
        <f>CLIMA[[#This Row],[ϕe]]*CLIMA[[#This Row],[Psat(ϴe)]]</f>
        <v>#N/A</v>
      </c>
      <c r="CN14" s="90">
        <f>CHOOSE(Método_temp_interior,IF(CLIMA[[#This Row],[ϴe por defecto]]&lt;=10,20,IF(CLIMA[[#This Row],[ϴe por defecto]]&gt;=20,25,0.5*(CLIMA[[#This Row],[ϴe por defecto]]-10)+20)),Temperatura_interior_fija)</f>
        <v>19</v>
      </c>
      <c r="CO14" s="152">
        <v>20</v>
      </c>
      <c r="CP14" s="90">
        <f>CHOOSE(Selector_temp_interior,CLIMA[[#This Row],[ϴi por defecto]],CLIMA[[#This Row],[ϴi usuario]])</f>
        <v>19</v>
      </c>
      <c r="CQ14" s="90" t="e">
        <f>CLIMA[[#This Row],[ϴi]]-CLIMA[[#This Row],[ϴe]]</f>
        <v>#N/A</v>
      </c>
      <c r="CR14" s="90">
        <f>IF(CLIMA[[#This Row],[ϴi]]&gt;=0,610.5*EXP((17.269*CLIMA[[#This Row],[ϴi]])/(237.3+CLIMA[[#This Row],[ϴi]])),610.5*EXP((21.875*CLIMA[[#This Row],[ϴi]])/(265.5+CLIMA[[#This Row],[ϴi]])))</f>
        <v>2196.1512432322252</v>
      </c>
      <c r="CS14" s="152"/>
      <c r="CT14" s="152"/>
      <c r="CU14"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14" s="90">
        <f>CHOOSE(Método_hr_interior,CHOOSE(tipo_de_clima,CLIMA[[#This Row],[Psat(ϴi)]]*CLIMA[[#This Row],[ϕi]],CLIMA[[#This Row],[Pe]]+CLIMA[[#This Row],[Δp]]),CLIMA[[#This Row],[Pe]]+CLIMA[[#This Row],[Δp]],CLIMA[[#This Row],[Psat(ϴi)]]*CLIMA[[#This Row],[ϕi]])</f>
        <v>1647.1134324241689</v>
      </c>
      <c r="CW14"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14" s="153">
        <v>0.55000000000000004</v>
      </c>
      <c r="CY14" s="6">
        <f>CHOOSE(Selector_HR_interior,CLIMA[[#This Row],[ϕi por defecto]],CLIMA[[#This Row],[ϕi usuario]])</f>
        <v>0.75</v>
      </c>
      <c r="CZ14" s="6" t="e">
        <f>CLIMA[[#This Row],[ϕi]]-CLIMA[[#This Row],[ϕe]]</f>
        <v>#N/A</v>
      </c>
      <c r="FW14" s="60" t="s">
        <v>1498</v>
      </c>
      <c r="FX14" s="11" t="s">
        <v>1513</v>
      </c>
      <c r="FY14" s="301" t="str" cm="1">
        <f t="array" ref="FY14">IFERROR(CHOOSE(método_acreditación_transmitancia,IF(contacto_terreno,U_wg_b,U_corregida)&amp;" [W/m²K]",R_100,U_usuario,U_usuario),"")</f>
        <v/>
      </c>
      <c r="FZ14" s="301" t="str" cm="1">
        <f t="array" ref="FZ14">IFERROR(CHOOSE(método_acreditación_transmitancia,IF(contacto_terreno,U_wg_b,U_corregida)&amp;" [W/m²K]",R_100,U_usuario,U_usuario),"")</f>
        <v/>
      </c>
      <c r="GA14" s="301"/>
      <c r="GB14" s="159"/>
      <c r="GD14" s="11" t="s">
        <v>141</v>
      </c>
      <c r="GE14" s="47" t="str">
        <f>IF(ISBLANK(Anexo!L10),"",Anexo!L10)</f>
        <v>2x5</v>
      </c>
      <c r="GF14" s="47" t="str">
        <f>IF(ISBLANK(Anexo!M10),"",Anexo!M10)</f>
        <v>2x4</v>
      </c>
      <c r="GG14" s="47" t="str">
        <f>IF(ISBLANK(Anexo!N10),"",Anexo!N10)</f>
        <v>2x4</v>
      </c>
      <c r="GH14" s="51" t="str">
        <f>IF(ISBLANK(Anexo!O10),"",Anexo!O10)</f>
        <v/>
      </c>
    </row>
    <row r="15" spans="1:216" ht="14.65" thickBot="1" x14ac:dyDescent="0.5">
      <c r="B15" t="s">
        <v>111</v>
      </c>
      <c r="C15" t="s">
        <v>256</v>
      </c>
      <c r="D15" t="s">
        <v>257</v>
      </c>
      <c r="E15" t="s">
        <v>1463</v>
      </c>
      <c r="F15" t="s">
        <v>6</v>
      </c>
      <c r="G15" t="s">
        <v>3</v>
      </c>
      <c r="H15" t="s">
        <v>1464</v>
      </c>
      <c r="I15" t="s">
        <v>1518</v>
      </c>
      <c r="J15" t="s">
        <v>1519</v>
      </c>
      <c r="K15" t="s">
        <v>1790</v>
      </c>
      <c r="L15" t="s">
        <v>258</v>
      </c>
      <c r="M15" t="s">
        <v>259</v>
      </c>
      <c r="N15" s="47" t="s">
        <v>1785</v>
      </c>
      <c r="O15" s="47" t="s">
        <v>194</v>
      </c>
      <c r="P15" s="47" t="s">
        <v>260</v>
      </c>
      <c r="Q15" s="47" t="s">
        <v>261</v>
      </c>
      <c r="R15" s="47" t="s">
        <v>262</v>
      </c>
      <c r="S15" s="47" t="s">
        <v>34</v>
      </c>
      <c r="T15" s="47" t="s">
        <v>263</v>
      </c>
      <c r="U15" s="47" t="s">
        <v>264</v>
      </c>
      <c r="V15" s="47" t="s">
        <v>265</v>
      </c>
      <c r="W15" s="47" t="s">
        <v>195</v>
      </c>
      <c r="X15" s="374" t="s">
        <v>266</v>
      </c>
      <c r="Y15" s="47" t="s">
        <v>267</v>
      </c>
      <c r="Z15" s="375" t="s">
        <v>268</v>
      </c>
      <c r="AA15" s="375" t="s">
        <v>1803</v>
      </c>
      <c r="AB15" s="47" t="s">
        <v>269</v>
      </c>
      <c r="AC15" s="47" t="s">
        <v>270</v>
      </c>
      <c r="AD15" s="47" t="s">
        <v>271</v>
      </c>
      <c r="AF15" s="11" t="s">
        <v>254</v>
      </c>
      <c r="AG15" s="2" t="s">
        <v>255</v>
      </c>
      <c r="AH15" cm="1">
        <f t="array" ref="AH15">IF(contacto_terreno,0,IF(espacio_no_acondicionado,R_si,INDEX(lista_rse,dirección_flujo)))</f>
        <v>0.04</v>
      </c>
      <c r="AI15" s="12" t="s">
        <v>100</v>
      </c>
      <c r="BY15" s="11" t="s">
        <v>248</v>
      </c>
      <c r="BZ15">
        <f>IF((Método_temperatura_exterior=3)*(Método_humedad_relativa_exterior=3)+(Método_temperatura_exterior=4)*(Método_humedad_relativa_exterior=4),7,$BZ$14)</f>
        <v>7</v>
      </c>
      <c r="CA15" s="12"/>
      <c r="CD15" s="1">
        <v>12</v>
      </c>
      <c r="CE15" t="e" cm="1">
        <f t="array" ref="CE15">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15" t="e" cm="1">
        <f t="array" ref="CF15">(INDEX(CLIMA[ϴe por defecto],IF(CLIMA[[#This Row],[Mes]]-1&lt;1,12,CLIMA[[#This Row],[Mes]]-1))+ϴ_an)/2</f>
        <v>#N/A</v>
      </c>
      <c r="CG15" s="152">
        <v>1</v>
      </c>
      <c r="CH15" t="e">
        <f>CHOOSE(Selector_temp_exterior,IF(Suelo,CLIMA[[#This Row],[ϴe suelo]],CLIMA[[#This Row],[ϴe por defecto]]),CLIMA[[#This Row],[ϴe usuario]])</f>
        <v>#N/A</v>
      </c>
      <c r="CI15" s="91" t="e">
        <f>IF(CLIMA[[#This Row],[ϴe]]&gt;=0,610.5*EXP((17.269*CLIMA[[#This Row],[ϴe]])/(237.3+CLIMA[[#This Row],[ϴe]])),610.5*EXP((21.875*CLIMA[[#This Row],[ϴe]])/(265.5+CLIMA[[#This Row],[ϴe]])))</f>
        <v>#N/A</v>
      </c>
      <c r="CJ15" s="6" t="e" cm="1">
        <f t="array" ref="CJ15">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15" s="153">
        <v>0.88</v>
      </c>
      <c r="CL15" t="e">
        <f>CHOOSE(Selector_HR_exterior,CLIMA[[#This Row],[ϕe por defecto]],CLIMA[[#This Row],[ϕe usuario]])</f>
        <v>#N/A</v>
      </c>
      <c r="CM15" s="91" t="e">
        <f>CLIMA[[#This Row],[ϕe]]*CLIMA[[#This Row],[Psat(ϴe)]]</f>
        <v>#N/A</v>
      </c>
      <c r="CN15" s="90">
        <f>CHOOSE(Método_temp_interior,IF(CLIMA[[#This Row],[ϴe por defecto]]&lt;=10,20,IF(CLIMA[[#This Row],[ϴe por defecto]]&gt;=20,25,0.5*(CLIMA[[#This Row],[ϴe por defecto]]-10)+20)),Temperatura_interior_fija)</f>
        <v>19</v>
      </c>
      <c r="CO15" s="152">
        <v>20</v>
      </c>
      <c r="CP15" s="90">
        <f>CHOOSE(Selector_temp_interior,CLIMA[[#This Row],[ϴi por defecto]],CLIMA[[#This Row],[ϴi usuario]])</f>
        <v>19</v>
      </c>
      <c r="CQ15" s="90" t="e">
        <f>CLIMA[[#This Row],[ϴi]]-CLIMA[[#This Row],[ϴe]]</f>
        <v>#N/A</v>
      </c>
      <c r="CR15" s="90">
        <f>IF(CLIMA[[#This Row],[ϴi]]&gt;=0,610.5*EXP((17.269*CLIMA[[#This Row],[ϴi]])/(237.3+CLIMA[[#This Row],[ϴi]])),610.5*EXP((21.875*CLIMA[[#This Row],[ϴi]])/(265.5+CLIMA[[#This Row],[ϴi]])))</f>
        <v>2196.1512432322252</v>
      </c>
      <c r="CS15" s="152"/>
      <c r="CT15" s="152"/>
      <c r="CU15"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15" s="90">
        <f>CHOOSE(Método_hr_interior,CHOOSE(tipo_de_clima,CLIMA[[#This Row],[Psat(ϴi)]]*CLIMA[[#This Row],[ϕi]],CLIMA[[#This Row],[Pe]]+CLIMA[[#This Row],[Δp]]),CLIMA[[#This Row],[Pe]]+CLIMA[[#This Row],[Δp]],CLIMA[[#This Row],[Psat(ϴi)]]*CLIMA[[#This Row],[ϕi]])</f>
        <v>1647.1134324241689</v>
      </c>
      <c r="CW15"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15" s="153">
        <v>0.51</v>
      </c>
      <c r="CY15" s="6">
        <f>CHOOSE(Selector_HR_interior,CLIMA[[#This Row],[ϕi por defecto]],CLIMA[[#This Row],[ϕi usuario]])</f>
        <v>0.75</v>
      </c>
      <c r="CZ15" s="6" t="e">
        <f>CLIMA[[#This Row],[ϕi]]-CLIMA[[#This Row],[ϕe]]</f>
        <v>#N/A</v>
      </c>
      <c r="DA15" s="90"/>
      <c r="FW15" s="60" t="s">
        <v>1498</v>
      </c>
      <c r="FX15" s="11" t="s">
        <v>1515</v>
      </c>
      <c r="FY15" s="315" t="str">
        <f>IF(método_acreditación_transmitancia=1,$AH$24,"n/a")</f>
        <v/>
      </c>
      <c r="FZ15" s="315" t="str">
        <f>IF(método_acreditación_transmitancia=1,$AH$24,"n/a")</f>
        <v/>
      </c>
      <c r="GA15" s="301"/>
      <c r="GB15" s="308"/>
      <c r="GD15" s="11"/>
      <c r="GE15" s="47" t="str">
        <f>IF(ISBLANK(Anexo!L11),"",Anexo!L11)</f>
        <v>cepillado</v>
      </c>
      <c r="GF15" s="47" t="str">
        <f>IF(ISBLANK(Anexo!M11),"",Anexo!M11)</f>
        <v>cepillado</v>
      </c>
      <c r="GG15" s="47" t="str">
        <f>IF(ISBLANK(Anexo!N11),"",Anexo!N11)</f>
        <v>cepillado</v>
      </c>
      <c r="GH15" s="51"/>
    </row>
    <row r="16" spans="1:216" ht="14.65" thickBot="1" x14ac:dyDescent="0.5">
      <c r="B16" cm="1">
        <f t="array" ref="B16">ROUNDUP((ROW()-ROW(INDEX(SECCIONES_CAPAS[],1,1))+1)/N_capas,0)</f>
        <v>1</v>
      </c>
      <c r="C16" cm="1">
        <f t="array" ref="C16">(ROW()-ROW(INDEX(SECCIONES_CAPAS[],1,1))+1)-(SECCIONES_CAPAS[[#This Row],[Sección]]-1)*N_capas</f>
        <v>1</v>
      </c>
      <c r="D16" t="str">
        <f>SECCIONES_CAPAS[[#This Row],[Sección]]&amp;"-"&amp;SECCIONES_CAPAS[[#This Row],[Capa]]</f>
        <v>1-1</v>
      </c>
      <c r="E16" cm="1">
        <f t="array" ref="E16">INDEX(DATOS[],2+SECCIONES_CAPAS[[#This Row],[Capa]],2+SECCIONES_CAPAS[[#This Row],[Sección]])</f>
        <v>0</v>
      </c>
      <c r="F16" t="str">
        <f>IFERROR(INDEX(MATERIALES[Abreviatura],MATCH(SECCIONES_CAPAS[[#This Row],[Material nombre largo]],MATERIALES[Nombre largo],0)),"Capa "&amp;SECCIONES_CAPAS[[#This Row],[Capa]])</f>
        <v>Capa 1</v>
      </c>
      <c r="G16" t="e">
        <f>INDEX(MATERIALES[Biblioteca],MATCH(SECCIONES_CAPAS[[#This Row],[Material nombre largo]],MATERIALES[Nombre largo],0))</f>
        <v>#N/A</v>
      </c>
      <c r="H16" t="e">
        <f>INDEX(MATERIALES[Material],MATCH(SECCIONES_CAPAS[[#This Row],[Material nombre largo]],MATERIALES[Nombre largo],0))</f>
        <v>#N/A</v>
      </c>
      <c r="I16" t="str">
        <f>SECCIONES_CAPAS[[#This Row],[Abreviatura]]&amp;" "&amp;SECCIONES_CAPAS[[#This Row],[d]]*1000&amp;" mm"</f>
        <v>Capa 1 0 mm</v>
      </c>
      <c r="J16" t="str" cm="1">
        <f t="array" aca="1" ref="J16" ca="1">IF(SECCIONES_CAPAS[[#This Row],[Capa]]=1,SECCIONES_CAPAS[[#This Row],[descripción auto]],INDIRECT(ADDRESS(ROW()-1,COLUMN(),4))&amp;" + "&amp;SECCIONES_CAPAS[[#This Row],[descripción auto]])</f>
        <v>Capa 1 0 mm</v>
      </c>
      <c r="K16" t="str" cm="1">
        <f t="array" aca="1" ref="K16"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1</v>
      </c>
      <c r="L16" t="b">
        <f>IF(SECCIONES_CAPAS[[#This Row],[Material nombre largo]]=Aux!$H$29,TRUE,FALSE)</f>
        <v>0</v>
      </c>
      <c r="M16" t="b" cm="1">
        <f t="array" aca="1" ref="M16" ca="1">IFERROR(IF(SECCIONES_CAPAS[[#This Row],[Cámara aire no ventilada]]*INDIRECT(ADDRESS(ROW()+1,COLUMN(),4))+INDIRECT(ADDRESS(ROW()-1,COLUMN(SECCIONES_CAPAS[[#This Row],[Cámara aire no ventilada]]),4))*SECCIONES_CAPAS[[#This Row],[Cámara aire no ventilada]],TRUE,FALSE),FALSE)</f>
        <v>0</v>
      </c>
      <c r="O16" s="47" cm="1">
        <f t="array" ref="O16">IF(SECCIONES_CAPAS[[#This Row],[Material nombre largo]]=0,0,INDEX(CAPAS[d],SECCIONES_CAPAS[[#This Row],[Capa]]))</f>
        <v>0</v>
      </c>
      <c r="P16" s="47" t="e">
        <f>MATCH(INDEX(MATERIALES[Propiedad térmica],MATCH(SECCIONES_CAPAS[[#This Row],[Material nombre largo]],MATERIALES[Nombre largo],0)),Aux!$H$18:$H$19,0)</f>
        <v>#N/A</v>
      </c>
      <c r="Q16" s="47">
        <f>IF(ISERROR(SECCIONES_CAPAS[[#This Row],[índice prop térmica]]),1,0)</f>
        <v>1</v>
      </c>
      <c r="R16" s="373" cm="1">
        <f t="array" ref="R16">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16" s="373" t="b">
        <f>IF((SECCIONES_CAPAS[[#This Row],[λ]]&lt;0.1)*(SECCIONES_CAPAS[[#This Row],[λ]]&gt;0),TRUE,FALSE)</f>
        <v>0</v>
      </c>
      <c r="T16" s="47" cm="1">
        <f t="array" ref="T16">INDEX(SECCIONES[f],SECCIONES_CAPAS[[#This Row],[Sección]])*SECCIONES_CAPAS[[#This Row],[λ]]</f>
        <v>0</v>
      </c>
      <c r="U16" s="47" cm="1">
        <f t="array" ref="U16">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16" s="47">
        <f>IFERROR(INDEX(SECCIONES[f],MATCH(SECCIONES_CAPAS[[#This Row],[Sección]],SECCIONES[Sección m],0))/SECCIONES_CAPAS[[#This Row],[R]],0)</f>
        <v>0</v>
      </c>
      <c r="W16" s="47">
        <f>IF(SECCIONES_CAPAS[[#This Row],[Capa]]=1,SECCIONES_CAPAS[[#This Row],[d]],SECCIONES_CAPAS[[#This Row],[d]]+W15)</f>
        <v>0</v>
      </c>
      <c r="X16" s="374" cm="1">
        <f t="array" aca="1" ref="X16" ca="1">IF(SECCIONES_CAPAS[[#This Row],[Capa]]=1,IF(contacto_terreno,Resistencia_térmica_2m_tierra+SECCIONES_CAPAS[[#This Row],[R]],R_se+SECCIONES_CAPAS[[#This Row],[R]]),INDIRECT(ADDRESS(ROW()-1,COLUMN(),4))+SECCIONES_CAPAS[[#This Row],[R]])</f>
        <v>0.04</v>
      </c>
      <c r="Y16" s="47" t="e">
        <f>MATCH(INDEX(MATERIALES[Propiedad difusión de vapor],MATCH(SECCIONES_CAPAS[[#This Row],[Material nombre largo]],MATERIALES[Nombre largo],0)),Aux!$H$20:$H$27,0)</f>
        <v>#N/A</v>
      </c>
      <c r="Z16"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16" s="375" t="e">
        <f>IF(INDEX(MATERIALES[Valor propiedad difusión de vapor],MATCH(SECCIONES_CAPAS[[#This Row],[Material nombre largo]],MATERIALES[Nombre largo],0))=Aux!$C$112,TRUE,FALSE)</f>
        <v>#N/A</v>
      </c>
      <c r="AB16" s="373" cm="1">
        <f t="array" ref="AB16">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16" s="47" cm="1">
        <f t="array" aca="1" ref="AC16" ca="1">IF(SECCIONES_CAPAS[[#This Row],[Capa]]=1,SECCIONES_CAPAS[[#This Row],[Sd]],SECCIONES_CAPAS[[#This Row],[Sd]]+INDIRECT(ADDRESS(ROW()-1,COLUMN(),4)))</f>
        <v>0</v>
      </c>
      <c r="AD16" s="47">
        <f>IF(ISERROR(SECCIONES_CAPAS[[#This Row],[Sd]]),1,0)</f>
        <v>0</v>
      </c>
      <c r="AF16" s="11" t="s">
        <v>1395</v>
      </c>
      <c r="AH16" t="b">
        <f>IF(método_acreditación_transmitancia=3,FALSE,IF(SUM(SECCIONES[verif error sección térmico])&gt;0,TRUE,FALSE))</f>
        <v>1</v>
      </c>
      <c r="AI16" s="12"/>
      <c r="BY16" s="11" t="s">
        <v>1486</v>
      </c>
      <c r="BZ16">
        <f>2/λ_terreno_defecto</f>
        <v>1</v>
      </c>
      <c r="CA16" s="12" t="s">
        <v>369</v>
      </c>
      <c r="CD16" s="1"/>
      <c r="CE16" t="e">
        <f>CHOOSE(Método_temperatura_exterior,
INDEX(DATOS_TEMPERATURA_MEDIA_ZT[Media anual],MATCH(Zona_Térmica_condensación,DATOS_TEMPERATURA_MEDIA_ZT[Zona térmica],0)),
INDEX(DATOS_TEMPERATURA_MEDIA[Diciembre],MATCH(Usuario_estación_meteorológica,DATOS_TEMPERATURA_MEDIA[Estación Meteorológica],0)),
NA(),
NA())</f>
        <v>#N/A</v>
      </c>
      <c r="CG16" s="90">
        <f>IFERROR(SUBTOTAL(101,CLIMA[ϴe usuario]),"")</f>
        <v>9.4166666666666661</v>
      </c>
      <c r="CH16" s="90" t="e">
        <f>SUBTOTAL(101,CLIMA[ϴe])</f>
        <v>#N/A</v>
      </c>
      <c r="CI16" s="91"/>
      <c r="CJ16" s="6"/>
      <c r="CK16" s="6"/>
      <c r="CM16" s="91"/>
      <c r="CN16" s="90"/>
      <c r="CP16" s="90"/>
      <c r="CQ16" s="90"/>
      <c r="CR16" s="90"/>
      <c r="CS16" s="90"/>
      <c r="CT16" s="90"/>
      <c r="CU16" s="90"/>
      <c r="CV16" s="90"/>
      <c r="CW16" s="6"/>
      <c r="CX16" s="6"/>
      <c r="CY16" s="6"/>
      <c r="EL16" t="s">
        <v>1177</v>
      </c>
      <c r="EM16">
        <v>7</v>
      </c>
      <c r="FW16" s="60" t="s">
        <v>1498</v>
      </c>
      <c r="FX16" s="19" t="s">
        <v>1631</v>
      </c>
      <c r="FY16" s="302">
        <f>IFERROR(Cumple_exigencia_térmica,0)</f>
        <v>0</v>
      </c>
      <c r="FZ16" s="302">
        <f>IFERROR(Cumple_exigencia_térmica,0)</f>
        <v>0</v>
      </c>
      <c r="GA16" s="302"/>
      <c r="GB16" s="309"/>
      <c r="GD16" s="11" t="s">
        <v>243</v>
      </c>
      <c r="GE16" s="47" cm="1">
        <f t="array" ref="GE16">IFERROR(CHOOSE(MATCH(GE$15,Aux!$B$59:$B$60,0),INDEX(Aux!$C$49:$D$57,MATCH(GE$14,lista_escuadrias,0)-1,1),INDEX(Aux!$E$49:$F$57,MATCH(GE$14,lista_escuadrias,0)-1,1))/1000,0)</f>
        <v>4.1000000000000002E-2</v>
      </c>
      <c r="GF16" s="47" cm="1">
        <f t="array" ref="GF16">IFERROR(CHOOSE(MATCH(GF$15,Aux!$B$59:$B$60,0),INDEX(Aux!$C$49:$D$57,MATCH(GF$14,lista_escuadrias,0)-1,1),INDEX(Aux!$E$49:$F$57,MATCH(GF$14,lista_escuadrias,0)-1,1))/1000,0)</f>
        <v>4.1000000000000002E-2</v>
      </c>
      <c r="GG16" s="47" cm="1">
        <f t="array" ref="GG16">IFERROR(CHOOSE(MATCH(GG$15,Aux!$B$59:$B$60,0),INDEX(Aux!$C$49:$D$57,MATCH(GG$14,lista_escuadrias,0)-1,1),INDEX(Aux!$E$49:$F$57,MATCH(GG$14,lista_escuadrias,0)-1,1))/1000,0)</f>
        <v>4.1000000000000002E-2</v>
      </c>
      <c r="GH16" s="51"/>
    </row>
    <row r="17" spans="2:195" ht="14.65" thickBot="1" x14ac:dyDescent="0.5">
      <c r="B17" cm="1">
        <f t="array" ref="B17">ROUNDUP((ROW()-ROW(INDEX(SECCIONES_CAPAS[],1,1))+1)/N_capas,0)</f>
        <v>1</v>
      </c>
      <c r="C17" cm="1">
        <f t="array" ref="C17">(ROW()-ROW(INDEX(SECCIONES_CAPAS[],1,1))+1)-(SECCIONES_CAPAS[[#This Row],[Sección]]-1)*N_capas</f>
        <v>2</v>
      </c>
      <c r="D17" t="str">
        <f>SECCIONES_CAPAS[[#This Row],[Sección]]&amp;"-"&amp;SECCIONES_CAPAS[[#This Row],[Capa]]</f>
        <v>1-2</v>
      </c>
      <c r="E17" cm="1">
        <f t="array" ref="E17">INDEX(DATOS[],2+SECCIONES_CAPAS[[#This Row],[Capa]],2+SECCIONES_CAPAS[[#This Row],[Sección]])</f>
        <v>0</v>
      </c>
      <c r="F17" t="str">
        <f>IFERROR(INDEX(MATERIALES[Abreviatura],MATCH(SECCIONES_CAPAS[[#This Row],[Material nombre largo]],MATERIALES[Nombre largo],0)),"Capa "&amp;SECCIONES_CAPAS[[#This Row],[Capa]])</f>
        <v>Capa 2</v>
      </c>
      <c r="G17" t="e">
        <f>INDEX(MATERIALES[Biblioteca],MATCH(SECCIONES_CAPAS[[#This Row],[Material nombre largo]],MATERIALES[Nombre largo],0))</f>
        <v>#N/A</v>
      </c>
      <c r="H17" t="e">
        <f>INDEX(MATERIALES[Material],MATCH(SECCIONES_CAPAS[[#This Row],[Material nombre largo]],MATERIALES[Nombre largo],0))</f>
        <v>#N/A</v>
      </c>
      <c r="I17" t="str">
        <f>SECCIONES_CAPAS[[#This Row],[Abreviatura]]&amp;" "&amp;SECCIONES_CAPAS[[#This Row],[d]]*1000&amp;" mm"</f>
        <v>Capa 2 0 mm</v>
      </c>
      <c r="J17" t="str" cm="1">
        <f t="array" aca="1" ref="J17" ca="1">IF(SECCIONES_CAPAS[[#This Row],[Capa]]=1,SECCIONES_CAPAS[[#This Row],[descripción auto]],INDIRECT(ADDRESS(ROW()-1,COLUMN(),4))&amp;" + "&amp;SECCIONES_CAPAS[[#This Row],[descripción auto]])</f>
        <v>Capa 1 0 mm + Capa 2 0 mm</v>
      </c>
      <c r="K17" t="str" cm="1">
        <f t="array" aca="1" ref="K17"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2</v>
      </c>
      <c r="L17" t="b">
        <f>IF(SECCIONES_CAPAS[[#This Row],[Material nombre largo]]=Aux!$H$29,TRUE,FALSE)</f>
        <v>0</v>
      </c>
      <c r="M17" t="b" cm="1">
        <f t="array" aca="1" ref="M17" ca="1">IFERROR(IF(SECCIONES_CAPAS[[#This Row],[Cámara aire no ventilada]]*INDIRECT(ADDRESS(ROW()+1,COLUMN(),4))+INDIRECT(ADDRESS(ROW()-1,COLUMN(SECCIONES_CAPAS[[#This Row],[Cámara aire no ventilada]]),4))*SECCIONES_CAPAS[[#This Row],[Cámara aire no ventilada]],TRUE,FALSE),FALSE)</f>
        <v>0</v>
      </c>
      <c r="O17" s="47" cm="1">
        <f t="array" ref="O17">IF(SECCIONES_CAPAS[[#This Row],[Material nombre largo]]=0,0,INDEX(CAPAS[d],SECCIONES_CAPAS[[#This Row],[Capa]]))</f>
        <v>0</v>
      </c>
      <c r="P17" s="47" t="e">
        <f>MATCH(INDEX(MATERIALES[Propiedad térmica],MATCH(SECCIONES_CAPAS[[#This Row],[Material nombre largo]],MATERIALES[Nombre largo],0)),Aux!$H$18:$H$19,0)</f>
        <v>#N/A</v>
      </c>
      <c r="Q17" s="47">
        <f>IF(ISERROR(SECCIONES_CAPAS[[#This Row],[índice prop térmica]]),1,0)</f>
        <v>1</v>
      </c>
      <c r="R17" s="373" cm="1">
        <f t="array" ref="R17">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17" s="373" t="b">
        <f>IF((SECCIONES_CAPAS[[#This Row],[λ]]&lt;0.1)*(SECCIONES_CAPAS[[#This Row],[λ]]&gt;0),TRUE,FALSE)</f>
        <v>0</v>
      </c>
      <c r="T17" s="47" cm="1">
        <f t="array" ref="T17">INDEX(SECCIONES[f],SECCIONES_CAPAS[[#This Row],[Sección]])*SECCIONES_CAPAS[[#This Row],[λ]]</f>
        <v>0</v>
      </c>
      <c r="U17" s="47" cm="1">
        <f t="array" ref="U17">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17" s="47">
        <f>IFERROR(INDEX(SECCIONES[f],MATCH(SECCIONES_CAPAS[[#This Row],[Sección]],SECCIONES[Sección m],0))/SECCIONES_CAPAS[[#This Row],[R]],0)</f>
        <v>0</v>
      </c>
      <c r="W17" s="47">
        <f>IF(SECCIONES_CAPAS[[#This Row],[Capa]]=1,SECCIONES_CAPAS[[#This Row],[d]],SECCIONES_CAPAS[[#This Row],[d]]+W16)</f>
        <v>0</v>
      </c>
      <c r="X17" s="374" cm="1">
        <f t="array" aca="1" ref="X17" ca="1">IF(SECCIONES_CAPAS[[#This Row],[Capa]]=1,IF(contacto_terreno,Resistencia_térmica_2m_tierra+SECCIONES_CAPAS[[#This Row],[R]],R_se+SECCIONES_CAPAS[[#This Row],[R]]),INDIRECT(ADDRESS(ROW()-1,COLUMN(),4))+SECCIONES_CAPAS[[#This Row],[R]])</f>
        <v>0.04</v>
      </c>
      <c r="Y17" s="47" t="e">
        <f>MATCH(INDEX(MATERIALES[Propiedad difusión de vapor],MATCH(SECCIONES_CAPAS[[#This Row],[Material nombre largo]],MATERIALES[Nombre largo],0)),Aux!$H$20:$H$27,0)</f>
        <v>#N/A</v>
      </c>
      <c r="Z17"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17" s="375" t="e">
        <f>IF(INDEX(MATERIALES[Valor propiedad difusión de vapor],MATCH(SECCIONES_CAPAS[[#This Row],[Material nombre largo]],MATERIALES[Nombre largo],0))=Aux!$C$112,TRUE,FALSE)</f>
        <v>#N/A</v>
      </c>
      <c r="AB17" s="373" cm="1">
        <f t="array" ref="AB17">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17" s="47" cm="1">
        <f t="array" aca="1" ref="AC17" ca="1">IF(SECCIONES_CAPAS[[#This Row],[Capa]]=1,SECCIONES_CAPAS[[#This Row],[Sd]],SECCIONES_CAPAS[[#This Row],[Sd]]+INDIRECT(ADDRESS(ROW()-1,COLUMN(),4)))</f>
        <v>0</v>
      </c>
      <c r="AD17" s="47">
        <f>IF(ISERROR(SECCIONES_CAPAS[[#This Row],[Sd]]),1,0)</f>
        <v>0</v>
      </c>
      <c r="AF17" s="11" t="s">
        <v>272</v>
      </c>
      <c r="AG17" s="2" t="s">
        <v>273</v>
      </c>
      <c r="AH17" s="36">
        <f>CAPAS[[#Totals],[RTcapa]]</f>
        <v>0.17</v>
      </c>
      <c r="AI17" s="12" t="s">
        <v>100</v>
      </c>
      <c r="BY17" s="11" t="s">
        <v>251</v>
      </c>
      <c r="BZ17">
        <v>0</v>
      </c>
      <c r="CA17" s="12" t="s">
        <v>1186</v>
      </c>
      <c r="CD17" s="1"/>
      <c r="CI17" s="91"/>
      <c r="CJ17" s="6"/>
      <c r="CK17" s="6"/>
      <c r="CM17" s="91"/>
      <c r="CN17" s="90"/>
      <c r="CP17" s="90"/>
      <c r="CQ17" s="90"/>
      <c r="CR17" s="90"/>
      <c r="CS17" s="90"/>
      <c r="CT17" s="90"/>
      <c r="CU17" s="90"/>
      <c r="CV17" s="6"/>
      <c r="CW17" s="6"/>
      <c r="CX17" s="6"/>
      <c r="EL17" t="s">
        <v>168</v>
      </c>
      <c r="EM17">
        <f>IF((Método_temperatura_exterior=3)+(Método_humedad_relativa_exterior=3),7,$EM$16+(Mes_inicial_de_análisis-1)-12*IF($EM$16&gt;(12-Mes_inicial_de_análisis+1),1,0))</f>
        <v>7</v>
      </c>
      <c r="FW17" s="60" t="s">
        <v>1501</v>
      </c>
      <c r="FX17" s="11" t="s">
        <v>1502</v>
      </c>
      <c r="FY17" s="303">
        <f ca="1">ROUND($BZ$42,3)</f>
        <v>0.44500000000000001</v>
      </c>
      <c r="FZ17" s="303">
        <f ca="1">ROUND($BZ$42,3)</f>
        <v>0.44500000000000001</v>
      </c>
      <c r="GA17" s="301"/>
      <c r="GB17" s="308"/>
      <c r="GD17" s="11" t="s">
        <v>280</v>
      </c>
      <c r="GE17" s="47" cm="1">
        <f t="array" ref="GE17">IFERROR(CHOOSE(MATCH(GE$15,Aux!$B$59:$B$60,0),INDEX(Aux!$C$49:$D$57,MATCH(GE$14,lista_escuadrias,0)-1,2),INDEX(Aux!$E$49:$F$57,MATCH(GE$14,lista_escuadrias,0)-1,2))/1000,0)</f>
        <v>0.114</v>
      </c>
      <c r="GF17" s="47" cm="1">
        <f t="array" ref="GF17">IFERROR(CHOOSE(MATCH(GF$15,Aux!$B$59:$B$60,0),INDEX(Aux!$C$49:$D$57,MATCH(GF$14,lista_escuadrias,0)-1,2),INDEX(Aux!$E$49:$F$57,MATCH(GF$14,lista_escuadrias,0)-1,2))/1000,0)</f>
        <v>0.09</v>
      </c>
      <c r="GG17" s="47" cm="1">
        <f t="array" ref="GG17">IFERROR(CHOOSE(MATCH(GG$15,Aux!$B$59:$B$60,0),INDEX(Aux!$C$49:$D$57,MATCH(GG$14,lista_escuadrias,0)-1,2),INDEX(Aux!$E$49:$F$57,MATCH(GG$14,lista_escuadrias,0)-1,2))/1000,0)</f>
        <v>0.09</v>
      </c>
      <c r="GH17" s="51"/>
    </row>
    <row r="18" spans="2:195" ht="14.65" thickBot="1" x14ac:dyDescent="0.5">
      <c r="B18" cm="1">
        <f t="array" ref="B18">ROUNDUP((ROW()-ROW(INDEX(SECCIONES_CAPAS[],1,1))+1)/N_capas,0)</f>
        <v>1</v>
      </c>
      <c r="C18" cm="1">
        <f t="array" ref="C18">(ROW()-ROW(INDEX(SECCIONES_CAPAS[],1,1))+1)-(SECCIONES_CAPAS[[#This Row],[Sección]]-1)*N_capas</f>
        <v>3</v>
      </c>
      <c r="D18" t="str">
        <f>SECCIONES_CAPAS[[#This Row],[Sección]]&amp;"-"&amp;SECCIONES_CAPAS[[#This Row],[Capa]]</f>
        <v>1-3</v>
      </c>
      <c r="E18" cm="1">
        <f t="array" ref="E18">INDEX(DATOS[],2+SECCIONES_CAPAS[[#This Row],[Capa]],2+SECCIONES_CAPAS[[#This Row],[Sección]])</f>
        <v>0</v>
      </c>
      <c r="F18" t="str">
        <f>IFERROR(INDEX(MATERIALES[Abreviatura],MATCH(SECCIONES_CAPAS[[#This Row],[Material nombre largo]],MATERIALES[Nombre largo],0)),"Capa "&amp;SECCIONES_CAPAS[[#This Row],[Capa]])</f>
        <v>Capa 3</v>
      </c>
      <c r="G18" t="e">
        <f>INDEX(MATERIALES[Biblioteca],MATCH(SECCIONES_CAPAS[[#This Row],[Material nombre largo]],MATERIALES[Nombre largo],0))</f>
        <v>#N/A</v>
      </c>
      <c r="H18" t="e">
        <f>INDEX(MATERIALES[Material],MATCH(SECCIONES_CAPAS[[#This Row],[Material nombre largo]],MATERIALES[Nombre largo],0))</f>
        <v>#N/A</v>
      </c>
      <c r="I18" t="str">
        <f>SECCIONES_CAPAS[[#This Row],[Abreviatura]]&amp;" "&amp;SECCIONES_CAPAS[[#This Row],[d]]*1000&amp;" mm"</f>
        <v>Capa 3 0 mm</v>
      </c>
      <c r="J18" t="str" cm="1">
        <f t="array" aca="1" ref="J18" ca="1">IF(SECCIONES_CAPAS[[#This Row],[Capa]]=1,SECCIONES_CAPAS[[#This Row],[descripción auto]],INDIRECT(ADDRESS(ROW()-1,COLUMN(),4))&amp;" + "&amp;SECCIONES_CAPAS[[#This Row],[descripción auto]])</f>
        <v>Capa 1 0 mm + Capa 2 0 mm + Capa 3 0 mm</v>
      </c>
      <c r="K18" t="str" cm="1">
        <f t="array" aca="1" ref="K18"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3</v>
      </c>
      <c r="L18" t="b">
        <f>IF(SECCIONES_CAPAS[[#This Row],[Material nombre largo]]=Aux!$H$29,TRUE,FALSE)</f>
        <v>0</v>
      </c>
      <c r="M18" t="b" cm="1">
        <f t="array" aca="1" ref="M18" ca="1">IFERROR(IF(SECCIONES_CAPAS[[#This Row],[Cámara aire no ventilada]]*INDIRECT(ADDRESS(ROW()+1,COLUMN(),4))+INDIRECT(ADDRESS(ROW()-1,COLUMN(SECCIONES_CAPAS[[#This Row],[Cámara aire no ventilada]]),4))*SECCIONES_CAPAS[[#This Row],[Cámara aire no ventilada]],TRUE,FALSE),FALSE)</f>
        <v>0</v>
      </c>
      <c r="O18" s="47" cm="1">
        <f t="array" ref="O18">IF(SECCIONES_CAPAS[[#This Row],[Material nombre largo]]=0,0,INDEX(CAPAS[d],SECCIONES_CAPAS[[#This Row],[Capa]]))</f>
        <v>0</v>
      </c>
      <c r="P18" s="47" t="e">
        <f>MATCH(INDEX(MATERIALES[Propiedad térmica],MATCH(SECCIONES_CAPAS[[#This Row],[Material nombre largo]],MATERIALES[Nombre largo],0)),Aux!$H$18:$H$19,0)</f>
        <v>#N/A</v>
      </c>
      <c r="Q18" s="47">
        <f>IF(ISERROR(SECCIONES_CAPAS[[#This Row],[índice prop térmica]]),1,0)</f>
        <v>1</v>
      </c>
      <c r="R18" s="373" cm="1">
        <f t="array" ref="R18">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18" s="373" t="b">
        <f>IF((SECCIONES_CAPAS[[#This Row],[λ]]&lt;0.1)*(SECCIONES_CAPAS[[#This Row],[λ]]&gt;0),TRUE,FALSE)</f>
        <v>0</v>
      </c>
      <c r="T18" s="47" cm="1">
        <f t="array" ref="T18">INDEX(SECCIONES[f],SECCIONES_CAPAS[[#This Row],[Sección]])*SECCIONES_CAPAS[[#This Row],[λ]]</f>
        <v>0</v>
      </c>
      <c r="U18" s="47" cm="1">
        <f t="array" ref="U18">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18" s="47">
        <f>IFERROR(INDEX(SECCIONES[f],MATCH(SECCIONES_CAPAS[[#This Row],[Sección]],SECCIONES[Sección m],0))/SECCIONES_CAPAS[[#This Row],[R]],0)</f>
        <v>0</v>
      </c>
      <c r="W18" s="47">
        <f>IF(SECCIONES_CAPAS[[#This Row],[Capa]]=1,SECCIONES_CAPAS[[#This Row],[d]],SECCIONES_CAPAS[[#This Row],[d]]+W17)</f>
        <v>0</v>
      </c>
      <c r="X18" s="374" cm="1">
        <f t="array" aca="1" ref="X18" ca="1">IF(SECCIONES_CAPAS[[#This Row],[Capa]]=1,IF(contacto_terreno,Resistencia_térmica_2m_tierra+SECCIONES_CAPAS[[#This Row],[R]],R_se+SECCIONES_CAPAS[[#This Row],[R]]),INDIRECT(ADDRESS(ROW()-1,COLUMN(),4))+SECCIONES_CAPAS[[#This Row],[R]])</f>
        <v>0.04</v>
      </c>
      <c r="Y18" s="47" t="e">
        <f>MATCH(INDEX(MATERIALES[Propiedad difusión de vapor],MATCH(SECCIONES_CAPAS[[#This Row],[Material nombre largo]],MATERIALES[Nombre largo],0)),Aux!$H$20:$H$27,0)</f>
        <v>#N/A</v>
      </c>
      <c r="Z18"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18" s="375" t="e">
        <f>IF(INDEX(MATERIALES[Valor propiedad difusión de vapor],MATCH(SECCIONES_CAPAS[[#This Row],[Material nombre largo]],MATERIALES[Nombre largo],0))=Aux!$C$112,TRUE,FALSE)</f>
        <v>#N/A</v>
      </c>
      <c r="AB18" s="373" cm="1">
        <f t="array" ref="AB18">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18" s="47" cm="1">
        <f t="array" aca="1" ref="AC18" ca="1">IF(SECCIONES_CAPAS[[#This Row],[Capa]]=1,SECCIONES_CAPAS[[#This Row],[Sd]],SECCIONES_CAPAS[[#This Row],[Sd]]+INDIRECT(ADDRESS(ROW()-1,COLUMN(),4)))</f>
        <v>0</v>
      </c>
      <c r="AD18" s="47">
        <f>IF(ISERROR(SECCIONES_CAPAS[[#This Row],[Sd]]),1,0)</f>
        <v>0</v>
      </c>
      <c r="AF18" s="11" t="s">
        <v>275</v>
      </c>
      <c r="AG18" s="2" t="s">
        <v>276</v>
      </c>
      <c r="AH18" s="36" t="e">
        <f>SECCIONES[[#Totals],[f/Rtsección]]</f>
        <v>#DIV/0!</v>
      </c>
      <c r="AI18" s="12" t="s">
        <v>100</v>
      </c>
      <c r="BY18" s="11" t="s">
        <v>1832</v>
      </c>
      <c r="BZ18" t="b">
        <f>IF(Condensación!$C$12="Sí",TRUE,FALSE)</f>
        <v>0</v>
      </c>
      <c r="CA18" s="12"/>
      <c r="CD18" s="1" t="s">
        <v>110</v>
      </c>
      <c r="CK18" s="1" t="s">
        <v>110</v>
      </c>
      <c r="CN18">
        <f>ROW()+1</f>
        <v>19</v>
      </c>
      <c r="CP18" s="1" t="s">
        <v>124</v>
      </c>
      <c r="CW18" s="1" t="s">
        <v>124</v>
      </c>
      <c r="EL18" t="s">
        <v>111</v>
      </c>
      <c r="EM18">
        <f>MATCH(Condensación!$D$53,lista_secciones,0)</f>
        <v>1</v>
      </c>
      <c r="FW18" s="60" t="s">
        <v>1501</v>
      </c>
      <c r="FX18" s="11" t="s">
        <v>1503</v>
      </c>
      <c r="FY18" s="301">
        <f>ROUND(MIN(SECCIONES[Rtsección_condensación]),3)</f>
        <v>0.17</v>
      </c>
      <c r="FZ18" s="301">
        <f>ROUND(MIN(SECCIONES[Rtsección_condensación]),3)</f>
        <v>0.17</v>
      </c>
      <c r="GA18" s="301"/>
      <c r="GB18" s="308"/>
      <c r="GD18" s="11"/>
      <c r="GE18" s="47" t="str">
        <f>IF(ISBLANK(Anexo!L14),"",Anexo!L14)</f>
        <v>n/a</v>
      </c>
      <c r="GF18" s="47">
        <f>IF(ISBLANK(Anexo!M14),"",Anexo!M14)</f>
        <v>0.6</v>
      </c>
      <c r="GG18" s="47">
        <f>IF(ISBLANK(Anexo!N14)+(Anexo!N14=0),0,Anexo!N14)</f>
        <v>0</v>
      </c>
      <c r="GH18" s="51"/>
    </row>
    <row r="19" spans="2:195" ht="14.65" thickBot="1" x14ac:dyDescent="0.5">
      <c r="B19" cm="1">
        <f t="array" ref="B19">ROUNDUP((ROW()-ROW(INDEX(SECCIONES_CAPAS[],1,1))+1)/N_capas,0)</f>
        <v>1</v>
      </c>
      <c r="C19" cm="1">
        <f t="array" ref="C19">(ROW()-ROW(INDEX(SECCIONES_CAPAS[],1,1))+1)-(SECCIONES_CAPAS[[#This Row],[Sección]]-1)*N_capas</f>
        <v>4</v>
      </c>
      <c r="D19" t="str">
        <f>SECCIONES_CAPAS[[#This Row],[Sección]]&amp;"-"&amp;SECCIONES_CAPAS[[#This Row],[Capa]]</f>
        <v>1-4</v>
      </c>
      <c r="E19" cm="1">
        <f t="array" ref="E19">INDEX(DATOS[],2+SECCIONES_CAPAS[[#This Row],[Capa]],2+SECCIONES_CAPAS[[#This Row],[Sección]])</f>
        <v>0</v>
      </c>
      <c r="F19" t="str">
        <f>IFERROR(INDEX(MATERIALES[Abreviatura],MATCH(SECCIONES_CAPAS[[#This Row],[Material nombre largo]],MATERIALES[Nombre largo],0)),"Capa "&amp;SECCIONES_CAPAS[[#This Row],[Capa]])</f>
        <v>Capa 4</v>
      </c>
      <c r="G19" t="e">
        <f>INDEX(MATERIALES[Biblioteca],MATCH(SECCIONES_CAPAS[[#This Row],[Material nombre largo]],MATERIALES[Nombre largo],0))</f>
        <v>#N/A</v>
      </c>
      <c r="H19" t="e">
        <f>INDEX(MATERIALES[Material],MATCH(SECCIONES_CAPAS[[#This Row],[Material nombre largo]],MATERIALES[Nombre largo],0))</f>
        <v>#N/A</v>
      </c>
      <c r="I19" t="str">
        <f>SECCIONES_CAPAS[[#This Row],[Abreviatura]]&amp;" "&amp;SECCIONES_CAPAS[[#This Row],[d]]*1000&amp;" mm"</f>
        <v>Capa 4 0 mm</v>
      </c>
      <c r="J19" t="str" cm="1">
        <f t="array" aca="1" ref="J19" ca="1">IF(SECCIONES_CAPAS[[#This Row],[Capa]]=1,SECCIONES_CAPAS[[#This Row],[descripción auto]],INDIRECT(ADDRESS(ROW()-1,COLUMN(),4))&amp;" + "&amp;SECCIONES_CAPAS[[#This Row],[descripción auto]])</f>
        <v>Capa 1 0 mm + Capa 2 0 mm + Capa 3 0 mm + Capa 4 0 mm</v>
      </c>
      <c r="K19" t="str" cm="1">
        <f t="array" aca="1" ref="K19"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4</v>
      </c>
      <c r="L19" t="b">
        <f>IF(SECCIONES_CAPAS[[#This Row],[Material nombre largo]]=Aux!$H$29,TRUE,FALSE)</f>
        <v>0</v>
      </c>
      <c r="M19" t="b" cm="1">
        <f t="array" aca="1" ref="M19" ca="1">IFERROR(IF(SECCIONES_CAPAS[[#This Row],[Cámara aire no ventilada]]*INDIRECT(ADDRESS(ROW()+1,COLUMN(),4))+INDIRECT(ADDRESS(ROW()-1,COLUMN(SECCIONES_CAPAS[[#This Row],[Cámara aire no ventilada]]),4))*SECCIONES_CAPAS[[#This Row],[Cámara aire no ventilada]],TRUE,FALSE),FALSE)</f>
        <v>0</v>
      </c>
      <c r="O19" s="47" cm="1">
        <f t="array" ref="O19">IF(SECCIONES_CAPAS[[#This Row],[Material nombre largo]]=0,0,INDEX(CAPAS[d],SECCIONES_CAPAS[[#This Row],[Capa]]))</f>
        <v>0</v>
      </c>
      <c r="P19" s="47" t="e">
        <f>MATCH(INDEX(MATERIALES[Propiedad térmica],MATCH(SECCIONES_CAPAS[[#This Row],[Material nombre largo]],MATERIALES[Nombre largo],0)),Aux!$H$18:$H$19,0)</f>
        <v>#N/A</v>
      </c>
      <c r="Q19" s="47">
        <f>IF(ISERROR(SECCIONES_CAPAS[[#This Row],[índice prop térmica]]),1,0)</f>
        <v>1</v>
      </c>
      <c r="R19" s="373" cm="1">
        <f t="array" ref="R19">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19" s="373" t="b">
        <f>IF((SECCIONES_CAPAS[[#This Row],[λ]]&lt;0.1)*(SECCIONES_CAPAS[[#This Row],[λ]]&gt;0),TRUE,FALSE)</f>
        <v>0</v>
      </c>
      <c r="T19" s="47" cm="1">
        <f t="array" ref="T19">INDEX(SECCIONES[f],SECCIONES_CAPAS[[#This Row],[Sección]])*SECCIONES_CAPAS[[#This Row],[λ]]</f>
        <v>0</v>
      </c>
      <c r="U19" s="47" cm="1">
        <f t="array" ref="U19">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19" s="47">
        <f>IFERROR(INDEX(SECCIONES[f],MATCH(SECCIONES_CAPAS[[#This Row],[Sección]],SECCIONES[Sección m],0))/SECCIONES_CAPAS[[#This Row],[R]],0)</f>
        <v>0</v>
      </c>
      <c r="W19" s="47">
        <f>IF(SECCIONES_CAPAS[[#This Row],[Capa]]=1,SECCIONES_CAPAS[[#This Row],[d]],SECCIONES_CAPAS[[#This Row],[d]]+W18)</f>
        <v>0</v>
      </c>
      <c r="X19" s="374" cm="1">
        <f t="array" aca="1" ref="X19" ca="1">IF(SECCIONES_CAPAS[[#This Row],[Capa]]=1,IF(contacto_terreno,Resistencia_térmica_2m_tierra+SECCIONES_CAPAS[[#This Row],[R]],R_se+SECCIONES_CAPAS[[#This Row],[R]]),INDIRECT(ADDRESS(ROW()-1,COLUMN(),4))+SECCIONES_CAPAS[[#This Row],[R]])</f>
        <v>0.04</v>
      </c>
      <c r="Y19" s="47" t="e">
        <f>MATCH(INDEX(MATERIALES[Propiedad difusión de vapor],MATCH(SECCIONES_CAPAS[[#This Row],[Material nombre largo]],MATERIALES[Nombre largo],0)),Aux!$H$20:$H$27,0)</f>
        <v>#N/A</v>
      </c>
      <c r="Z19"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19" s="375" t="e">
        <f>IF(INDEX(MATERIALES[Valor propiedad difusión de vapor],MATCH(SECCIONES_CAPAS[[#This Row],[Material nombre largo]],MATERIALES[Nombre largo],0))=Aux!$C$112,TRUE,FALSE)</f>
        <v>#N/A</v>
      </c>
      <c r="AB19" s="373" cm="1">
        <f t="array" ref="AB19">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19" s="47" cm="1">
        <f t="array" aca="1" ref="AC19" ca="1">IF(SECCIONES_CAPAS[[#This Row],[Capa]]=1,SECCIONES_CAPAS[[#This Row],[Sd]],SECCIONES_CAPAS[[#This Row],[Sd]]+INDIRECT(ADDRESS(ROW()-1,COLUMN(),4)))</f>
        <v>0</v>
      </c>
      <c r="AD19" s="47">
        <f>IF(ISERROR(SECCIONES_CAPAS[[#This Row],[Sd]]),1,0)</f>
        <v>0</v>
      </c>
      <c r="AF19" s="11" t="s">
        <v>278</v>
      </c>
      <c r="AG19" s="2" t="s">
        <v>279</v>
      </c>
      <c r="AH19" s="36" t="e">
        <f>(R_tot_inf+R_tot_sup)/2</f>
        <v>#DIV/0!</v>
      </c>
      <c r="AI19" s="12" t="s">
        <v>100</v>
      </c>
      <c r="BY19" s="19" t="s">
        <v>1782</v>
      </c>
      <c r="BZ19" s="20">
        <f>IF($BZ$18,IF(tipo_elemento&lt;&gt;2,Rsi_mobiliario,R_si),R_si)</f>
        <v>0.13</v>
      </c>
      <c r="CA19" s="21" t="s">
        <v>369</v>
      </c>
      <c r="CB19" s="11"/>
      <c r="CD19" s="122" t="s">
        <v>168</v>
      </c>
      <c r="CE19" s="122" t="s">
        <v>285</v>
      </c>
      <c r="CF19" s="122" t="s">
        <v>286</v>
      </c>
      <c r="CG19" s="122" t="s">
        <v>287</v>
      </c>
      <c r="CH19" s="122" t="s">
        <v>288</v>
      </c>
      <c r="CI19" s="122" t="s">
        <v>289</v>
      </c>
      <c r="CJ19" s="1"/>
      <c r="CK19" s="46" t="s">
        <v>168</v>
      </c>
      <c r="CL19" s="1" t="s">
        <v>111</v>
      </c>
      <c r="CM19" s="1" t="s">
        <v>257</v>
      </c>
      <c r="CN19" t="s">
        <v>290</v>
      </c>
      <c r="CP19" s="1" t="s">
        <v>291</v>
      </c>
      <c r="CQ19" s="46" t="s">
        <v>168</v>
      </c>
      <c r="CR19" s="46" t="s">
        <v>111</v>
      </c>
      <c r="CS19" t="s">
        <v>257</v>
      </c>
      <c r="CT19" t="s">
        <v>292</v>
      </c>
      <c r="CU19" t="s">
        <v>293</v>
      </c>
      <c r="CW19" t="s">
        <v>168</v>
      </c>
      <c r="CX19" t="s">
        <v>111</v>
      </c>
      <c r="CY19" t="s">
        <v>256</v>
      </c>
      <c r="CZ19" t="s">
        <v>294</v>
      </c>
      <c r="DA19" t="s">
        <v>295</v>
      </c>
      <c r="DB19" t="s">
        <v>296</v>
      </c>
      <c r="DC19" t="s">
        <v>269</v>
      </c>
      <c r="DD19" t="s">
        <v>270</v>
      </c>
      <c r="DE19" t="s">
        <v>297</v>
      </c>
      <c r="DF19" t="s">
        <v>298</v>
      </c>
      <c r="DG19" s="108" t="s">
        <v>290</v>
      </c>
      <c r="DH19" s="108" t="s">
        <v>299</v>
      </c>
      <c r="DI19" s="108" t="s">
        <v>300</v>
      </c>
      <c r="DJ19" s="108" t="s">
        <v>301</v>
      </c>
      <c r="DK19" s="108" t="s">
        <v>302</v>
      </c>
      <c r="DL19" s="108" t="s">
        <v>303</v>
      </c>
      <c r="DM19" s="108" t="s">
        <v>304</v>
      </c>
      <c r="DN19" s="108" t="s">
        <v>305</v>
      </c>
      <c r="DO19" s="108" t="s">
        <v>306</v>
      </c>
      <c r="DP19" s="108" t="s">
        <v>307</v>
      </c>
      <c r="DQ19" s="111" t="s">
        <v>308</v>
      </c>
      <c r="DR19" s="111" t="s">
        <v>309</v>
      </c>
      <c r="DS19" s="111" t="s">
        <v>310</v>
      </c>
      <c r="DT19" s="111" t="s">
        <v>311</v>
      </c>
      <c r="DU19" s="111" t="s">
        <v>312</v>
      </c>
      <c r="DV19" s="111" t="s">
        <v>313</v>
      </c>
      <c r="DW19" s="111" t="s">
        <v>314</v>
      </c>
      <c r="DX19" s="111" t="s">
        <v>315</v>
      </c>
      <c r="DY19" s="111" t="s">
        <v>316</v>
      </c>
      <c r="DZ19" s="111" t="s">
        <v>317</v>
      </c>
      <c r="EA19" s="114" t="s">
        <v>318</v>
      </c>
      <c r="EB19" s="114" t="s">
        <v>319</v>
      </c>
      <c r="EC19" s="114" t="s">
        <v>320</v>
      </c>
      <c r="ED19" s="114" t="s">
        <v>321</v>
      </c>
      <c r="EE19" s="114" t="s">
        <v>322</v>
      </c>
      <c r="EF19" s="114" t="s">
        <v>323</v>
      </c>
      <c r="EG19" s="114" t="s">
        <v>324</v>
      </c>
      <c r="EH19" s="114" t="s">
        <v>325</v>
      </c>
      <c r="EI19" s="114" t="s">
        <v>326</v>
      </c>
      <c r="EL19" t="s">
        <v>210</v>
      </c>
      <c r="EM19" cm="1">
        <f t="array" ref="EM19">ROUND(INDEX(SECCIONES[SdT],Gráf_sección),1)</f>
        <v>0</v>
      </c>
      <c r="FW19" s="60" t="s">
        <v>1501</v>
      </c>
      <c r="FX19" s="11" t="s">
        <v>1632</v>
      </c>
      <c r="FY19" s="301">
        <f ca="1">Cumple_sistema_C_Sup</f>
        <v>0</v>
      </c>
      <c r="FZ19" s="301">
        <f ca="1">Cumple_sistema_C_Sup</f>
        <v>0</v>
      </c>
      <c r="GA19" s="301"/>
      <c r="GB19" s="308"/>
      <c r="GD19" s="11" t="s">
        <v>150</v>
      </c>
      <c r="GE19" s="47" t="str">
        <f>IF(ISBLANK(Anexo!L15),"",Anexo!L15)</f>
        <v>doble</v>
      </c>
      <c r="GF19" s="47" t="str">
        <f>IF(ISBLANK(Anexo!M15),"",Anexo!M15)</f>
        <v>cabezal triple</v>
      </c>
      <c r="GG19" s="47" t="str">
        <f>IF(ISBLANK(Anexo!N15),"",Anexo!N15)</f>
        <v>n/a</v>
      </c>
      <c r="GH19" s="51"/>
    </row>
    <row r="20" spans="2:195" ht="14.65" thickBot="1" x14ac:dyDescent="0.5">
      <c r="B20" cm="1">
        <f t="array" ref="B20">ROUNDUP((ROW()-ROW(INDEX(SECCIONES_CAPAS[],1,1))+1)/N_capas,0)</f>
        <v>1</v>
      </c>
      <c r="C20" cm="1">
        <f t="array" ref="C20">(ROW()-ROW(INDEX(SECCIONES_CAPAS[],1,1))+1)-(SECCIONES_CAPAS[[#This Row],[Sección]]-1)*N_capas</f>
        <v>5</v>
      </c>
      <c r="D20" t="str">
        <f>SECCIONES_CAPAS[[#This Row],[Sección]]&amp;"-"&amp;SECCIONES_CAPAS[[#This Row],[Capa]]</f>
        <v>1-5</v>
      </c>
      <c r="E20" cm="1">
        <f t="array" ref="E20">INDEX(DATOS[],2+SECCIONES_CAPAS[[#This Row],[Capa]],2+SECCIONES_CAPAS[[#This Row],[Sección]])</f>
        <v>0</v>
      </c>
      <c r="F20" t="str">
        <f>IFERROR(INDEX(MATERIALES[Abreviatura],MATCH(SECCIONES_CAPAS[[#This Row],[Material nombre largo]],MATERIALES[Nombre largo],0)),"Capa "&amp;SECCIONES_CAPAS[[#This Row],[Capa]])</f>
        <v>Capa 5</v>
      </c>
      <c r="G20" t="e">
        <f>INDEX(MATERIALES[Biblioteca],MATCH(SECCIONES_CAPAS[[#This Row],[Material nombre largo]],MATERIALES[Nombre largo],0))</f>
        <v>#N/A</v>
      </c>
      <c r="H20" t="e">
        <f>INDEX(MATERIALES[Material],MATCH(SECCIONES_CAPAS[[#This Row],[Material nombre largo]],MATERIALES[Nombre largo],0))</f>
        <v>#N/A</v>
      </c>
      <c r="I20" t="str">
        <f>SECCIONES_CAPAS[[#This Row],[Abreviatura]]&amp;" "&amp;SECCIONES_CAPAS[[#This Row],[d]]*1000&amp;" mm"</f>
        <v>Capa 5 0 mm</v>
      </c>
      <c r="J20" t="str" cm="1">
        <f t="array" aca="1" ref="J20" ca="1">IF(SECCIONES_CAPAS[[#This Row],[Capa]]=1,SECCIONES_CAPAS[[#This Row],[descripción auto]],INDIRECT(ADDRESS(ROW()-1,COLUMN(),4))&amp;" + "&amp;SECCIONES_CAPAS[[#This Row],[descripción auto]])</f>
        <v>Capa 1 0 mm + Capa 2 0 mm + Capa 3 0 mm + Capa 4 0 mm + Capa 5 0 mm</v>
      </c>
      <c r="K20" t="str" cm="1">
        <f t="array" aca="1" ref="K20"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5</v>
      </c>
      <c r="L20" t="b">
        <f>IF(SECCIONES_CAPAS[[#This Row],[Material nombre largo]]=Aux!$H$29,TRUE,FALSE)</f>
        <v>0</v>
      </c>
      <c r="M20" t="b" cm="1">
        <f t="array" aca="1" ref="M20" ca="1">IFERROR(IF(SECCIONES_CAPAS[[#This Row],[Cámara aire no ventilada]]*INDIRECT(ADDRESS(ROW()+1,COLUMN(),4))+INDIRECT(ADDRESS(ROW()-1,COLUMN(SECCIONES_CAPAS[[#This Row],[Cámara aire no ventilada]]),4))*SECCIONES_CAPAS[[#This Row],[Cámara aire no ventilada]],TRUE,FALSE),FALSE)</f>
        <v>0</v>
      </c>
      <c r="O20" s="47" cm="1">
        <f t="array" ref="O20">IF(SECCIONES_CAPAS[[#This Row],[Material nombre largo]]=0,0,INDEX(CAPAS[d],SECCIONES_CAPAS[[#This Row],[Capa]]))</f>
        <v>0</v>
      </c>
      <c r="P20" s="47" t="e">
        <f>MATCH(INDEX(MATERIALES[Propiedad térmica],MATCH(SECCIONES_CAPAS[[#This Row],[Material nombre largo]],MATERIALES[Nombre largo],0)),Aux!$H$18:$H$19,0)</f>
        <v>#N/A</v>
      </c>
      <c r="Q20" s="47">
        <f>IF(ISERROR(SECCIONES_CAPAS[[#This Row],[índice prop térmica]]),1,0)</f>
        <v>1</v>
      </c>
      <c r="R20" s="373" cm="1">
        <f t="array" ref="R20">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0" s="373" t="b">
        <f>IF((SECCIONES_CAPAS[[#This Row],[λ]]&lt;0.1)*(SECCIONES_CAPAS[[#This Row],[λ]]&gt;0),TRUE,FALSE)</f>
        <v>0</v>
      </c>
      <c r="T20" s="47" cm="1">
        <f t="array" ref="T20">INDEX(SECCIONES[f],SECCIONES_CAPAS[[#This Row],[Sección]])*SECCIONES_CAPAS[[#This Row],[λ]]</f>
        <v>0</v>
      </c>
      <c r="U20" s="47" cm="1">
        <f t="array" ref="U20">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0" s="47">
        <f>IFERROR(INDEX(SECCIONES[f],MATCH(SECCIONES_CAPAS[[#This Row],[Sección]],SECCIONES[Sección m],0))/SECCIONES_CAPAS[[#This Row],[R]],0)</f>
        <v>0</v>
      </c>
      <c r="W20" s="47">
        <f>IF(SECCIONES_CAPAS[[#This Row],[Capa]]=1,SECCIONES_CAPAS[[#This Row],[d]],SECCIONES_CAPAS[[#This Row],[d]]+W19)</f>
        <v>0</v>
      </c>
      <c r="X20" s="374" cm="1">
        <f t="array" aca="1" ref="X20" ca="1">IF(SECCIONES_CAPAS[[#This Row],[Capa]]=1,IF(contacto_terreno,Resistencia_térmica_2m_tierra+SECCIONES_CAPAS[[#This Row],[R]],R_se+SECCIONES_CAPAS[[#This Row],[R]]),INDIRECT(ADDRESS(ROW()-1,COLUMN(),4))+SECCIONES_CAPAS[[#This Row],[R]])</f>
        <v>0.04</v>
      </c>
      <c r="Y20" s="47" t="e">
        <f>MATCH(INDEX(MATERIALES[Propiedad difusión de vapor],MATCH(SECCIONES_CAPAS[[#This Row],[Material nombre largo]],MATERIALES[Nombre largo],0)),Aux!$H$20:$H$27,0)</f>
        <v>#N/A</v>
      </c>
      <c r="Z20"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0" s="375" t="e">
        <f>IF(INDEX(MATERIALES[Valor propiedad difusión de vapor],MATCH(SECCIONES_CAPAS[[#This Row],[Material nombre largo]],MATERIALES[Nombre largo],0))=Aux!$C$112,TRUE,FALSE)</f>
        <v>#N/A</v>
      </c>
      <c r="AB20" s="373" cm="1">
        <f t="array" ref="AB20">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0" s="47" cm="1">
        <f t="array" aca="1" ref="AC20" ca="1">IF(SECCIONES_CAPAS[[#This Row],[Capa]]=1,SECCIONES_CAPAS[[#This Row],[Sd]],SECCIONES_CAPAS[[#This Row],[Sd]]+INDIRECT(ADDRESS(ROW()-1,COLUMN(),4)))</f>
        <v>0</v>
      </c>
      <c r="AD20" s="47">
        <f>IF(ISERROR(SECCIONES_CAPAS[[#This Row],[Sd]]),1,0)</f>
        <v>0</v>
      </c>
      <c r="AF20" s="11" t="s">
        <v>281</v>
      </c>
      <c r="AG20" s="2" t="s">
        <v>282</v>
      </c>
      <c r="AH20" s="6" t="e">
        <f>R_tot_inf/R_tot_sup</f>
        <v>#DIV/0!</v>
      </c>
      <c r="AI20" s="12"/>
      <c r="BW20" t="str">
        <f ca="1">Zona_Térmica_condensación&amp;" - "&amp;$BZ$23</f>
        <v>Zona E - Todas las comunas</v>
      </c>
      <c r="CB20" s="11"/>
      <c r="CD20" s="191">
        <v>1</v>
      </c>
      <c r="CE20" s="90" cm="1">
        <f t="array" ref="CE20">INDEX(CLIMA[Pi],COND_SUPERFICIAL_CONDICIONES[[#This Row],[Mes]])/ϕsicr</f>
        <v>1647.1134324241689</v>
      </c>
      <c r="CF20"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0" s="36" t="e" cm="1">
        <f t="array" ref="CG20">(COND_SUPERFICIAL_CONDICIONES[[#This Row],[ϴsi_mín]]-INDEX(CLIMA[ϴe],COND_SUPERFICIAL_CONDICIONES[[#This Row],[Mes]]))/(INDEX(CLIMA[ϴi],COND_SUPERFICIAL_CONDICIONES[[#This Row],[Mes]])-INDEX(CLIMA[ϴe],COND_SUPERFICIAL_CONDICIONES[[#This Row],[Mes]]))</f>
        <v>#N/A</v>
      </c>
      <c r="CH20" s="36" t="e">
        <f>Rsi_condensación/(1-COND_SUPERFICIAL_CONDICIONES[[#This Row],[fRsi_mín]])</f>
        <v>#N/A</v>
      </c>
      <c r="CI20" s="6" t="e">
        <f>1/COND_SUPERFICIAL_CONDICIONES[[#This Row],[Rt_mín]]</f>
        <v>#N/A</v>
      </c>
      <c r="CK20" s="1" cm="1">
        <f t="array" ref="CK20">ROUNDUP((ROW()-$CN$18)/(N_secciones),0)</f>
        <v>1</v>
      </c>
      <c r="CL20" cm="1">
        <f t="array" ref="CL20">ROW()-ROW(INDEX(COND_SUPERFICIAL[],1,1))+1-(COND_SUPERFICIAL[[#This Row],[Mes]]-1)*N_secciones</f>
        <v>1</v>
      </c>
      <c r="CM20" s="1" t="str">
        <f>COND_SUPERFICIAL[[#This Row],[Mes]]&amp;"-"&amp;COND_SUPERFICIAL[[#This Row],[Sección]]</f>
        <v>1-1</v>
      </c>
      <c r="CN20" t="e" cm="1">
        <f t="array" ref="CN20">IF(INDEX(SECCIONES[Rtsección_condensación],COND_SUPERFICIAL[[#This Row],[Sección]])&lt;=INDEX(COND_SUPERFICIAL_CONDICIONES[Rt_mín],COND_SUPERFICIAL[[#This Row],[Mes]]),TRUE,FALSE)</f>
        <v>#N/A</v>
      </c>
      <c r="CP20" s="1" cm="1">
        <f t="array" ref="CP20">ROUNDUP((ROW()-$CN$18)/(N_secciones),0)</f>
        <v>1</v>
      </c>
      <c r="CQ20" s="1" cm="1">
        <f t="array" ref="CQ20">ROUNDUP((ROW()-$CN$18+(Mes_inicial_de_análisis-1)*N_secciones)/(N_secciones),0)-12*IF(ROW()-$CN$18&gt;(12-Mes_inicial_de_análisis+1)*N_secciones,1,0)</f>
        <v>7</v>
      </c>
      <c r="CR20" s="1" cm="1">
        <f t="array" ref="CR20">ROW()-$CN$18-(ROUNDUP((ROW()-$CN$18)/(N_secciones),0)-1)*N_secciones</f>
        <v>1</v>
      </c>
      <c r="CS20" s="107" t="str">
        <f>COND_INTERSTICIAL_AGUA_ACUMULADA[[#This Row],[orden]]&amp;"-"&amp;COND_INTERSTICIAL_AGUA_ACUMULADA[[#This Row],[Sección]]</f>
        <v>1-1</v>
      </c>
      <c r="CT20">
        <f ca="1">COUNTIFS(COND_INTERSTICIAL[agua líquida],TRUE,COND_INTERSTICIAL[Mes],COND_INTERSTICIAL_AGUA_ACUMULADA[[#This Row],[Mes]],COND_INTERSTICIAL[Sección],COND_INTERSTICIAL_AGUA_ACUMULADA[[#This Row],[Sección]])</f>
        <v>0</v>
      </c>
      <c r="CU20" s="107" t="e">
        <f ca="1">SUMIFS(COND_INTERSTICIAL[Ma],COND_INTERSTICIAL[Mes],COND_INTERSTICIAL_AGUA_ACUMULADA[[#This Row],[Mes]],COND_INTERSTICIAL[Sección],COND_INTERSTICIAL_AGUA_ACUMULADA[[#This Row],[Sección]])</f>
        <v>#DIV/0!</v>
      </c>
      <c r="CW20" s="1" cm="1">
        <f t="array" ref="CW20">ROUNDUP((ROW()-$CN$18+(Mes_inicial_de_análisis-1)*N_capas*N_secciones)/(N_capas*N_secciones),0)-12*IF(ROW()-$CN$18&gt;(12-Mes_inicial_de_análisis+1)*N_capas*N_secciones,1,0)</f>
        <v>7</v>
      </c>
      <c r="CX20" cm="1">
        <f t="array" ref="CX20">ROUNDUP((ROW()-$CN$18)/N_capas-(ROUNDUP((ROW()-$CN$18)/(N_capas*N_secciones),0)-1)*N_secciones,0)</f>
        <v>1</v>
      </c>
      <c r="CY20" cm="1">
        <f t="array" ref="CY20">(ROW()-$CN$18)-(COND_INTERSTICIAL[[#This Row],[Sección]]-1)*N_capas-(ROUNDUP((ROW()-$CN$18)/(N_capas*N_secciones),0)-1)*N_capas*N_secciones</f>
        <v>1</v>
      </c>
      <c r="CZ20" t="str">
        <f>COND_INTERSTICIAL[[#This Row],[Mes]]&amp;"-"&amp;COND_INTERSTICIAL[[#This Row],[Sección]]&amp;"-"&amp;COND_INTERSTICIAL[[#This Row],[Capa]]</f>
        <v>7-1-1</v>
      </c>
      <c r="DA20">
        <f ca="1">INDEX(SECCIONES_CAPAS[R''n],MATCH(COND_INTERSTICIAL[[#This Row],[Sección]]&amp;"-"&amp;COND_INTERSTICIAL[[#This Row],[Capa]],SECCIONES_CAPAS[llave],0))</f>
        <v>0.04</v>
      </c>
      <c r="DB20" s="172" cm="1">
        <f t="array" aca="1" ref="DB20" ca="1">INDEX(CLIMA[ϴe],COND_INTERSTICIAL[[#This Row],[Mes]])+COND_INTERSTICIAL[[#This Row],[Rn]]*(INDEX(CLIMA[ϴi],COND_INTERSTICIAL[[#This Row],[Mes]])-INDEX(CLIMA[ϴe],COND_INTERSTICIAL[[#This Row],[Mes]]))/(INDEX(SECCIONES[Rtsección_condensación],COND_INTERSTICIAL[[#This Row],[Sección]]))</f>
        <v>7.1470588235294112</v>
      </c>
      <c r="DC20">
        <f>INDEX(SECCIONES_CAPAS[Sd],MATCH(COND_INTERSTICIAL[[#This Row],[Sección]]&amp;"-"&amp;COND_INTERSTICIAL[[#This Row],[Capa]],SECCIONES_CAPAS[llave],0))</f>
        <v>0</v>
      </c>
      <c r="DD20">
        <f ca="1">INDEX(SECCIONES_CAPAS[S''d],MATCH(COND_INTERSTICIAL[[#This Row],[Sección]]&amp;"-"&amp;COND_INTERSTICIAL[[#This Row],[Capa]],SECCIONES_CAPAS[llave],0))</f>
        <v>0</v>
      </c>
      <c r="DE20" s="90">
        <f ca="1">IF(COND_INTERSTICIAL[[#This Row],[ϴn]]&gt;=0,610.5*EXP((17.269*COND_INTERSTICIAL[[#This Row],[ϴn]])/(237.3+COND_INTERSTICIAL[[#This Row],[ϴn]])),610.5*EXP((21.875*COND_INTERSTICIAL[[#This Row],[ϴn]])/(265.5+COND_INTERSTICIAL[[#This Row],[ϴn]])))</f>
        <v>1011.4936324284752</v>
      </c>
      <c r="DF20" s="90" t="e" cm="1">
        <f t="array" aca="1" ref="DF20" ca="1">COND_INTERSTICIAL[[#This Row],[S''d]]*((INDEX(CLIMA[Pi],COND_INTERSTICIAL[[#This Row],[Mes]])-INDEX(CLIMA[Pe],COND_INTERSTICIAL[[#This Row],[Mes]]))/INDEX(SECCIONES[SdT],COND_INTERSTICIAL[[#This Row],[Sección]]))+INDEX(CLIMA[Pe],COND_INTERSTICIAL[[#This Row],[Mes]])</f>
        <v>#DIV/0!</v>
      </c>
      <c r="DG20" s="108" t="e">
        <f ca="1">IF((COND_INTERSTICIAL[[#This Row],[Pn]]&gt;=COND_INTERSTICIAL[[#This Row],[Psat]]),TRUE,FALSE)</f>
        <v>#DIV/0!</v>
      </c>
      <c r="DH20" s="109" t="e" cm="1">
        <f t="array" aca="1" ref="DH20" ca="1">IF(COND_INTERSTICIAL[[#This Row],[Condensa]],COND_INTERSTICIAL[[#This Row],[Psat]],IF(COND_INTERSTICIAL[[#This Row],[Capa]]=N_capas,COND_INTERSTICIAL[[#This Row],[Pn]],""))</f>
        <v>#DIV/0!</v>
      </c>
      <c r="DI20" s="109" t="e">
        <f ca="1">COND_INTERSTICIAL[[#This Row],[Mes]]&amp;"-"&amp;COND_INTERSTICIAL[[#This Row],[Sección]]&amp;"-"&amp;COND_INTERSTICIAL[[#This Row],[tramo cond]]</f>
        <v>#DIV/0!</v>
      </c>
      <c r="DJ20" t="e" cm="1">
        <f t="array" aca="1" ref="DJ20" ca="1">IF(COND_INTERSTICIAL[[#This Row],[Capa]]=1,IF(COND_INTERSTICIAL[[#This Row],[Condensa]],2,1),IF(COND_INTERSTICIAL[[#This Row],[Condensa]],1,0)+INDIRECT(ADDRESS(ROW()-1,COLUMN(),4)))</f>
        <v>#DIV/0!</v>
      </c>
      <c r="DK20" s="108" t="e" cm="1">
        <f t="array" aca="1" ref="DK20" ca="1">IF(COND_INTERSTICIAL[[#This Row],[tramo cond]]=1,0,IF((COND_INTERSTICIAL[[#This Row],[tramo cond]]&gt;INDIRECT(ADDRESS(ROW()-1,COLUMN(COND_INTERSTICIAL[[#This Row],[tramo cond]]),4)))+COND_INTERSTICIAL[[#This Row],[Condensa]],COND_INTERSTICIAL[[#This Row],[Capa]],INDIRECT(ADDRESS(ROW()-1,COLUMN(),4))))</f>
        <v>#DIV/0!</v>
      </c>
      <c r="DL20" s="108" t="e" cm="1">
        <f t="array" aca="1" ref="DL20" ca="1">IF((COND_INTERSTICIAL[[#This Row],[Capa]]=N_capas)+(COND_INTERSTICIAL[[#This Row],[tramo cond]]=COUNTIFS(COND_INTERSTICIAL[Condensa],TRUE,COND_INTERSTICIAL[Mes],CW20,COND_INTERSTICIAL[Sección],CX20)+1),N_capas,INDEX(COND_INTERSTICIAL[capa lím inf cond],MATCH(COND_INTERSTICIAL[[#This Row],[Mes]]&amp;"-"&amp;COND_INTERSTICIAL[[#This Row],[Sección]]&amp;"-"&amp;(COND_INTERSTICIAL[[#This Row],[tramo cond]]+1),COND_INTERSTICIAL[llave tramo cond],0)))</f>
        <v>#DIV/0!</v>
      </c>
      <c r="DM20" s="108" cm="1">
        <f t="array" aca="1" ref="DM2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0" s="110" t="e" cm="1">
        <f t="array" aca="1" ref="DN2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0"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0" s="107" t="e">
        <f ca="1">COND_INTERSTICIAL[[#This Row],[gc]]+COND_INTERSTICIAL[[#This Row],[Ma_anterior cond]]</f>
        <v>#DIV/0!</v>
      </c>
      <c r="DQ20" s="113" t="e">
        <f ca="1">IF((COND_INTERSTICIAL[[#This Row],[Ma_anterior cond]]&gt;0)*NOT(COND_INTERSTICIAL[[#This Row],[Condensa]]),TRUE,FALSE)</f>
        <v>#DIV/0!</v>
      </c>
      <c r="DR20" s="112" t="e" cm="1">
        <f t="array" aca="1" ref="DR20" ca="1">IF(COND_INTERSTICIAL[[#This Row],[evapora]],COND_INTERSTICIAL[[#This Row],[Psat]],IF(COND_INTERSTICIAL[[#This Row],[Capa]]=N_capas,COND_INTERSTICIAL[[#This Row],[Pn]],""))</f>
        <v>#DIV/0!</v>
      </c>
      <c r="DS20" s="112" t="e">
        <f ca="1">COND_INTERSTICIAL[[#This Row],[Mes]]&amp;"-"&amp;COND_INTERSTICIAL[[#This Row],[Sección]]&amp;"-"&amp;COND_INTERSTICIAL[[#This Row],[tramo ev]]</f>
        <v>#DIV/0!</v>
      </c>
      <c r="DT20" s="111" t="e" cm="1">
        <f t="array" aca="1" ref="DT20" ca="1">IF(COND_INTERSTICIAL[[#This Row],[Capa]]=1,IF(COND_INTERSTICIAL[[#This Row],[evapora]],2,1),IF(COND_INTERSTICIAL[[#This Row],[evapora]],1,0)+INDIRECT(ADDRESS(ROW()-1,COLUMN(),4)))</f>
        <v>#DIV/0!</v>
      </c>
      <c r="DU20" s="111" t="e" cm="1">
        <f t="array" aca="1" ref="DU20" ca="1">IF(COND_INTERSTICIAL[[#This Row],[tramo ev]]=1,0,IF((COND_INTERSTICIAL[[#This Row],[tramo ev]]&gt;INDIRECT(ADDRESS(ROW()-1,COLUMN(COND_INTERSTICIAL[[#This Row],[tramo ev]]),4)))+COND_INTERSTICIAL[[#This Row],[evapora]],COND_INTERSTICIAL[[#This Row],[Capa]],INDIRECT(ADDRESS(ROW()-1,COLUMN(),4))))</f>
        <v>#DIV/0!</v>
      </c>
      <c r="DV20" s="111" t="e" cm="1">
        <f t="array" aca="1" ref="DV20" ca="1">IF((COND_INTERSTICIAL[[#This Row],[Capa]]=N_capas)+(COND_INTERSTICIAL[[#This Row],[tramo ev]]=COUNTIFS(COND_INTERSTICIAL[evapora],TRUE,COND_INTERSTICIAL[Mes],CW20,COND_INTERSTICIAL[Sección],CX20)+1),N_capas,INDEX(COND_INTERSTICIAL[capa lím inf ev],MATCH(COND_INTERSTICIAL[[#This Row],[Mes]]&amp;"-"&amp;COND_INTERSTICIAL[[#This Row],[Sección]]&amp;"-"&amp;(COND_INTERSTICIAL[[#This Row],[tramo ev]]+1),COND_INTERSTICIAL[llave tramo ev],0)))</f>
        <v>#DIV/0!</v>
      </c>
      <c r="DW20" s="111" cm="1">
        <f t="array" aca="1" ref="DW2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0" s="113" t="e" cm="1">
        <f t="array" aca="1" ref="DX2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0"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0" s="113" t="e">
        <f ca="1">COND_INTERSTICIAL[[#This Row],[gev]]+COND_INTERSTICIAL[[#This Row],[Ma anterior ev]]</f>
        <v>#DIV/0!</v>
      </c>
      <c r="EA20" s="115" t="e">
        <f ca="1">IF(COND_INTERSTICIAL[[#This Row],[Ma cond]]+COND_INTERSTICIAL[[#This Row],[Ma ev]]&lt;=0,0,COND_INTERSTICIAL[[#This Row],[Ma cond]]+COND_INTERSTICIAL[[#This Row],[Ma ev]])</f>
        <v>#DIV/0!</v>
      </c>
      <c r="EB20" s="115" t="e">
        <f ca="1">IF(COND_INTERSTICIAL[[#This Row],[Ma]]&gt;0,TRUE,FALSE)</f>
        <v>#DIV/0!</v>
      </c>
      <c r="EC20" s="115" t="e" cm="1">
        <f t="array" aca="1" ref="EC20" ca="1">IF(COND_INTERSTICIAL[[#This Row],[agua líquida]],IF(COND_INTERSTICIAL[[#This Row],[Condensa]],COND_INTERSTICIAL[[#This Row],[P límite cond]],COND_INTERSTICIAL[[#This Row],[P límite ev]]),IF(COND_INTERSTICIAL[[#This Row],[Capa]]=N_capas,COND_INTERSTICIAL[[#This Row],[Pn]],""))</f>
        <v>#DIV/0!</v>
      </c>
      <c r="ED20" s="115" t="e">
        <f ca="1">COND_INTERSTICIAL[[#This Row],[Mes]]&amp;"-"&amp;COND_INTERSTICIAL[[#This Row],[Sección]]&amp;"-"&amp;COND_INTERSTICIAL[[#This Row],[tramo gráf]]</f>
        <v>#DIV/0!</v>
      </c>
      <c r="EE20" s="114" t="e" cm="1">
        <f t="array" aca="1" ref="EE20" ca="1">IF(COND_INTERSTICIAL[[#This Row],[Capa]]=1,IF(COND_INTERSTICIAL[[#This Row],[agua líquida]],2,1),IF(COND_INTERSTICIAL[[#This Row],[agua líquida]],1,0)+INDIRECT(ADDRESS(ROW()-1,COLUMN(),4)))</f>
        <v>#DIV/0!</v>
      </c>
      <c r="EF20" s="114" t="e" cm="1">
        <f t="array" aca="1" ref="EF20" ca="1">IF(COND_INTERSTICIAL[[#This Row],[tramo gráf]]=1,0,IF((COND_INTERSTICIAL[[#This Row],[tramo gráf]]&gt;INDIRECT(ADDRESS(ROW()-1,COLUMN(COND_INTERSTICIAL[[#This Row],[tramo gráf]]),4)))+COND_INTERSTICIAL[[#This Row],[agua líquida]],COND_INTERSTICIAL[[#This Row],[Capa]],INDIRECT(ADDRESS(ROW()-1,COLUMN(),4))))</f>
        <v>#DIV/0!</v>
      </c>
      <c r="EG20" s="114" t="e" cm="1">
        <f t="array" aca="1" ref="EG20" ca="1">IF((COND_INTERSTICIAL[[#This Row],[Capa]]=N_capas)+(COND_INTERSTICIAL[[#This Row],[tramo gráf]]=COUNTIFS(COND_INTERSTICIAL[agua líquida],TRUE,COND_INTERSTICIAL[Mes],CW20,COND_INTERSTICIAL[Sección],CX20)+1),N_capas,INDEX(COND_INTERSTICIAL[capa lím inf gráf],MATCH(COND_INTERSTICIAL[[#This Row],[Mes]]&amp;"-"&amp;COND_INTERSTICIAL[[#This Row],[Sección]]&amp;"-"&amp;(COND_INTERSTICIAL[[#This Row],[tramo gráf]]+1),COND_INTERSTICIAL[llave tramo gráf],0)))</f>
        <v>#DIV/0!</v>
      </c>
      <c r="EH20" s="114" cm="1">
        <f t="array" aca="1" ref="EH2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0" s="116" t="e" cm="1">
        <f t="array" aca="1" ref="EI2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0" t="s">
        <v>1490</v>
      </c>
      <c r="EM20" cm="1">
        <f t="array" ref="EM20">ROUND(INDEX(SECCIONES[Rtsección_condensación],Gráf_sección),2)</f>
        <v>0.17</v>
      </c>
      <c r="FW20" s="60" t="s">
        <v>1501</v>
      </c>
      <c r="FX20" s="11" t="s">
        <v>1504</v>
      </c>
      <c r="FY20" s="301">
        <f ca="1">MAX(SECCIONES[interfases con condensación])</f>
        <v>0</v>
      </c>
      <c r="FZ20" s="301">
        <f ca="1">MAX(SECCIONES[interfases con condensación])</f>
        <v>0</v>
      </c>
      <c r="GA20" s="301"/>
      <c r="GB20" s="308"/>
      <c r="GD20" s="11" t="s">
        <v>329</v>
      </c>
      <c r="GE20">
        <f>2*MATCH(GE19,Aux!$D$59:$D$61,0)</f>
        <v>4</v>
      </c>
      <c r="GF20">
        <f>INT(GE10/GF18)+1+2*(MATCH(GF19,Aux!$E$59:$E$61,0)-1)</f>
        <v>12</v>
      </c>
      <c r="GG20">
        <f>IF(GG18=0,1)</f>
        <v>1</v>
      </c>
      <c r="GH20" s="12"/>
    </row>
    <row r="21" spans="2:195" ht="14.65" thickBot="1" x14ac:dyDescent="0.5">
      <c r="B21" cm="1">
        <f t="array" ref="B21">ROUNDUP((ROW()-ROW(INDEX(SECCIONES_CAPAS[],1,1))+1)/N_capas,0)</f>
        <v>1</v>
      </c>
      <c r="C21" cm="1">
        <f t="array" ref="C21">(ROW()-ROW(INDEX(SECCIONES_CAPAS[],1,1))+1)-(SECCIONES_CAPAS[[#This Row],[Sección]]-1)*N_capas</f>
        <v>6</v>
      </c>
      <c r="D21" t="str">
        <f>SECCIONES_CAPAS[[#This Row],[Sección]]&amp;"-"&amp;SECCIONES_CAPAS[[#This Row],[Capa]]</f>
        <v>1-6</v>
      </c>
      <c r="E21" cm="1">
        <f t="array" ref="E21">INDEX(DATOS[],2+SECCIONES_CAPAS[[#This Row],[Capa]],2+SECCIONES_CAPAS[[#This Row],[Sección]])</f>
        <v>0</v>
      </c>
      <c r="F21" t="str">
        <f>IFERROR(INDEX(MATERIALES[Abreviatura],MATCH(SECCIONES_CAPAS[[#This Row],[Material nombre largo]],MATERIALES[Nombre largo],0)),"Capa "&amp;SECCIONES_CAPAS[[#This Row],[Capa]])</f>
        <v>Capa 6</v>
      </c>
      <c r="G21" t="e">
        <f>INDEX(MATERIALES[Biblioteca],MATCH(SECCIONES_CAPAS[[#This Row],[Material nombre largo]],MATERIALES[Nombre largo],0))</f>
        <v>#N/A</v>
      </c>
      <c r="H21" t="e">
        <f>INDEX(MATERIALES[Material],MATCH(SECCIONES_CAPAS[[#This Row],[Material nombre largo]],MATERIALES[Nombre largo],0))</f>
        <v>#N/A</v>
      </c>
      <c r="I21" t="str">
        <f>SECCIONES_CAPAS[[#This Row],[Abreviatura]]&amp;" "&amp;SECCIONES_CAPAS[[#This Row],[d]]*1000&amp;" mm"</f>
        <v>Capa 6 0 mm</v>
      </c>
      <c r="J21" t="str" cm="1">
        <f t="array" aca="1" ref="J21" ca="1">IF(SECCIONES_CAPAS[[#This Row],[Capa]]=1,SECCIONES_CAPAS[[#This Row],[descripción auto]],INDIRECT(ADDRESS(ROW()-1,COLUMN(),4))&amp;" + "&amp;SECCIONES_CAPAS[[#This Row],[descripción auto]])</f>
        <v>Capa 1 0 mm + Capa 2 0 mm + Capa 3 0 mm + Capa 4 0 mm + Capa 5 0 mm + Capa 6 0 mm</v>
      </c>
      <c r="K21" t="str" cm="1">
        <f t="array" aca="1" ref="K21"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6</v>
      </c>
      <c r="L21" t="b">
        <f>IF(SECCIONES_CAPAS[[#This Row],[Material nombre largo]]=Aux!$H$29,TRUE,FALSE)</f>
        <v>0</v>
      </c>
      <c r="M21" t="b" cm="1">
        <f t="array" aca="1" ref="M21" ca="1">IFERROR(IF(SECCIONES_CAPAS[[#This Row],[Cámara aire no ventilada]]*INDIRECT(ADDRESS(ROW()+1,COLUMN(),4))+INDIRECT(ADDRESS(ROW()-1,COLUMN(SECCIONES_CAPAS[[#This Row],[Cámara aire no ventilada]]),4))*SECCIONES_CAPAS[[#This Row],[Cámara aire no ventilada]],TRUE,FALSE),FALSE)</f>
        <v>0</v>
      </c>
      <c r="O21" s="47" cm="1">
        <f t="array" ref="O21">IF(SECCIONES_CAPAS[[#This Row],[Material nombre largo]]=0,0,INDEX(CAPAS[d],SECCIONES_CAPAS[[#This Row],[Capa]]))</f>
        <v>0</v>
      </c>
      <c r="P21" s="47" t="e">
        <f>MATCH(INDEX(MATERIALES[Propiedad térmica],MATCH(SECCIONES_CAPAS[[#This Row],[Material nombre largo]],MATERIALES[Nombre largo],0)),Aux!$H$18:$H$19,0)</f>
        <v>#N/A</v>
      </c>
      <c r="Q21" s="47">
        <f>IF(ISERROR(SECCIONES_CAPAS[[#This Row],[índice prop térmica]]),1,0)</f>
        <v>1</v>
      </c>
      <c r="R21" s="373" cm="1">
        <f t="array" ref="R21">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1" s="373" t="b">
        <f>IF((SECCIONES_CAPAS[[#This Row],[λ]]&lt;0.1)*(SECCIONES_CAPAS[[#This Row],[λ]]&gt;0),TRUE,FALSE)</f>
        <v>0</v>
      </c>
      <c r="T21" s="47" cm="1">
        <f t="array" ref="T21">INDEX(SECCIONES[f],SECCIONES_CAPAS[[#This Row],[Sección]])*SECCIONES_CAPAS[[#This Row],[λ]]</f>
        <v>0</v>
      </c>
      <c r="U21" s="47" cm="1">
        <f t="array" ref="U21">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1" s="47">
        <f>IFERROR(INDEX(SECCIONES[f],MATCH(SECCIONES_CAPAS[[#This Row],[Sección]],SECCIONES[Sección m],0))/SECCIONES_CAPAS[[#This Row],[R]],0)</f>
        <v>0</v>
      </c>
      <c r="W21" s="47">
        <f>IF(SECCIONES_CAPAS[[#This Row],[Capa]]=1,SECCIONES_CAPAS[[#This Row],[d]],SECCIONES_CAPAS[[#This Row],[d]]+W20)</f>
        <v>0</v>
      </c>
      <c r="X21" s="374" cm="1">
        <f t="array" aca="1" ref="X21" ca="1">IF(SECCIONES_CAPAS[[#This Row],[Capa]]=1,IF(contacto_terreno,Resistencia_térmica_2m_tierra+SECCIONES_CAPAS[[#This Row],[R]],R_se+SECCIONES_CAPAS[[#This Row],[R]]),INDIRECT(ADDRESS(ROW()-1,COLUMN(),4))+SECCIONES_CAPAS[[#This Row],[R]])</f>
        <v>0.04</v>
      </c>
      <c r="Y21" s="47" t="e">
        <f>MATCH(INDEX(MATERIALES[Propiedad difusión de vapor],MATCH(SECCIONES_CAPAS[[#This Row],[Material nombre largo]],MATERIALES[Nombre largo],0)),Aux!$H$20:$H$27,0)</f>
        <v>#N/A</v>
      </c>
      <c r="Z21"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1" s="375" t="e">
        <f>IF(INDEX(MATERIALES[Valor propiedad difusión de vapor],MATCH(SECCIONES_CAPAS[[#This Row],[Material nombre largo]],MATERIALES[Nombre largo],0))=Aux!$C$112,TRUE,FALSE)</f>
        <v>#N/A</v>
      </c>
      <c r="AB21" s="373" cm="1">
        <f t="array" ref="AB21">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1" s="47" cm="1">
        <f t="array" aca="1" ref="AC21" ca="1">IF(SECCIONES_CAPAS[[#This Row],[Capa]]=1,SECCIONES_CAPAS[[#This Row],[Sd]],SECCIONES_CAPAS[[#This Row],[Sd]]+INDIRECT(ADDRESS(ROW()-1,COLUMN(),4)))</f>
        <v>0</v>
      </c>
      <c r="AD21" s="47">
        <f>IF(ISERROR(SECCIONES_CAPAS[[#This Row],[Sd]]),1,0)</f>
        <v>0</v>
      </c>
      <c r="AF21" s="11" t="s">
        <v>283</v>
      </c>
      <c r="AG21" s="2" t="s">
        <v>284</v>
      </c>
      <c r="AH21" s="6">
        <f>1-R_si/R_tot_inf</f>
        <v>0.23529411764705888</v>
      </c>
      <c r="AI21" s="12"/>
      <c r="BY21" s="481" t="s">
        <v>274</v>
      </c>
      <c r="BZ21" s="482"/>
      <c r="CA21" s="483"/>
      <c r="CB21" s="11"/>
      <c r="CD21" s="1">
        <v>2</v>
      </c>
      <c r="CE21" s="90" cm="1">
        <f t="array" ref="CE21">INDEX(CLIMA[Pi],COND_SUPERFICIAL_CONDICIONES[[#This Row],[Mes]])/ϕsicr</f>
        <v>1647.1134324241689</v>
      </c>
      <c r="CF21"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1" s="36" t="e" cm="1">
        <f t="array" ref="CG21">(COND_SUPERFICIAL_CONDICIONES[[#This Row],[ϴsi_mín]]-INDEX(CLIMA[ϴe],COND_SUPERFICIAL_CONDICIONES[[#This Row],[Mes]]))/(INDEX(CLIMA[ϴi],COND_SUPERFICIAL_CONDICIONES[[#This Row],[Mes]])-INDEX(CLIMA[ϴe],COND_SUPERFICIAL_CONDICIONES[[#This Row],[Mes]]))</f>
        <v>#N/A</v>
      </c>
      <c r="CH21" s="36" t="e">
        <f>Rsi_condensación/(1-COND_SUPERFICIAL_CONDICIONES[[#This Row],[fRsi_mín]])</f>
        <v>#N/A</v>
      </c>
      <c r="CI21" s="6" t="e">
        <f>1/COND_SUPERFICIAL_CONDICIONES[[#This Row],[Rt_mín]]</f>
        <v>#N/A</v>
      </c>
      <c r="CK21" s="1" cm="1">
        <f t="array" ref="CK21">ROUNDUP((ROW()-$CN$18)/(N_secciones),0)</f>
        <v>1</v>
      </c>
      <c r="CL21" cm="1">
        <f t="array" ref="CL21">ROW()-ROW(INDEX(COND_SUPERFICIAL[],1,1))+1-(COND_SUPERFICIAL[[#This Row],[Mes]]-1)*N_secciones</f>
        <v>2</v>
      </c>
      <c r="CM21" s="1" t="str">
        <f>COND_SUPERFICIAL[[#This Row],[Mes]]&amp;"-"&amp;COND_SUPERFICIAL[[#This Row],[Sección]]</f>
        <v>1-2</v>
      </c>
      <c r="CN21" t="e" cm="1">
        <f t="array" ref="CN21">IF(INDEX(SECCIONES[Rtsección_condensación],COND_SUPERFICIAL[[#This Row],[Sección]])&lt;=INDEX(COND_SUPERFICIAL_CONDICIONES[Rt_mín],COND_SUPERFICIAL[[#This Row],[Mes]]),TRUE,FALSE)</f>
        <v>#N/A</v>
      </c>
      <c r="CP21" s="1" cm="1">
        <f t="array" ref="CP21">ROUNDUP((ROW()-$CN$18)/(N_secciones),0)</f>
        <v>1</v>
      </c>
      <c r="CQ21" s="1" cm="1">
        <f t="array" ref="CQ21">ROUNDUP((ROW()-$CN$18+(Mes_inicial_de_análisis-1)*N_secciones)/(N_secciones),0)-12*IF(ROW()-$CN$18&gt;(12-Mes_inicial_de_análisis+1)*N_secciones,1,0)</f>
        <v>7</v>
      </c>
      <c r="CR21" s="1" cm="1">
        <f t="array" ref="CR21">ROW()-$CN$18-(ROUNDUP((ROW()-$CN$18)/(N_secciones),0)-1)*N_secciones</f>
        <v>2</v>
      </c>
      <c r="CS21" s="107" t="str">
        <f>COND_INTERSTICIAL_AGUA_ACUMULADA[[#This Row],[orden]]&amp;"-"&amp;COND_INTERSTICIAL_AGUA_ACUMULADA[[#This Row],[Sección]]</f>
        <v>1-2</v>
      </c>
      <c r="CT21">
        <f ca="1">COUNTIFS(COND_INTERSTICIAL[agua líquida],TRUE,COND_INTERSTICIAL[Mes],COND_INTERSTICIAL_AGUA_ACUMULADA[[#This Row],[Mes]],COND_INTERSTICIAL[Sección],COND_INTERSTICIAL_AGUA_ACUMULADA[[#This Row],[Sección]])</f>
        <v>0</v>
      </c>
      <c r="CU21" s="107" t="e">
        <f ca="1">SUMIFS(COND_INTERSTICIAL[Ma],COND_INTERSTICIAL[Mes],COND_INTERSTICIAL_AGUA_ACUMULADA[[#This Row],[Mes]],COND_INTERSTICIAL[Sección],COND_INTERSTICIAL_AGUA_ACUMULADA[[#This Row],[Sección]])</f>
        <v>#DIV/0!</v>
      </c>
      <c r="CW21" s="1" cm="1">
        <f t="array" ref="CW21">ROUNDUP((ROW()-$CN$18+(Mes_inicial_de_análisis-1)*N_capas*N_secciones)/(N_capas*N_secciones),0)-12*IF(ROW()-$CN$18&gt;(12-Mes_inicial_de_análisis+1)*N_capas*N_secciones,1,0)</f>
        <v>7</v>
      </c>
      <c r="CX21" cm="1">
        <f t="array" ref="CX21">ROUNDUP((ROW()-$CN$18)/N_capas-(ROUNDUP((ROW()-$CN$18)/(N_capas*N_secciones),0)-1)*N_secciones,0)</f>
        <v>1</v>
      </c>
      <c r="CY21" cm="1">
        <f t="array" ref="CY21">(ROW()-$CN$18)-(COND_INTERSTICIAL[[#This Row],[Sección]]-1)*N_capas-(ROUNDUP((ROW()-$CN$18)/(N_capas*N_secciones),0)-1)*N_capas*N_secciones</f>
        <v>2</v>
      </c>
      <c r="CZ21" t="str">
        <f>COND_INTERSTICIAL[[#This Row],[Mes]]&amp;"-"&amp;COND_INTERSTICIAL[[#This Row],[Sección]]&amp;"-"&amp;COND_INTERSTICIAL[[#This Row],[Capa]]</f>
        <v>7-1-2</v>
      </c>
      <c r="DA21">
        <f ca="1">INDEX(SECCIONES_CAPAS[R''n],MATCH(COND_INTERSTICIAL[[#This Row],[Sección]]&amp;"-"&amp;COND_INTERSTICIAL[[#This Row],[Capa]],SECCIONES_CAPAS[llave],0))</f>
        <v>0.04</v>
      </c>
      <c r="DB21" s="172" cm="1">
        <f t="array" aca="1" ref="DB21" ca="1">INDEX(CLIMA[ϴe],COND_INTERSTICIAL[[#This Row],[Mes]])+COND_INTERSTICIAL[[#This Row],[Rn]]*(INDEX(CLIMA[ϴi],COND_INTERSTICIAL[[#This Row],[Mes]])-INDEX(CLIMA[ϴe],COND_INTERSTICIAL[[#This Row],[Mes]]))/(INDEX(SECCIONES[Rtsección_condensación],COND_INTERSTICIAL[[#This Row],[Sección]]))</f>
        <v>7.1470588235294112</v>
      </c>
      <c r="DC21">
        <f>INDEX(SECCIONES_CAPAS[Sd],MATCH(COND_INTERSTICIAL[[#This Row],[Sección]]&amp;"-"&amp;COND_INTERSTICIAL[[#This Row],[Capa]],SECCIONES_CAPAS[llave],0))</f>
        <v>0</v>
      </c>
      <c r="DD21">
        <f ca="1">INDEX(SECCIONES_CAPAS[S''d],MATCH(COND_INTERSTICIAL[[#This Row],[Sección]]&amp;"-"&amp;COND_INTERSTICIAL[[#This Row],[Capa]],SECCIONES_CAPAS[llave],0))</f>
        <v>0</v>
      </c>
      <c r="DE21" s="90">
        <f ca="1">IF(COND_INTERSTICIAL[[#This Row],[ϴn]]&gt;=0,610.5*EXP((17.269*COND_INTERSTICIAL[[#This Row],[ϴn]])/(237.3+COND_INTERSTICIAL[[#This Row],[ϴn]])),610.5*EXP((21.875*COND_INTERSTICIAL[[#This Row],[ϴn]])/(265.5+COND_INTERSTICIAL[[#This Row],[ϴn]])))</f>
        <v>1011.4936324284752</v>
      </c>
      <c r="DF21" s="90" t="e" cm="1">
        <f t="array" aca="1" ref="DF21" ca="1">COND_INTERSTICIAL[[#This Row],[S''d]]*((INDEX(CLIMA[Pi],COND_INTERSTICIAL[[#This Row],[Mes]])-INDEX(CLIMA[Pe],COND_INTERSTICIAL[[#This Row],[Mes]]))/INDEX(SECCIONES[SdT],COND_INTERSTICIAL[[#This Row],[Sección]]))+INDEX(CLIMA[Pe],COND_INTERSTICIAL[[#This Row],[Mes]])</f>
        <v>#DIV/0!</v>
      </c>
      <c r="DG21" s="108" t="e">
        <f ca="1">IF((COND_INTERSTICIAL[[#This Row],[Pn]]&gt;=COND_INTERSTICIAL[[#This Row],[Psat]]),TRUE,FALSE)</f>
        <v>#DIV/0!</v>
      </c>
      <c r="DH21" s="109" t="e" cm="1">
        <f t="array" aca="1" ref="DH21" ca="1">IF(COND_INTERSTICIAL[[#This Row],[Condensa]],COND_INTERSTICIAL[[#This Row],[Psat]],IF(COND_INTERSTICIAL[[#This Row],[Capa]]=N_capas,COND_INTERSTICIAL[[#This Row],[Pn]],""))</f>
        <v>#DIV/0!</v>
      </c>
      <c r="DI21" s="109" t="e">
        <f ca="1">COND_INTERSTICIAL[[#This Row],[Mes]]&amp;"-"&amp;COND_INTERSTICIAL[[#This Row],[Sección]]&amp;"-"&amp;COND_INTERSTICIAL[[#This Row],[tramo cond]]</f>
        <v>#DIV/0!</v>
      </c>
      <c r="DJ21" t="e" cm="1">
        <f t="array" aca="1" ref="DJ21" ca="1">IF(COND_INTERSTICIAL[[#This Row],[Capa]]=1,IF(COND_INTERSTICIAL[[#This Row],[Condensa]],2,1),IF(COND_INTERSTICIAL[[#This Row],[Condensa]],1,0)+INDIRECT(ADDRESS(ROW()-1,COLUMN(),4)))</f>
        <v>#DIV/0!</v>
      </c>
      <c r="DK21" s="108" t="e" cm="1">
        <f t="array" aca="1" ref="DK21" ca="1">IF(COND_INTERSTICIAL[[#This Row],[tramo cond]]=1,0,IF((COND_INTERSTICIAL[[#This Row],[tramo cond]]&gt;INDIRECT(ADDRESS(ROW()-1,COLUMN(COND_INTERSTICIAL[[#This Row],[tramo cond]]),4)))+COND_INTERSTICIAL[[#This Row],[Condensa]],COND_INTERSTICIAL[[#This Row],[Capa]],INDIRECT(ADDRESS(ROW()-1,COLUMN(),4))))</f>
        <v>#DIV/0!</v>
      </c>
      <c r="DL21" s="108" t="e" cm="1">
        <f t="array" aca="1" ref="DL21" ca="1">IF((COND_INTERSTICIAL[[#This Row],[Capa]]=N_capas)+(COND_INTERSTICIAL[[#This Row],[tramo cond]]=COUNTIFS(COND_INTERSTICIAL[Condensa],TRUE,COND_INTERSTICIAL[Mes],CW21,COND_INTERSTICIAL[Sección],CX21)+1),N_capas,INDEX(COND_INTERSTICIAL[capa lím inf cond],MATCH(COND_INTERSTICIAL[[#This Row],[Mes]]&amp;"-"&amp;COND_INTERSTICIAL[[#This Row],[Sección]]&amp;"-"&amp;(COND_INTERSTICIAL[[#This Row],[tramo cond]]+1),COND_INTERSTICIAL[llave tramo cond],0)))</f>
        <v>#DIV/0!</v>
      </c>
      <c r="DM21" s="108" cm="1">
        <f t="array" aca="1" ref="DM2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1" s="110" t="e" cm="1">
        <f t="array" aca="1" ref="DN2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1"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1" s="107" t="e">
        <f ca="1">COND_INTERSTICIAL[[#This Row],[gc]]+COND_INTERSTICIAL[[#This Row],[Ma_anterior cond]]</f>
        <v>#DIV/0!</v>
      </c>
      <c r="DQ21" s="113" t="e">
        <f ca="1">IF((COND_INTERSTICIAL[[#This Row],[Ma_anterior cond]]&gt;0)*NOT(COND_INTERSTICIAL[[#This Row],[Condensa]]),TRUE,FALSE)</f>
        <v>#DIV/0!</v>
      </c>
      <c r="DR21" s="112" t="e" cm="1">
        <f t="array" aca="1" ref="DR21" ca="1">IF(COND_INTERSTICIAL[[#This Row],[evapora]],COND_INTERSTICIAL[[#This Row],[Psat]],IF(COND_INTERSTICIAL[[#This Row],[Capa]]=N_capas,COND_INTERSTICIAL[[#This Row],[Pn]],""))</f>
        <v>#DIV/0!</v>
      </c>
      <c r="DS21" s="112" t="e">
        <f ca="1">COND_INTERSTICIAL[[#This Row],[Mes]]&amp;"-"&amp;COND_INTERSTICIAL[[#This Row],[Sección]]&amp;"-"&amp;COND_INTERSTICIAL[[#This Row],[tramo ev]]</f>
        <v>#DIV/0!</v>
      </c>
      <c r="DT21" s="111" t="e" cm="1">
        <f t="array" aca="1" ref="DT21" ca="1">IF(COND_INTERSTICIAL[[#This Row],[Capa]]=1,IF(COND_INTERSTICIAL[[#This Row],[evapora]],2,1),IF(COND_INTERSTICIAL[[#This Row],[evapora]],1,0)+INDIRECT(ADDRESS(ROW()-1,COLUMN(),4)))</f>
        <v>#DIV/0!</v>
      </c>
      <c r="DU21" s="111" t="e" cm="1">
        <f t="array" aca="1" ref="DU21" ca="1">IF(COND_INTERSTICIAL[[#This Row],[tramo ev]]=1,0,IF((COND_INTERSTICIAL[[#This Row],[tramo ev]]&gt;INDIRECT(ADDRESS(ROW()-1,COLUMN(COND_INTERSTICIAL[[#This Row],[tramo ev]]),4)))+COND_INTERSTICIAL[[#This Row],[evapora]],COND_INTERSTICIAL[[#This Row],[Capa]],INDIRECT(ADDRESS(ROW()-1,COLUMN(),4))))</f>
        <v>#DIV/0!</v>
      </c>
      <c r="DV21" s="111" t="e" cm="1">
        <f t="array" aca="1" ref="DV21" ca="1">IF((COND_INTERSTICIAL[[#This Row],[Capa]]=N_capas)+(COND_INTERSTICIAL[[#This Row],[tramo ev]]=COUNTIFS(COND_INTERSTICIAL[evapora],TRUE,COND_INTERSTICIAL[Mes],CW21,COND_INTERSTICIAL[Sección],CX21)+1),N_capas,INDEX(COND_INTERSTICIAL[capa lím inf ev],MATCH(COND_INTERSTICIAL[[#This Row],[Mes]]&amp;"-"&amp;COND_INTERSTICIAL[[#This Row],[Sección]]&amp;"-"&amp;(COND_INTERSTICIAL[[#This Row],[tramo ev]]+1),COND_INTERSTICIAL[llave tramo ev],0)))</f>
        <v>#DIV/0!</v>
      </c>
      <c r="DW21" s="111" cm="1">
        <f t="array" aca="1" ref="DW2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1" s="113" t="e" cm="1">
        <f t="array" aca="1" ref="DX2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1"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1" s="113" t="e">
        <f ca="1">COND_INTERSTICIAL[[#This Row],[gev]]+COND_INTERSTICIAL[[#This Row],[Ma anterior ev]]</f>
        <v>#DIV/0!</v>
      </c>
      <c r="EA21" s="115" t="e">
        <f ca="1">IF(COND_INTERSTICIAL[[#This Row],[Ma cond]]+COND_INTERSTICIAL[[#This Row],[Ma ev]]&lt;=0,0,COND_INTERSTICIAL[[#This Row],[Ma cond]]+COND_INTERSTICIAL[[#This Row],[Ma ev]])</f>
        <v>#DIV/0!</v>
      </c>
      <c r="EB21" s="115" t="e">
        <f ca="1">IF(COND_INTERSTICIAL[[#This Row],[Ma]]&gt;0,TRUE,FALSE)</f>
        <v>#DIV/0!</v>
      </c>
      <c r="EC21" s="115" t="e" cm="1">
        <f t="array" aca="1" ref="EC21" ca="1">IF(COND_INTERSTICIAL[[#This Row],[agua líquida]],IF(COND_INTERSTICIAL[[#This Row],[Condensa]],COND_INTERSTICIAL[[#This Row],[P límite cond]],COND_INTERSTICIAL[[#This Row],[P límite ev]]),IF(COND_INTERSTICIAL[[#This Row],[Capa]]=N_capas,COND_INTERSTICIAL[[#This Row],[Pn]],""))</f>
        <v>#DIV/0!</v>
      </c>
      <c r="ED21" s="115" t="e">
        <f ca="1">COND_INTERSTICIAL[[#This Row],[Mes]]&amp;"-"&amp;COND_INTERSTICIAL[[#This Row],[Sección]]&amp;"-"&amp;COND_INTERSTICIAL[[#This Row],[tramo gráf]]</f>
        <v>#DIV/0!</v>
      </c>
      <c r="EE21" s="114" t="e" cm="1">
        <f t="array" aca="1" ref="EE21" ca="1">IF(COND_INTERSTICIAL[[#This Row],[Capa]]=1,IF(COND_INTERSTICIAL[[#This Row],[agua líquida]],2,1),IF(COND_INTERSTICIAL[[#This Row],[agua líquida]],1,0)+INDIRECT(ADDRESS(ROW()-1,COLUMN(),4)))</f>
        <v>#DIV/0!</v>
      </c>
      <c r="EF21" s="114" t="e" cm="1">
        <f t="array" aca="1" ref="EF21" ca="1">IF(COND_INTERSTICIAL[[#This Row],[tramo gráf]]=1,0,IF((COND_INTERSTICIAL[[#This Row],[tramo gráf]]&gt;INDIRECT(ADDRESS(ROW()-1,COLUMN(COND_INTERSTICIAL[[#This Row],[tramo gráf]]),4)))+COND_INTERSTICIAL[[#This Row],[agua líquida]],COND_INTERSTICIAL[[#This Row],[Capa]],INDIRECT(ADDRESS(ROW()-1,COLUMN(),4))))</f>
        <v>#DIV/0!</v>
      </c>
      <c r="EG21" s="114" t="e" cm="1">
        <f t="array" aca="1" ref="EG21" ca="1">IF((COND_INTERSTICIAL[[#This Row],[Capa]]=N_capas)+(COND_INTERSTICIAL[[#This Row],[tramo gráf]]=COUNTIFS(COND_INTERSTICIAL[agua líquida],TRUE,COND_INTERSTICIAL[Mes],CW21,COND_INTERSTICIAL[Sección],CX21)+1),N_capas,INDEX(COND_INTERSTICIAL[capa lím inf gráf],MATCH(COND_INTERSTICIAL[[#This Row],[Mes]]&amp;"-"&amp;COND_INTERSTICIAL[[#This Row],[Sección]]&amp;"-"&amp;(COND_INTERSTICIAL[[#This Row],[tramo gráf]]+1),COND_INTERSTICIAL[llave tramo gráf],0)))</f>
        <v>#DIV/0!</v>
      </c>
      <c r="EH21" s="114" cm="1">
        <f t="array" aca="1" ref="EH2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1" s="116" t="e" cm="1">
        <f t="array" aca="1" ref="EI2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1" t="s">
        <v>1488</v>
      </c>
      <c r="EM21" t="str">
        <f>"Sd Total = "&amp;$EM$19&amp;" [m]"</f>
        <v>Sd Total = 0 [m]</v>
      </c>
      <c r="FW21" s="60" t="s">
        <v>1501</v>
      </c>
      <c r="FX21" s="11" t="s">
        <v>1509</v>
      </c>
      <c r="FY21" s="301" t="str">
        <f ca="1">$BZ$48</f>
        <v>n/a</v>
      </c>
      <c r="FZ21" s="301" t="str">
        <f ca="1">$BZ$48</f>
        <v>n/a</v>
      </c>
      <c r="GA21" s="301"/>
      <c r="GB21" s="308"/>
      <c r="GD21" s="11"/>
      <c r="GH21" s="12"/>
    </row>
    <row r="22" spans="2:195" ht="14.65" thickBot="1" x14ac:dyDescent="0.5">
      <c r="B22" cm="1">
        <f t="array" ref="B22">ROUNDUP((ROW()-ROW(INDEX(SECCIONES_CAPAS[],1,1))+1)/N_capas,0)</f>
        <v>1</v>
      </c>
      <c r="C22" cm="1">
        <f t="array" ref="C22">(ROW()-ROW(INDEX(SECCIONES_CAPAS[],1,1))+1)-(SECCIONES_CAPAS[[#This Row],[Sección]]-1)*N_capas</f>
        <v>7</v>
      </c>
      <c r="D22" t="str">
        <f>SECCIONES_CAPAS[[#This Row],[Sección]]&amp;"-"&amp;SECCIONES_CAPAS[[#This Row],[Capa]]</f>
        <v>1-7</v>
      </c>
      <c r="E22" cm="1">
        <f t="array" ref="E22">INDEX(DATOS[],2+SECCIONES_CAPAS[[#This Row],[Capa]],2+SECCIONES_CAPAS[[#This Row],[Sección]])</f>
        <v>0</v>
      </c>
      <c r="F22" t="str">
        <f>IFERROR(INDEX(MATERIALES[Abreviatura],MATCH(SECCIONES_CAPAS[[#This Row],[Material nombre largo]],MATERIALES[Nombre largo],0)),"Capa "&amp;SECCIONES_CAPAS[[#This Row],[Capa]])</f>
        <v>Capa 7</v>
      </c>
      <c r="G22" t="e">
        <f>INDEX(MATERIALES[Biblioteca],MATCH(SECCIONES_CAPAS[[#This Row],[Material nombre largo]],MATERIALES[Nombre largo],0))</f>
        <v>#N/A</v>
      </c>
      <c r="H22" t="e">
        <f>INDEX(MATERIALES[Material],MATCH(SECCIONES_CAPAS[[#This Row],[Material nombre largo]],MATERIALES[Nombre largo],0))</f>
        <v>#N/A</v>
      </c>
      <c r="I22" t="str">
        <f>SECCIONES_CAPAS[[#This Row],[Abreviatura]]&amp;" "&amp;SECCIONES_CAPAS[[#This Row],[d]]*1000&amp;" mm"</f>
        <v>Capa 7 0 mm</v>
      </c>
      <c r="J22" t="str" cm="1">
        <f t="array" aca="1" ref="J22" ca="1">IF(SECCIONES_CAPAS[[#This Row],[Capa]]=1,SECCIONES_CAPAS[[#This Row],[descripción auto]],INDIRECT(ADDRESS(ROW()-1,COLUMN(),4))&amp;" + "&amp;SECCIONES_CAPAS[[#This Row],[descripción auto]])</f>
        <v>Capa 1 0 mm + Capa 2 0 mm + Capa 3 0 mm + Capa 4 0 mm + Capa 5 0 mm + Capa 6 0 mm + Capa 7 0 mm</v>
      </c>
      <c r="K22" t="str" cm="1">
        <f t="array" aca="1" ref="K22"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7</v>
      </c>
      <c r="L22" t="b">
        <f>IF(SECCIONES_CAPAS[[#This Row],[Material nombre largo]]=Aux!$H$29,TRUE,FALSE)</f>
        <v>0</v>
      </c>
      <c r="M22" t="b" cm="1">
        <f t="array" aca="1" ref="M22" ca="1">IFERROR(IF(SECCIONES_CAPAS[[#This Row],[Cámara aire no ventilada]]*INDIRECT(ADDRESS(ROW()+1,COLUMN(),4))+INDIRECT(ADDRESS(ROW()-1,COLUMN(SECCIONES_CAPAS[[#This Row],[Cámara aire no ventilada]]),4))*SECCIONES_CAPAS[[#This Row],[Cámara aire no ventilada]],TRUE,FALSE),FALSE)</f>
        <v>0</v>
      </c>
      <c r="O22" s="47" cm="1">
        <f t="array" ref="O22">IF(SECCIONES_CAPAS[[#This Row],[Material nombre largo]]=0,0,INDEX(CAPAS[d],SECCIONES_CAPAS[[#This Row],[Capa]]))</f>
        <v>0</v>
      </c>
      <c r="P22" s="47" t="e">
        <f>MATCH(INDEX(MATERIALES[Propiedad térmica],MATCH(SECCIONES_CAPAS[[#This Row],[Material nombre largo]],MATERIALES[Nombre largo],0)),Aux!$H$18:$H$19,0)</f>
        <v>#N/A</v>
      </c>
      <c r="Q22" s="47">
        <f>IF(ISERROR(SECCIONES_CAPAS[[#This Row],[índice prop térmica]]),1,0)</f>
        <v>1</v>
      </c>
      <c r="R22" s="373" cm="1">
        <f t="array" ref="R22">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2" s="373" t="b">
        <f>IF((SECCIONES_CAPAS[[#This Row],[λ]]&lt;0.1)*(SECCIONES_CAPAS[[#This Row],[λ]]&gt;0),TRUE,FALSE)</f>
        <v>0</v>
      </c>
      <c r="T22" s="47" cm="1">
        <f t="array" ref="T22">INDEX(SECCIONES[f],SECCIONES_CAPAS[[#This Row],[Sección]])*SECCIONES_CAPAS[[#This Row],[λ]]</f>
        <v>0</v>
      </c>
      <c r="U22" s="47" cm="1">
        <f t="array" ref="U22">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2" s="47">
        <f>IFERROR(INDEX(SECCIONES[f],MATCH(SECCIONES_CAPAS[[#This Row],[Sección]],SECCIONES[Sección m],0))/SECCIONES_CAPAS[[#This Row],[R]],0)</f>
        <v>0</v>
      </c>
      <c r="W22" s="47">
        <f>IF(SECCIONES_CAPAS[[#This Row],[Capa]]=1,SECCIONES_CAPAS[[#This Row],[d]],SECCIONES_CAPAS[[#This Row],[d]]+W21)</f>
        <v>0</v>
      </c>
      <c r="X22" s="374" cm="1">
        <f t="array" aca="1" ref="X22" ca="1">IF(SECCIONES_CAPAS[[#This Row],[Capa]]=1,IF(contacto_terreno,Resistencia_térmica_2m_tierra+SECCIONES_CAPAS[[#This Row],[R]],R_se+SECCIONES_CAPAS[[#This Row],[R]]),INDIRECT(ADDRESS(ROW()-1,COLUMN(),4))+SECCIONES_CAPAS[[#This Row],[R]])</f>
        <v>0.04</v>
      </c>
      <c r="Y22" s="47" t="e">
        <f>MATCH(INDEX(MATERIALES[Propiedad difusión de vapor],MATCH(SECCIONES_CAPAS[[#This Row],[Material nombre largo]],MATERIALES[Nombre largo],0)),Aux!$H$20:$H$27,0)</f>
        <v>#N/A</v>
      </c>
      <c r="Z22"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2" s="375" t="e">
        <f>IF(INDEX(MATERIALES[Valor propiedad difusión de vapor],MATCH(SECCIONES_CAPAS[[#This Row],[Material nombre largo]],MATERIALES[Nombre largo],0))=Aux!$C$112,TRUE,FALSE)</f>
        <v>#N/A</v>
      </c>
      <c r="AB22" s="373" cm="1">
        <f t="array" ref="AB22">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2" s="47" cm="1">
        <f t="array" aca="1" ref="AC22" ca="1">IF(SECCIONES_CAPAS[[#This Row],[Capa]]=1,SECCIONES_CAPAS[[#This Row],[Sd]],SECCIONES_CAPAS[[#This Row],[Sd]]+INDIRECT(ADDRESS(ROW()-1,COLUMN(),4)))</f>
        <v>0</v>
      </c>
      <c r="AD22" s="47">
        <f>IF(ISERROR(SECCIONES_CAPAS[[#This Row],[Sd]]),1,0)</f>
        <v>0</v>
      </c>
      <c r="AF22" s="11" t="s">
        <v>327</v>
      </c>
      <c r="AG22" s="2" t="s">
        <v>328</v>
      </c>
      <c r="AH22" s="6" t="e">
        <f>1-R_si/R_tot_sup</f>
        <v>#DIV/0!</v>
      </c>
      <c r="AI22" s="12"/>
      <c r="BY22" s="11" t="s">
        <v>277</v>
      </c>
      <c r="BZ22" t="str" cm="1">
        <f t="array" ref="BZ22">IFERROR(INDEX(lista_zonas_macrozonas,param_emplazamiento_1),NA())</f>
        <v>Zona E</v>
      </c>
      <c r="CA22" s="12"/>
      <c r="CD22" s="191">
        <v>3</v>
      </c>
      <c r="CE22" s="90" cm="1">
        <f t="array" ref="CE22">INDEX(CLIMA[Pi],COND_SUPERFICIAL_CONDICIONES[[#This Row],[Mes]])/ϕsicr</f>
        <v>1647.1134324241689</v>
      </c>
      <c r="CF22"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2" s="36" t="e" cm="1">
        <f t="array" ref="CG22">(COND_SUPERFICIAL_CONDICIONES[[#This Row],[ϴsi_mín]]-INDEX(CLIMA[ϴe],COND_SUPERFICIAL_CONDICIONES[[#This Row],[Mes]]))/(INDEX(CLIMA[ϴi],COND_SUPERFICIAL_CONDICIONES[[#This Row],[Mes]])-INDEX(CLIMA[ϴe],COND_SUPERFICIAL_CONDICIONES[[#This Row],[Mes]]))</f>
        <v>#N/A</v>
      </c>
      <c r="CH22" s="36" t="e">
        <f>Rsi_condensación/(1-COND_SUPERFICIAL_CONDICIONES[[#This Row],[fRsi_mín]])</f>
        <v>#N/A</v>
      </c>
      <c r="CI22" s="6" t="e">
        <f>1/COND_SUPERFICIAL_CONDICIONES[[#This Row],[Rt_mín]]</f>
        <v>#N/A</v>
      </c>
      <c r="CK22" s="1" cm="1">
        <f t="array" ref="CK22">ROUNDUP((ROW()-$CN$18)/(N_secciones),0)</f>
        <v>2</v>
      </c>
      <c r="CL22" cm="1">
        <f t="array" ref="CL22">ROW()-ROW(INDEX(COND_SUPERFICIAL[],1,1))+1-(COND_SUPERFICIAL[[#This Row],[Mes]]-1)*N_secciones</f>
        <v>1</v>
      </c>
      <c r="CM22" s="1" t="str">
        <f>COND_SUPERFICIAL[[#This Row],[Mes]]&amp;"-"&amp;COND_SUPERFICIAL[[#This Row],[Sección]]</f>
        <v>2-1</v>
      </c>
      <c r="CN22" t="e" cm="1">
        <f t="array" ref="CN22">IF(INDEX(SECCIONES[Rtsección_condensación],COND_SUPERFICIAL[[#This Row],[Sección]])&lt;=INDEX(COND_SUPERFICIAL_CONDICIONES[Rt_mín],COND_SUPERFICIAL[[#This Row],[Mes]]),TRUE,FALSE)</f>
        <v>#N/A</v>
      </c>
      <c r="CP22" s="1" cm="1">
        <f t="array" ref="CP22">ROUNDUP((ROW()-$CN$18)/(N_secciones),0)</f>
        <v>2</v>
      </c>
      <c r="CQ22" s="1" cm="1">
        <f t="array" ref="CQ22">ROUNDUP((ROW()-$CN$18+(Mes_inicial_de_análisis-1)*N_secciones)/(N_secciones),0)-12*IF(ROW()-$CN$18&gt;(12-Mes_inicial_de_análisis+1)*N_secciones,1,0)</f>
        <v>8</v>
      </c>
      <c r="CR22" s="1" cm="1">
        <f t="array" ref="CR22">ROW()-$CN$18-(ROUNDUP((ROW()-$CN$18)/(N_secciones),0)-1)*N_secciones</f>
        <v>1</v>
      </c>
      <c r="CS22" s="107" t="str">
        <f>COND_INTERSTICIAL_AGUA_ACUMULADA[[#This Row],[orden]]&amp;"-"&amp;COND_INTERSTICIAL_AGUA_ACUMULADA[[#This Row],[Sección]]</f>
        <v>2-1</v>
      </c>
      <c r="CT22">
        <f ca="1">COUNTIFS(COND_INTERSTICIAL[agua líquida],TRUE,COND_INTERSTICIAL[Mes],COND_INTERSTICIAL_AGUA_ACUMULADA[[#This Row],[Mes]],COND_INTERSTICIAL[Sección],COND_INTERSTICIAL_AGUA_ACUMULADA[[#This Row],[Sección]])</f>
        <v>0</v>
      </c>
      <c r="CU22" s="107" t="e">
        <f ca="1">SUMIFS(COND_INTERSTICIAL[Ma],COND_INTERSTICIAL[Mes],COND_INTERSTICIAL_AGUA_ACUMULADA[[#This Row],[Mes]],COND_INTERSTICIAL[Sección],COND_INTERSTICIAL_AGUA_ACUMULADA[[#This Row],[Sección]])</f>
        <v>#N/A</v>
      </c>
      <c r="CW22" s="1" cm="1">
        <f t="array" ref="CW22">ROUNDUP((ROW()-$CN$18+(Mes_inicial_de_análisis-1)*N_capas*N_secciones)/(N_capas*N_secciones),0)-12*IF(ROW()-$CN$18&gt;(12-Mes_inicial_de_análisis+1)*N_capas*N_secciones,1,0)</f>
        <v>7</v>
      </c>
      <c r="CX22" cm="1">
        <f t="array" ref="CX22">ROUNDUP((ROW()-$CN$18)/N_capas-(ROUNDUP((ROW()-$CN$18)/(N_capas*N_secciones),0)-1)*N_secciones,0)</f>
        <v>1</v>
      </c>
      <c r="CY22" cm="1">
        <f t="array" ref="CY22">(ROW()-$CN$18)-(COND_INTERSTICIAL[[#This Row],[Sección]]-1)*N_capas-(ROUNDUP((ROW()-$CN$18)/(N_capas*N_secciones),0)-1)*N_capas*N_secciones</f>
        <v>3</v>
      </c>
      <c r="CZ22" t="str">
        <f>COND_INTERSTICIAL[[#This Row],[Mes]]&amp;"-"&amp;COND_INTERSTICIAL[[#This Row],[Sección]]&amp;"-"&amp;COND_INTERSTICIAL[[#This Row],[Capa]]</f>
        <v>7-1-3</v>
      </c>
      <c r="DA22">
        <f ca="1">INDEX(SECCIONES_CAPAS[R''n],MATCH(COND_INTERSTICIAL[[#This Row],[Sección]]&amp;"-"&amp;COND_INTERSTICIAL[[#This Row],[Capa]],SECCIONES_CAPAS[llave],0))</f>
        <v>0.04</v>
      </c>
      <c r="DB22" s="172" cm="1">
        <f t="array" aca="1" ref="DB22" ca="1">INDEX(CLIMA[ϴe],COND_INTERSTICIAL[[#This Row],[Mes]])+COND_INTERSTICIAL[[#This Row],[Rn]]*(INDEX(CLIMA[ϴi],COND_INTERSTICIAL[[#This Row],[Mes]])-INDEX(CLIMA[ϴe],COND_INTERSTICIAL[[#This Row],[Mes]]))/(INDEX(SECCIONES[Rtsección_condensación],COND_INTERSTICIAL[[#This Row],[Sección]]))</f>
        <v>7.1470588235294112</v>
      </c>
      <c r="DC22">
        <f>INDEX(SECCIONES_CAPAS[Sd],MATCH(COND_INTERSTICIAL[[#This Row],[Sección]]&amp;"-"&amp;COND_INTERSTICIAL[[#This Row],[Capa]],SECCIONES_CAPAS[llave],0))</f>
        <v>0</v>
      </c>
      <c r="DD22">
        <f ca="1">INDEX(SECCIONES_CAPAS[S''d],MATCH(COND_INTERSTICIAL[[#This Row],[Sección]]&amp;"-"&amp;COND_INTERSTICIAL[[#This Row],[Capa]],SECCIONES_CAPAS[llave],0))</f>
        <v>0</v>
      </c>
      <c r="DE22" s="90">
        <f ca="1">IF(COND_INTERSTICIAL[[#This Row],[ϴn]]&gt;=0,610.5*EXP((17.269*COND_INTERSTICIAL[[#This Row],[ϴn]])/(237.3+COND_INTERSTICIAL[[#This Row],[ϴn]])),610.5*EXP((21.875*COND_INTERSTICIAL[[#This Row],[ϴn]])/(265.5+COND_INTERSTICIAL[[#This Row],[ϴn]])))</f>
        <v>1011.4936324284752</v>
      </c>
      <c r="DF22" s="90" t="e" cm="1">
        <f t="array" aca="1" ref="DF22" ca="1">COND_INTERSTICIAL[[#This Row],[S''d]]*((INDEX(CLIMA[Pi],COND_INTERSTICIAL[[#This Row],[Mes]])-INDEX(CLIMA[Pe],COND_INTERSTICIAL[[#This Row],[Mes]]))/INDEX(SECCIONES[SdT],COND_INTERSTICIAL[[#This Row],[Sección]]))+INDEX(CLIMA[Pe],COND_INTERSTICIAL[[#This Row],[Mes]])</f>
        <v>#DIV/0!</v>
      </c>
      <c r="DG22" s="108" t="e">
        <f ca="1">IF((COND_INTERSTICIAL[[#This Row],[Pn]]&gt;=COND_INTERSTICIAL[[#This Row],[Psat]]),TRUE,FALSE)</f>
        <v>#DIV/0!</v>
      </c>
      <c r="DH22" s="109" t="e" cm="1">
        <f t="array" aca="1" ref="DH22" ca="1">IF(COND_INTERSTICIAL[[#This Row],[Condensa]],COND_INTERSTICIAL[[#This Row],[Psat]],IF(COND_INTERSTICIAL[[#This Row],[Capa]]=N_capas,COND_INTERSTICIAL[[#This Row],[Pn]],""))</f>
        <v>#DIV/0!</v>
      </c>
      <c r="DI22" s="109" t="e">
        <f ca="1">COND_INTERSTICIAL[[#This Row],[Mes]]&amp;"-"&amp;COND_INTERSTICIAL[[#This Row],[Sección]]&amp;"-"&amp;COND_INTERSTICIAL[[#This Row],[tramo cond]]</f>
        <v>#DIV/0!</v>
      </c>
      <c r="DJ22" t="e" cm="1">
        <f t="array" aca="1" ref="DJ22" ca="1">IF(COND_INTERSTICIAL[[#This Row],[Capa]]=1,IF(COND_INTERSTICIAL[[#This Row],[Condensa]],2,1),IF(COND_INTERSTICIAL[[#This Row],[Condensa]],1,0)+INDIRECT(ADDRESS(ROW()-1,COLUMN(),4)))</f>
        <v>#DIV/0!</v>
      </c>
      <c r="DK22" s="108" t="e" cm="1">
        <f t="array" aca="1" ref="DK22" ca="1">IF(COND_INTERSTICIAL[[#This Row],[tramo cond]]=1,0,IF((COND_INTERSTICIAL[[#This Row],[tramo cond]]&gt;INDIRECT(ADDRESS(ROW()-1,COLUMN(COND_INTERSTICIAL[[#This Row],[tramo cond]]),4)))+COND_INTERSTICIAL[[#This Row],[Condensa]],COND_INTERSTICIAL[[#This Row],[Capa]],INDIRECT(ADDRESS(ROW()-1,COLUMN(),4))))</f>
        <v>#DIV/0!</v>
      </c>
      <c r="DL22" s="108" t="e" cm="1">
        <f t="array" aca="1" ref="DL22" ca="1">IF((COND_INTERSTICIAL[[#This Row],[Capa]]=N_capas)+(COND_INTERSTICIAL[[#This Row],[tramo cond]]=COUNTIFS(COND_INTERSTICIAL[Condensa],TRUE,COND_INTERSTICIAL[Mes],CW22,COND_INTERSTICIAL[Sección],CX22)+1),N_capas,INDEX(COND_INTERSTICIAL[capa lím inf cond],MATCH(COND_INTERSTICIAL[[#This Row],[Mes]]&amp;"-"&amp;COND_INTERSTICIAL[[#This Row],[Sección]]&amp;"-"&amp;(COND_INTERSTICIAL[[#This Row],[tramo cond]]+1),COND_INTERSTICIAL[llave tramo cond],0)))</f>
        <v>#DIV/0!</v>
      </c>
      <c r="DM22" s="108" cm="1">
        <f t="array" aca="1" ref="DM2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2" s="110" t="e" cm="1">
        <f t="array" aca="1" ref="DN2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2"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2" s="107" t="e">
        <f ca="1">COND_INTERSTICIAL[[#This Row],[gc]]+COND_INTERSTICIAL[[#This Row],[Ma_anterior cond]]</f>
        <v>#DIV/0!</v>
      </c>
      <c r="DQ22" s="113" t="e">
        <f ca="1">IF((COND_INTERSTICIAL[[#This Row],[Ma_anterior cond]]&gt;0)*NOT(COND_INTERSTICIAL[[#This Row],[Condensa]]),TRUE,FALSE)</f>
        <v>#DIV/0!</v>
      </c>
      <c r="DR22" s="112" t="e" cm="1">
        <f t="array" aca="1" ref="DR22" ca="1">IF(COND_INTERSTICIAL[[#This Row],[evapora]],COND_INTERSTICIAL[[#This Row],[Psat]],IF(COND_INTERSTICIAL[[#This Row],[Capa]]=N_capas,COND_INTERSTICIAL[[#This Row],[Pn]],""))</f>
        <v>#DIV/0!</v>
      </c>
      <c r="DS22" s="112" t="e">
        <f ca="1">COND_INTERSTICIAL[[#This Row],[Mes]]&amp;"-"&amp;COND_INTERSTICIAL[[#This Row],[Sección]]&amp;"-"&amp;COND_INTERSTICIAL[[#This Row],[tramo ev]]</f>
        <v>#DIV/0!</v>
      </c>
      <c r="DT22" s="111" t="e" cm="1">
        <f t="array" aca="1" ref="DT22" ca="1">IF(COND_INTERSTICIAL[[#This Row],[Capa]]=1,IF(COND_INTERSTICIAL[[#This Row],[evapora]],2,1),IF(COND_INTERSTICIAL[[#This Row],[evapora]],1,0)+INDIRECT(ADDRESS(ROW()-1,COLUMN(),4)))</f>
        <v>#DIV/0!</v>
      </c>
      <c r="DU22" s="111" t="e" cm="1">
        <f t="array" aca="1" ref="DU22" ca="1">IF(COND_INTERSTICIAL[[#This Row],[tramo ev]]=1,0,IF((COND_INTERSTICIAL[[#This Row],[tramo ev]]&gt;INDIRECT(ADDRESS(ROW()-1,COLUMN(COND_INTERSTICIAL[[#This Row],[tramo ev]]),4)))+COND_INTERSTICIAL[[#This Row],[evapora]],COND_INTERSTICIAL[[#This Row],[Capa]],INDIRECT(ADDRESS(ROW()-1,COLUMN(),4))))</f>
        <v>#DIV/0!</v>
      </c>
      <c r="DV22" s="111" t="e" cm="1">
        <f t="array" aca="1" ref="DV22" ca="1">IF((COND_INTERSTICIAL[[#This Row],[Capa]]=N_capas)+(COND_INTERSTICIAL[[#This Row],[tramo ev]]=COUNTIFS(COND_INTERSTICIAL[evapora],TRUE,COND_INTERSTICIAL[Mes],CW22,COND_INTERSTICIAL[Sección],CX22)+1),N_capas,INDEX(COND_INTERSTICIAL[capa lím inf ev],MATCH(COND_INTERSTICIAL[[#This Row],[Mes]]&amp;"-"&amp;COND_INTERSTICIAL[[#This Row],[Sección]]&amp;"-"&amp;(COND_INTERSTICIAL[[#This Row],[tramo ev]]+1),COND_INTERSTICIAL[llave tramo ev],0)))</f>
        <v>#DIV/0!</v>
      </c>
      <c r="DW22" s="111" cm="1">
        <f t="array" aca="1" ref="DW2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2" s="113" t="e" cm="1">
        <f t="array" aca="1" ref="DX2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2"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2" s="113" t="e">
        <f ca="1">COND_INTERSTICIAL[[#This Row],[gev]]+COND_INTERSTICIAL[[#This Row],[Ma anterior ev]]</f>
        <v>#DIV/0!</v>
      </c>
      <c r="EA22" s="115" t="e">
        <f ca="1">IF(COND_INTERSTICIAL[[#This Row],[Ma cond]]+COND_INTERSTICIAL[[#This Row],[Ma ev]]&lt;=0,0,COND_INTERSTICIAL[[#This Row],[Ma cond]]+COND_INTERSTICIAL[[#This Row],[Ma ev]])</f>
        <v>#DIV/0!</v>
      </c>
      <c r="EB22" s="115" t="e">
        <f ca="1">IF(COND_INTERSTICIAL[[#This Row],[Ma]]&gt;0,TRUE,FALSE)</f>
        <v>#DIV/0!</v>
      </c>
      <c r="EC22" s="115" t="e" cm="1">
        <f t="array" aca="1" ref="EC22" ca="1">IF(COND_INTERSTICIAL[[#This Row],[agua líquida]],IF(COND_INTERSTICIAL[[#This Row],[Condensa]],COND_INTERSTICIAL[[#This Row],[P límite cond]],COND_INTERSTICIAL[[#This Row],[P límite ev]]),IF(COND_INTERSTICIAL[[#This Row],[Capa]]=N_capas,COND_INTERSTICIAL[[#This Row],[Pn]],""))</f>
        <v>#DIV/0!</v>
      </c>
      <c r="ED22" s="115" t="e">
        <f ca="1">COND_INTERSTICIAL[[#This Row],[Mes]]&amp;"-"&amp;COND_INTERSTICIAL[[#This Row],[Sección]]&amp;"-"&amp;COND_INTERSTICIAL[[#This Row],[tramo gráf]]</f>
        <v>#DIV/0!</v>
      </c>
      <c r="EE22" s="114" t="e" cm="1">
        <f t="array" aca="1" ref="EE22" ca="1">IF(COND_INTERSTICIAL[[#This Row],[Capa]]=1,IF(COND_INTERSTICIAL[[#This Row],[agua líquida]],2,1),IF(COND_INTERSTICIAL[[#This Row],[agua líquida]],1,0)+INDIRECT(ADDRESS(ROW()-1,COLUMN(),4)))</f>
        <v>#DIV/0!</v>
      </c>
      <c r="EF22" s="114" t="e" cm="1">
        <f t="array" aca="1" ref="EF22" ca="1">IF(COND_INTERSTICIAL[[#This Row],[tramo gráf]]=1,0,IF((COND_INTERSTICIAL[[#This Row],[tramo gráf]]&gt;INDIRECT(ADDRESS(ROW()-1,COLUMN(COND_INTERSTICIAL[[#This Row],[tramo gráf]]),4)))+COND_INTERSTICIAL[[#This Row],[agua líquida]],COND_INTERSTICIAL[[#This Row],[Capa]],INDIRECT(ADDRESS(ROW()-1,COLUMN(),4))))</f>
        <v>#DIV/0!</v>
      </c>
      <c r="EG22" s="114" t="e" cm="1">
        <f t="array" aca="1" ref="EG22" ca="1">IF((COND_INTERSTICIAL[[#This Row],[Capa]]=N_capas)+(COND_INTERSTICIAL[[#This Row],[tramo gráf]]=COUNTIFS(COND_INTERSTICIAL[agua líquida],TRUE,COND_INTERSTICIAL[Mes],CW22,COND_INTERSTICIAL[Sección],CX22)+1),N_capas,INDEX(COND_INTERSTICIAL[capa lím inf gráf],MATCH(COND_INTERSTICIAL[[#This Row],[Mes]]&amp;"-"&amp;COND_INTERSTICIAL[[#This Row],[Sección]]&amp;"-"&amp;(COND_INTERSTICIAL[[#This Row],[tramo gráf]]+1),COND_INTERSTICIAL[llave tramo gráf],0)))</f>
        <v>#DIV/0!</v>
      </c>
      <c r="EH22" s="114" cm="1">
        <f t="array" aca="1" ref="EH2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2" s="116" t="e" cm="1">
        <f t="array" aca="1" ref="EI2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2" t="s">
        <v>1489</v>
      </c>
      <c r="EM22" t="str">
        <f>"RT = "&amp;$EM$20&amp;" [m²W/K]"</f>
        <v>RT = 0,17 [m²W/K]</v>
      </c>
      <c r="FW22" s="60" t="s">
        <v>1501</v>
      </c>
      <c r="FX22" s="11" t="s">
        <v>1421</v>
      </c>
      <c r="FY22" s="301">
        <f ca="1">MAX(SECCIONES[meses de condensación])</f>
        <v>0</v>
      </c>
      <c r="FZ22" s="301">
        <f ca="1">MAX(SECCIONES[meses de condensación])</f>
        <v>0</v>
      </c>
      <c r="GA22" s="301"/>
      <c r="GB22" s="308"/>
      <c r="GD22" s="11"/>
      <c r="GE22" t="s">
        <v>337</v>
      </c>
      <c r="GF22" t="s">
        <v>156</v>
      </c>
      <c r="GH22" s="12"/>
    </row>
    <row r="23" spans="2:195" ht="14.65" thickBot="1" x14ac:dyDescent="0.5">
      <c r="B23" cm="1">
        <f t="array" ref="B23">ROUNDUP((ROW()-ROW(INDEX(SECCIONES_CAPAS[],1,1))+1)/N_capas,0)</f>
        <v>2</v>
      </c>
      <c r="C23" cm="1">
        <f t="array" ref="C23">(ROW()-ROW(INDEX(SECCIONES_CAPAS[],1,1))+1)-(SECCIONES_CAPAS[[#This Row],[Sección]]-1)*N_capas</f>
        <v>1</v>
      </c>
      <c r="D23" t="str">
        <f>SECCIONES_CAPAS[[#This Row],[Sección]]&amp;"-"&amp;SECCIONES_CAPAS[[#This Row],[Capa]]</f>
        <v>2-1</v>
      </c>
      <c r="E23" cm="1">
        <f t="array" ref="E23">INDEX(DATOS[],2+SECCIONES_CAPAS[[#This Row],[Capa]],2+SECCIONES_CAPAS[[#This Row],[Sección]])</f>
        <v>0</v>
      </c>
      <c r="F23" t="str">
        <f>IFERROR(INDEX(MATERIALES[Abreviatura],MATCH(SECCIONES_CAPAS[[#This Row],[Material nombre largo]],MATERIALES[Nombre largo],0)),"Capa "&amp;SECCIONES_CAPAS[[#This Row],[Capa]])</f>
        <v>Capa 1</v>
      </c>
      <c r="G23" t="e">
        <f>INDEX(MATERIALES[Biblioteca],MATCH(SECCIONES_CAPAS[[#This Row],[Material nombre largo]],MATERIALES[Nombre largo],0))</f>
        <v>#N/A</v>
      </c>
      <c r="H23" t="e">
        <f>INDEX(MATERIALES[Material],MATCH(SECCIONES_CAPAS[[#This Row],[Material nombre largo]],MATERIALES[Nombre largo],0))</f>
        <v>#N/A</v>
      </c>
      <c r="I23" t="str">
        <f>SECCIONES_CAPAS[[#This Row],[Abreviatura]]&amp;" "&amp;SECCIONES_CAPAS[[#This Row],[d]]*1000&amp;" mm"</f>
        <v>Capa 1 0 mm</v>
      </c>
      <c r="J23" t="str" cm="1">
        <f t="array" aca="1" ref="J23" ca="1">IF(SECCIONES_CAPAS[[#This Row],[Capa]]=1,SECCIONES_CAPAS[[#This Row],[descripción auto]],INDIRECT(ADDRESS(ROW()-1,COLUMN(),4))&amp;" + "&amp;SECCIONES_CAPAS[[#This Row],[descripción auto]])</f>
        <v>Capa 1 0 mm</v>
      </c>
      <c r="K23" t="str" cm="1">
        <f t="array" aca="1" ref="K23"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1</v>
      </c>
      <c r="L23" t="b">
        <f>IF(SECCIONES_CAPAS[[#This Row],[Material nombre largo]]=Aux!$H$29,TRUE,FALSE)</f>
        <v>0</v>
      </c>
      <c r="M23" t="b" cm="1">
        <f t="array" aca="1" ref="M23" ca="1">IFERROR(IF(SECCIONES_CAPAS[[#This Row],[Cámara aire no ventilada]]*INDIRECT(ADDRESS(ROW()+1,COLUMN(),4))+INDIRECT(ADDRESS(ROW()-1,COLUMN(SECCIONES_CAPAS[[#This Row],[Cámara aire no ventilada]]),4))*SECCIONES_CAPAS[[#This Row],[Cámara aire no ventilada]],TRUE,FALSE),FALSE)</f>
        <v>0</v>
      </c>
      <c r="O23" s="47" cm="1">
        <f t="array" ref="O23">IF(SECCIONES_CAPAS[[#This Row],[Material nombre largo]]=0,0,INDEX(CAPAS[d],SECCIONES_CAPAS[[#This Row],[Capa]]))</f>
        <v>0</v>
      </c>
      <c r="P23" s="47" t="e">
        <f>MATCH(INDEX(MATERIALES[Propiedad térmica],MATCH(SECCIONES_CAPAS[[#This Row],[Material nombre largo]],MATERIALES[Nombre largo],0)),Aux!$H$18:$H$19,0)</f>
        <v>#N/A</v>
      </c>
      <c r="Q23" s="47">
        <f>IF(ISERROR(SECCIONES_CAPAS[[#This Row],[índice prop térmica]]),1,0)</f>
        <v>1</v>
      </c>
      <c r="R23" s="373" cm="1">
        <f t="array" ref="R23">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3" s="373" t="b">
        <f>IF((SECCIONES_CAPAS[[#This Row],[λ]]&lt;0.1)*(SECCIONES_CAPAS[[#This Row],[λ]]&gt;0),TRUE,FALSE)</f>
        <v>0</v>
      </c>
      <c r="T23" s="47" cm="1">
        <f t="array" ref="T23">INDEX(SECCIONES[f],SECCIONES_CAPAS[[#This Row],[Sección]])*SECCIONES_CAPAS[[#This Row],[λ]]</f>
        <v>0</v>
      </c>
      <c r="U23" s="47" cm="1">
        <f t="array" ref="U23">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3" s="47">
        <f>IFERROR(INDEX(SECCIONES[f],MATCH(SECCIONES_CAPAS[[#This Row],[Sección]],SECCIONES[Sección m],0))/SECCIONES_CAPAS[[#This Row],[R]],0)</f>
        <v>0</v>
      </c>
      <c r="W23" s="47">
        <f>IF(SECCIONES_CAPAS[[#This Row],[Capa]]=1,SECCIONES_CAPAS[[#This Row],[d]],SECCIONES_CAPAS[[#This Row],[d]]+W22)</f>
        <v>0</v>
      </c>
      <c r="X23" s="374" cm="1">
        <f t="array" aca="1" ref="X23" ca="1">IF(SECCIONES_CAPAS[[#This Row],[Capa]]=1,IF(contacto_terreno,Resistencia_térmica_2m_tierra+SECCIONES_CAPAS[[#This Row],[R]],R_se+SECCIONES_CAPAS[[#This Row],[R]]),INDIRECT(ADDRESS(ROW()-1,COLUMN(),4))+SECCIONES_CAPAS[[#This Row],[R]])</f>
        <v>0.04</v>
      </c>
      <c r="Y23" s="47" t="e">
        <f>MATCH(INDEX(MATERIALES[Propiedad difusión de vapor],MATCH(SECCIONES_CAPAS[[#This Row],[Material nombre largo]],MATERIALES[Nombre largo],0)),Aux!$H$20:$H$27,0)</f>
        <v>#N/A</v>
      </c>
      <c r="Z23"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3" s="375" t="e">
        <f>IF(INDEX(MATERIALES[Valor propiedad difusión de vapor],MATCH(SECCIONES_CAPAS[[#This Row],[Material nombre largo]],MATERIALES[Nombre largo],0))=Aux!$C$112,TRUE,FALSE)</f>
        <v>#N/A</v>
      </c>
      <c r="AB23" s="373" cm="1">
        <f t="array" ref="AB23">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3" s="47" cm="1">
        <f t="array" aca="1" ref="AC23" ca="1">IF(SECCIONES_CAPAS[[#This Row],[Capa]]=1,SECCIONES_CAPAS[[#This Row],[Sd]],SECCIONES_CAPAS[[#This Row],[Sd]]+INDIRECT(ADDRESS(ROW()-1,COLUMN(),4)))</f>
        <v>0</v>
      </c>
      <c r="AD23" s="47">
        <f>IF(ISERROR(SECCIONES_CAPAS[[#This Row],[Sd]]),1,0)</f>
        <v>0</v>
      </c>
      <c r="AF23" s="11" t="s">
        <v>330</v>
      </c>
      <c r="AG23" s="2" t="s">
        <v>331</v>
      </c>
      <c r="AH23" s="6" t="e">
        <f>1-R_si/R_tot</f>
        <v>#DIV/0!</v>
      </c>
      <c r="AI23" s="12"/>
      <c r="BW23">
        <f ca="1">MATCH(Zona_Térmica_condensación&amp;" - "&amp;$BZ$23,condiciones_comuna[indice],0)</f>
        <v>203</v>
      </c>
      <c r="BY23" s="11" t="s">
        <v>1752</v>
      </c>
      <c r="BZ23" t="str" cm="1">
        <f t="array" aca="1" ref="BZ23" ca="1">INDEX(INDIRECT(CHOOSE(param_emplazamiento_1,Aux!$R$3,Aux!$R$4,Aux!$R$5,Aux!$R$6,Aux!$R$7,Aux!$R$8,Aux!$R$9,Aux!$R$10,Aux!$R$11,Aux!$R$12,Aux!$R$13,Aux!$R$14,Aux!$R$15,Aux!$R$16)),param_emplazamiento_2)</f>
        <v>Todas las comunas</v>
      </c>
      <c r="CA23" s="12"/>
      <c r="CD23" s="1">
        <v>4</v>
      </c>
      <c r="CE23" s="90" cm="1">
        <f t="array" ref="CE23">INDEX(CLIMA[Pi],COND_SUPERFICIAL_CONDICIONES[[#This Row],[Mes]])/ϕsicr</f>
        <v>1647.1134324241689</v>
      </c>
      <c r="CF23"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3" s="36" t="e" cm="1">
        <f t="array" ref="CG23">(COND_SUPERFICIAL_CONDICIONES[[#This Row],[ϴsi_mín]]-INDEX(CLIMA[ϴe],COND_SUPERFICIAL_CONDICIONES[[#This Row],[Mes]]))/(INDEX(CLIMA[ϴi],COND_SUPERFICIAL_CONDICIONES[[#This Row],[Mes]])-INDEX(CLIMA[ϴe],COND_SUPERFICIAL_CONDICIONES[[#This Row],[Mes]]))</f>
        <v>#N/A</v>
      </c>
      <c r="CH23" s="36" t="e">
        <f>Rsi_condensación/(1-COND_SUPERFICIAL_CONDICIONES[[#This Row],[fRsi_mín]])</f>
        <v>#N/A</v>
      </c>
      <c r="CI23" s="6" t="e">
        <f>1/COND_SUPERFICIAL_CONDICIONES[[#This Row],[Rt_mín]]</f>
        <v>#N/A</v>
      </c>
      <c r="CK23" s="1" cm="1">
        <f t="array" ref="CK23">ROUNDUP((ROW()-$CN$18)/(N_secciones),0)</f>
        <v>2</v>
      </c>
      <c r="CL23" cm="1">
        <f t="array" ref="CL23">ROW()-ROW(INDEX(COND_SUPERFICIAL[],1,1))+1-(COND_SUPERFICIAL[[#This Row],[Mes]]-1)*N_secciones</f>
        <v>2</v>
      </c>
      <c r="CM23" s="1" t="str">
        <f>COND_SUPERFICIAL[[#This Row],[Mes]]&amp;"-"&amp;COND_SUPERFICIAL[[#This Row],[Sección]]</f>
        <v>2-2</v>
      </c>
      <c r="CN23" t="e" cm="1">
        <f t="array" ref="CN23">IF(INDEX(SECCIONES[Rtsección_condensación],COND_SUPERFICIAL[[#This Row],[Sección]])&lt;=INDEX(COND_SUPERFICIAL_CONDICIONES[Rt_mín],COND_SUPERFICIAL[[#This Row],[Mes]]),TRUE,FALSE)</f>
        <v>#N/A</v>
      </c>
      <c r="CP23" s="1" cm="1">
        <f t="array" ref="CP23">ROUNDUP((ROW()-$CN$18)/(N_secciones),0)</f>
        <v>2</v>
      </c>
      <c r="CQ23" s="1" cm="1">
        <f t="array" ref="CQ23">ROUNDUP((ROW()-$CN$18+(Mes_inicial_de_análisis-1)*N_secciones)/(N_secciones),0)-12*IF(ROW()-$CN$18&gt;(12-Mes_inicial_de_análisis+1)*N_secciones,1,0)</f>
        <v>8</v>
      </c>
      <c r="CR23" s="1" cm="1">
        <f t="array" ref="CR23">ROW()-$CN$18-(ROUNDUP((ROW()-$CN$18)/(N_secciones),0)-1)*N_secciones</f>
        <v>2</v>
      </c>
      <c r="CS23" s="107" t="str">
        <f>COND_INTERSTICIAL_AGUA_ACUMULADA[[#This Row],[orden]]&amp;"-"&amp;COND_INTERSTICIAL_AGUA_ACUMULADA[[#This Row],[Sección]]</f>
        <v>2-2</v>
      </c>
      <c r="CT23">
        <f ca="1">COUNTIFS(COND_INTERSTICIAL[agua líquida],TRUE,COND_INTERSTICIAL[Mes],COND_INTERSTICIAL_AGUA_ACUMULADA[[#This Row],[Mes]],COND_INTERSTICIAL[Sección],COND_INTERSTICIAL_AGUA_ACUMULADA[[#This Row],[Sección]])</f>
        <v>0</v>
      </c>
      <c r="CU23" s="107" t="e">
        <f ca="1">SUMIFS(COND_INTERSTICIAL[Ma],COND_INTERSTICIAL[Mes],COND_INTERSTICIAL_AGUA_ACUMULADA[[#This Row],[Mes]],COND_INTERSTICIAL[Sección],COND_INTERSTICIAL_AGUA_ACUMULADA[[#This Row],[Sección]])</f>
        <v>#N/A</v>
      </c>
      <c r="CW23" s="1" cm="1">
        <f t="array" ref="CW23">ROUNDUP((ROW()-$CN$18+(Mes_inicial_de_análisis-1)*N_capas*N_secciones)/(N_capas*N_secciones),0)-12*IF(ROW()-$CN$18&gt;(12-Mes_inicial_de_análisis+1)*N_capas*N_secciones,1,0)</f>
        <v>7</v>
      </c>
      <c r="CX23" cm="1">
        <f t="array" ref="CX23">ROUNDUP((ROW()-$CN$18)/N_capas-(ROUNDUP((ROW()-$CN$18)/(N_capas*N_secciones),0)-1)*N_secciones,0)</f>
        <v>1</v>
      </c>
      <c r="CY23" cm="1">
        <f t="array" ref="CY23">(ROW()-$CN$18)-(COND_INTERSTICIAL[[#This Row],[Sección]]-1)*N_capas-(ROUNDUP((ROW()-$CN$18)/(N_capas*N_secciones),0)-1)*N_capas*N_secciones</f>
        <v>4</v>
      </c>
      <c r="CZ23" t="str">
        <f>COND_INTERSTICIAL[[#This Row],[Mes]]&amp;"-"&amp;COND_INTERSTICIAL[[#This Row],[Sección]]&amp;"-"&amp;COND_INTERSTICIAL[[#This Row],[Capa]]</f>
        <v>7-1-4</v>
      </c>
      <c r="DA23">
        <f ca="1">INDEX(SECCIONES_CAPAS[R''n],MATCH(COND_INTERSTICIAL[[#This Row],[Sección]]&amp;"-"&amp;COND_INTERSTICIAL[[#This Row],[Capa]],SECCIONES_CAPAS[llave],0))</f>
        <v>0.04</v>
      </c>
      <c r="DB23" s="172" cm="1">
        <f t="array" aca="1" ref="DB23" ca="1">INDEX(CLIMA[ϴe],COND_INTERSTICIAL[[#This Row],[Mes]])+COND_INTERSTICIAL[[#This Row],[Rn]]*(INDEX(CLIMA[ϴi],COND_INTERSTICIAL[[#This Row],[Mes]])-INDEX(CLIMA[ϴe],COND_INTERSTICIAL[[#This Row],[Mes]]))/(INDEX(SECCIONES[Rtsección_condensación],COND_INTERSTICIAL[[#This Row],[Sección]]))</f>
        <v>7.1470588235294112</v>
      </c>
      <c r="DC23">
        <f>INDEX(SECCIONES_CAPAS[Sd],MATCH(COND_INTERSTICIAL[[#This Row],[Sección]]&amp;"-"&amp;COND_INTERSTICIAL[[#This Row],[Capa]],SECCIONES_CAPAS[llave],0))</f>
        <v>0</v>
      </c>
      <c r="DD23">
        <f ca="1">INDEX(SECCIONES_CAPAS[S''d],MATCH(COND_INTERSTICIAL[[#This Row],[Sección]]&amp;"-"&amp;COND_INTERSTICIAL[[#This Row],[Capa]],SECCIONES_CAPAS[llave],0))</f>
        <v>0</v>
      </c>
      <c r="DE23" s="90">
        <f ca="1">IF(COND_INTERSTICIAL[[#This Row],[ϴn]]&gt;=0,610.5*EXP((17.269*COND_INTERSTICIAL[[#This Row],[ϴn]])/(237.3+COND_INTERSTICIAL[[#This Row],[ϴn]])),610.5*EXP((21.875*COND_INTERSTICIAL[[#This Row],[ϴn]])/(265.5+COND_INTERSTICIAL[[#This Row],[ϴn]])))</f>
        <v>1011.4936324284752</v>
      </c>
      <c r="DF23" s="90" t="e" cm="1">
        <f t="array" aca="1" ref="DF23" ca="1">COND_INTERSTICIAL[[#This Row],[S''d]]*((INDEX(CLIMA[Pi],COND_INTERSTICIAL[[#This Row],[Mes]])-INDEX(CLIMA[Pe],COND_INTERSTICIAL[[#This Row],[Mes]]))/INDEX(SECCIONES[SdT],COND_INTERSTICIAL[[#This Row],[Sección]]))+INDEX(CLIMA[Pe],COND_INTERSTICIAL[[#This Row],[Mes]])</f>
        <v>#DIV/0!</v>
      </c>
      <c r="DG23" s="108" t="e">
        <f ca="1">IF((COND_INTERSTICIAL[[#This Row],[Pn]]&gt;=COND_INTERSTICIAL[[#This Row],[Psat]]),TRUE,FALSE)</f>
        <v>#DIV/0!</v>
      </c>
      <c r="DH23" s="109" t="e" cm="1">
        <f t="array" aca="1" ref="DH23" ca="1">IF(COND_INTERSTICIAL[[#This Row],[Condensa]],COND_INTERSTICIAL[[#This Row],[Psat]],IF(COND_INTERSTICIAL[[#This Row],[Capa]]=N_capas,COND_INTERSTICIAL[[#This Row],[Pn]],""))</f>
        <v>#DIV/0!</v>
      </c>
      <c r="DI23" s="109" t="e">
        <f ca="1">COND_INTERSTICIAL[[#This Row],[Mes]]&amp;"-"&amp;COND_INTERSTICIAL[[#This Row],[Sección]]&amp;"-"&amp;COND_INTERSTICIAL[[#This Row],[tramo cond]]</f>
        <v>#DIV/0!</v>
      </c>
      <c r="DJ23" t="e" cm="1">
        <f t="array" aca="1" ref="DJ23" ca="1">IF(COND_INTERSTICIAL[[#This Row],[Capa]]=1,IF(COND_INTERSTICIAL[[#This Row],[Condensa]],2,1),IF(COND_INTERSTICIAL[[#This Row],[Condensa]],1,0)+INDIRECT(ADDRESS(ROW()-1,COLUMN(),4)))</f>
        <v>#DIV/0!</v>
      </c>
      <c r="DK23" s="108" t="e" cm="1">
        <f t="array" aca="1" ref="DK23" ca="1">IF(COND_INTERSTICIAL[[#This Row],[tramo cond]]=1,0,IF((COND_INTERSTICIAL[[#This Row],[tramo cond]]&gt;INDIRECT(ADDRESS(ROW()-1,COLUMN(COND_INTERSTICIAL[[#This Row],[tramo cond]]),4)))+COND_INTERSTICIAL[[#This Row],[Condensa]],COND_INTERSTICIAL[[#This Row],[Capa]],INDIRECT(ADDRESS(ROW()-1,COLUMN(),4))))</f>
        <v>#DIV/0!</v>
      </c>
      <c r="DL23" s="108" t="e" cm="1">
        <f t="array" aca="1" ref="DL23" ca="1">IF((COND_INTERSTICIAL[[#This Row],[Capa]]=N_capas)+(COND_INTERSTICIAL[[#This Row],[tramo cond]]=COUNTIFS(COND_INTERSTICIAL[Condensa],TRUE,COND_INTERSTICIAL[Mes],CW23,COND_INTERSTICIAL[Sección],CX23)+1),N_capas,INDEX(COND_INTERSTICIAL[capa lím inf cond],MATCH(COND_INTERSTICIAL[[#This Row],[Mes]]&amp;"-"&amp;COND_INTERSTICIAL[[#This Row],[Sección]]&amp;"-"&amp;(COND_INTERSTICIAL[[#This Row],[tramo cond]]+1),COND_INTERSTICIAL[llave tramo cond],0)))</f>
        <v>#DIV/0!</v>
      </c>
      <c r="DM23" s="108" cm="1">
        <f t="array" aca="1" ref="DM2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3" s="110" t="e" cm="1">
        <f t="array" aca="1" ref="DN2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3"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3" s="107" t="e">
        <f ca="1">COND_INTERSTICIAL[[#This Row],[gc]]+COND_INTERSTICIAL[[#This Row],[Ma_anterior cond]]</f>
        <v>#DIV/0!</v>
      </c>
      <c r="DQ23" s="113" t="e">
        <f ca="1">IF((COND_INTERSTICIAL[[#This Row],[Ma_anterior cond]]&gt;0)*NOT(COND_INTERSTICIAL[[#This Row],[Condensa]]),TRUE,FALSE)</f>
        <v>#DIV/0!</v>
      </c>
      <c r="DR23" s="112" t="e" cm="1">
        <f t="array" aca="1" ref="DR23" ca="1">IF(COND_INTERSTICIAL[[#This Row],[evapora]],COND_INTERSTICIAL[[#This Row],[Psat]],IF(COND_INTERSTICIAL[[#This Row],[Capa]]=N_capas,COND_INTERSTICIAL[[#This Row],[Pn]],""))</f>
        <v>#DIV/0!</v>
      </c>
      <c r="DS23" s="112" t="e">
        <f ca="1">COND_INTERSTICIAL[[#This Row],[Mes]]&amp;"-"&amp;COND_INTERSTICIAL[[#This Row],[Sección]]&amp;"-"&amp;COND_INTERSTICIAL[[#This Row],[tramo ev]]</f>
        <v>#DIV/0!</v>
      </c>
      <c r="DT23" s="111" t="e" cm="1">
        <f t="array" aca="1" ref="DT23" ca="1">IF(COND_INTERSTICIAL[[#This Row],[Capa]]=1,IF(COND_INTERSTICIAL[[#This Row],[evapora]],2,1),IF(COND_INTERSTICIAL[[#This Row],[evapora]],1,0)+INDIRECT(ADDRESS(ROW()-1,COLUMN(),4)))</f>
        <v>#DIV/0!</v>
      </c>
      <c r="DU23" s="111" t="e" cm="1">
        <f t="array" aca="1" ref="DU23" ca="1">IF(COND_INTERSTICIAL[[#This Row],[tramo ev]]=1,0,IF((COND_INTERSTICIAL[[#This Row],[tramo ev]]&gt;INDIRECT(ADDRESS(ROW()-1,COLUMN(COND_INTERSTICIAL[[#This Row],[tramo ev]]),4)))+COND_INTERSTICIAL[[#This Row],[evapora]],COND_INTERSTICIAL[[#This Row],[Capa]],INDIRECT(ADDRESS(ROW()-1,COLUMN(),4))))</f>
        <v>#DIV/0!</v>
      </c>
      <c r="DV23" s="111" t="e" cm="1">
        <f t="array" aca="1" ref="DV23" ca="1">IF((COND_INTERSTICIAL[[#This Row],[Capa]]=N_capas)+(COND_INTERSTICIAL[[#This Row],[tramo ev]]=COUNTIFS(COND_INTERSTICIAL[evapora],TRUE,COND_INTERSTICIAL[Mes],CW23,COND_INTERSTICIAL[Sección],CX23)+1),N_capas,INDEX(COND_INTERSTICIAL[capa lím inf ev],MATCH(COND_INTERSTICIAL[[#This Row],[Mes]]&amp;"-"&amp;COND_INTERSTICIAL[[#This Row],[Sección]]&amp;"-"&amp;(COND_INTERSTICIAL[[#This Row],[tramo ev]]+1),COND_INTERSTICIAL[llave tramo ev],0)))</f>
        <v>#DIV/0!</v>
      </c>
      <c r="DW23" s="111" cm="1">
        <f t="array" aca="1" ref="DW2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3" s="113" t="e" cm="1">
        <f t="array" aca="1" ref="DX2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3"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3" s="113" t="e">
        <f ca="1">COND_INTERSTICIAL[[#This Row],[gev]]+COND_INTERSTICIAL[[#This Row],[Ma anterior ev]]</f>
        <v>#DIV/0!</v>
      </c>
      <c r="EA23" s="115" t="e">
        <f ca="1">IF(COND_INTERSTICIAL[[#This Row],[Ma cond]]+COND_INTERSTICIAL[[#This Row],[Ma ev]]&lt;=0,0,COND_INTERSTICIAL[[#This Row],[Ma cond]]+COND_INTERSTICIAL[[#This Row],[Ma ev]])</f>
        <v>#DIV/0!</v>
      </c>
      <c r="EB23" s="115" t="e">
        <f ca="1">IF(COND_INTERSTICIAL[[#This Row],[Ma]]&gt;0,TRUE,FALSE)</f>
        <v>#DIV/0!</v>
      </c>
      <c r="EC23" s="115" t="e" cm="1">
        <f t="array" aca="1" ref="EC23" ca="1">IF(COND_INTERSTICIAL[[#This Row],[agua líquida]],IF(COND_INTERSTICIAL[[#This Row],[Condensa]],COND_INTERSTICIAL[[#This Row],[P límite cond]],COND_INTERSTICIAL[[#This Row],[P límite ev]]),IF(COND_INTERSTICIAL[[#This Row],[Capa]]=N_capas,COND_INTERSTICIAL[[#This Row],[Pn]],""))</f>
        <v>#DIV/0!</v>
      </c>
      <c r="ED23" s="115" t="e">
        <f ca="1">COND_INTERSTICIAL[[#This Row],[Mes]]&amp;"-"&amp;COND_INTERSTICIAL[[#This Row],[Sección]]&amp;"-"&amp;COND_INTERSTICIAL[[#This Row],[tramo gráf]]</f>
        <v>#DIV/0!</v>
      </c>
      <c r="EE23" s="114" t="e" cm="1">
        <f t="array" aca="1" ref="EE23" ca="1">IF(COND_INTERSTICIAL[[#This Row],[Capa]]=1,IF(COND_INTERSTICIAL[[#This Row],[agua líquida]],2,1),IF(COND_INTERSTICIAL[[#This Row],[agua líquida]],1,0)+INDIRECT(ADDRESS(ROW()-1,COLUMN(),4)))</f>
        <v>#DIV/0!</v>
      </c>
      <c r="EF23" s="114" t="e" cm="1">
        <f t="array" aca="1" ref="EF23" ca="1">IF(COND_INTERSTICIAL[[#This Row],[tramo gráf]]=1,0,IF((COND_INTERSTICIAL[[#This Row],[tramo gráf]]&gt;INDIRECT(ADDRESS(ROW()-1,COLUMN(COND_INTERSTICIAL[[#This Row],[tramo gráf]]),4)))+COND_INTERSTICIAL[[#This Row],[agua líquida]],COND_INTERSTICIAL[[#This Row],[Capa]],INDIRECT(ADDRESS(ROW()-1,COLUMN(),4))))</f>
        <v>#DIV/0!</v>
      </c>
      <c r="EG23" s="114" t="e" cm="1">
        <f t="array" aca="1" ref="EG23" ca="1">IF((COND_INTERSTICIAL[[#This Row],[Capa]]=N_capas)+(COND_INTERSTICIAL[[#This Row],[tramo gráf]]=COUNTIFS(COND_INTERSTICIAL[agua líquida],TRUE,COND_INTERSTICIAL[Mes],CW23,COND_INTERSTICIAL[Sección],CX23)+1),N_capas,INDEX(COND_INTERSTICIAL[capa lím inf gráf],MATCH(COND_INTERSTICIAL[[#This Row],[Mes]]&amp;"-"&amp;COND_INTERSTICIAL[[#This Row],[Sección]]&amp;"-"&amp;(COND_INTERSTICIAL[[#This Row],[tramo gráf]]+1),COND_INTERSTICIAL[llave tramo gráf],0)))</f>
        <v>#DIV/0!</v>
      </c>
      <c r="EH23" s="114" cm="1">
        <f t="array" aca="1" ref="EH2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3" s="116" t="e" cm="1">
        <f t="array" aca="1" ref="EI2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3" s="1" t="s">
        <v>339</v>
      </c>
      <c r="FW23" s="60" t="s">
        <v>1501</v>
      </c>
      <c r="FX23" s="11" t="s">
        <v>293</v>
      </c>
      <c r="FY23" s="301">
        <f ca="1">MAX(SECCIONES[humedad acumulada])</f>
        <v>0</v>
      </c>
      <c r="FZ23" s="301">
        <f ca="1">MAX(SECCIONES[humedad acumulada])</f>
        <v>0</v>
      </c>
      <c r="GA23" s="301"/>
      <c r="GB23" s="308"/>
      <c r="GD23" s="11" t="s">
        <v>97</v>
      </c>
      <c r="GE23">
        <f>$GE$10*$GE$16*$GE$20+$GF$20*$GF$16*($GE$11-$GE$16*$GE$20)+$GG$16*($GE$10-$GF$20*$GF$16)</f>
        <v>1.9409400000000001</v>
      </c>
      <c r="GF23" s="52">
        <f>GE23/$GE$25</f>
        <v>0.19255357142857144</v>
      </c>
      <c r="GH23" s="12"/>
    </row>
    <row r="24" spans="2:195" ht="14.65" thickBot="1" x14ac:dyDescent="0.5">
      <c r="B24" cm="1">
        <f t="array" ref="B24">ROUNDUP((ROW()-ROW(INDEX(SECCIONES_CAPAS[],1,1))+1)/N_capas,0)</f>
        <v>2</v>
      </c>
      <c r="C24" cm="1">
        <f t="array" ref="C24">(ROW()-ROW(INDEX(SECCIONES_CAPAS[],1,1))+1)-(SECCIONES_CAPAS[[#This Row],[Sección]]-1)*N_capas</f>
        <v>2</v>
      </c>
      <c r="D24" t="str">
        <f>SECCIONES_CAPAS[[#This Row],[Sección]]&amp;"-"&amp;SECCIONES_CAPAS[[#This Row],[Capa]]</f>
        <v>2-2</v>
      </c>
      <c r="E24" cm="1">
        <f t="array" ref="E24">INDEX(DATOS[],2+SECCIONES_CAPAS[[#This Row],[Capa]],2+SECCIONES_CAPAS[[#This Row],[Sección]])</f>
        <v>0</v>
      </c>
      <c r="F24" t="str">
        <f>IFERROR(INDEX(MATERIALES[Abreviatura],MATCH(SECCIONES_CAPAS[[#This Row],[Material nombre largo]],MATERIALES[Nombre largo],0)),"Capa "&amp;SECCIONES_CAPAS[[#This Row],[Capa]])</f>
        <v>Capa 2</v>
      </c>
      <c r="G24" t="e">
        <f>INDEX(MATERIALES[Biblioteca],MATCH(SECCIONES_CAPAS[[#This Row],[Material nombre largo]],MATERIALES[Nombre largo],0))</f>
        <v>#N/A</v>
      </c>
      <c r="H24" t="e">
        <f>INDEX(MATERIALES[Material],MATCH(SECCIONES_CAPAS[[#This Row],[Material nombre largo]],MATERIALES[Nombre largo],0))</f>
        <v>#N/A</v>
      </c>
      <c r="I24" t="str">
        <f>SECCIONES_CAPAS[[#This Row],[Abreviatura]]&amp;" "&amp;SECCIONES_CAPAS[[#This Row],[d]]*1000&amp;" mm"</f>
        <v>Capa 2 0 mm</v>
      </c>
      <c r="J24" t="str" cm="1">
        <f t="array" aca="1" ref="J24" ca="1">IF(SECCIONES_CAPAS[[#This Row],[Capa]]=1,SECCIONES_CAPAS[[#This Row],[descripción auto]],INDIRECT(ADDRESS(ROW()-1,COLUMN(),4))&amp;" + "&amp;SECCIONES_CAPAS[[#This Row],[descripción auto]])</f>
        <v>Capa 1 0 mm + Capa 2 0 mm</v>
      </c>
      <c r="K24" t="str" cm="1">
        <f t="array" aca="1" ref="K24"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2</v>
      </c>
      <c r="L24" t="b">
        <f>IF(SECCIONES_CAPAS[[#This Row],[Material nombre largo]]=Aux!$H$29,TRUE,FALSE)</f>
        <v>0</v>
      </c>
      <c r="M24" t="b" cm="1">
        <f t="array" aca="1" ref="M24" ca="1">IFERROR(IF(SECCIONES_CAPAS[[#This Row],[Cámara aire no ventilada]]*INDIRECT(ADDRESS(ROW()+1,COLUMN(),4))+INDIRECT(ADDRESS(ROW()-1,COLUMN(SECCIONES_CAPAS[[#This Row],[Cámara aire no ventilada]]),4))*SECCIONES_CAPAS[[#This Row],[Cámara aire no ventilada]],TRUE,FALSE),FALSE)</f>
        <v>0</v>
      </c>
      <c r="O24" s="47" cm="1">
        <f t="array" ref="O24">IF(SECCIONES_CAPAS[[#This Row],[Material nombre largo]]=0,0,INDEX(CAPAS[d],SECCIONES_CAPAS[[#This Row],[Capa]]))</f>
        <v>0</v>
      </c>
      <c r="P24" s="47" t="e">
        <f>MATCH(INDEX(MATERIALES[Propiedad térmica],MATCH(SECCIONES_CAPAS[[#This Row],[Material nombre largo]],MATERIALES[Nombre largo],0)),Aux!$H$18:$H$19,0)</f>
        <v>#N/A</v>
      </c>
      <c r="Q24" s="47">
        <f>IF(ISERROR(SECCIONES_CAPAS[[#This Row],[índice prop térmica]]),1,0)</f>
        <v>1</v>
      </c>
      <c r="R24" s="373" cm="1">
        <f t="array" ref="R24">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4" s="373" t="b">
        <f>IF((SECCIONES_CAPAS[[#This Row],[λ]]&lt;0.1)*(SECCIONES_CAPAS[[#This Row],[λ]]&gt;0),TRUE,FALSE)</f>
        <v>0</v>
      </c>
      <c r="T24" s="47" cm="1">
        <f t="array" ref="T24">INDEX(SECCIONES[f],SECCIONES_CAPAS[[#This Row],[Sección]])*SECCIONES_CAPAS[[#This Row],[λ]]</f>
        <v>0</v>
      </c>
      <c r="U24" s="47" cm="1">
        <f t="array" ref="U24">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4" s="47">
        <f>IFERROR(INDEX(SECCIONES[f],MATCH(SECCIONES_CAPAS[[#This Row],[Sección]],SECCIONES[Sección m],0))/SECCIONES_CAPAS[[#This Row],[R]],0)</f>
        <v>0</v>
      </c>
      <c r="W24" s="47">
        <f>IF(SECCIONES_CAPAS[[#This Row],[Capa]]=1,SECCIONES_CAPAS[[#This Row],[d]],SECCIONES_CAPAS[[#This Row],[d]]+W23)</f>
        <v>0</v>
      </c>
      <c r="X24" s="374" cm="1">
        <f t="array" aca="1" ref="X24" ca="1">IF(SECCIONES_CAPAS[[#This Row],[Capa]]=1,IF(contacto_terreno,Resistencia_térmica_2m_tierra+SECCIONES_CAPAS[[#This Row],[R]],R_se+SECCIONES_CAPAS[[#This Row],[R]]),INDIRECT(ADDRESS(ROW()-1,COLUMN(),4))+SECCIONES_CAPAS[[#This Row],[R]])</f>
        <v>0.04</v>
      </c>
      <c r="Y24" s="47" t="e">
        <f>MATCH(INDEX(MATERIALES[Propiedad difusión de vapor],MATCH(SECCIONES_CAPAS[[#This Row],[Material nombre largo]],MATERIALES[Nombre largo],0)),Aux!$H$20:$H$27,0)</f>
        <v>#N/A</v>
      </c>
      <c r="Z24"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4" s="375" t="e">
        <f>IF(INDEX(MATERIALES[Valor propiedad difusión de vapor],MATCH(SECCIONES_CAPAS[[#This Row],[Material nombre largo]],MATERIALES[Nombre largo],0))=Aux!$C$112,TRUE,FALSE)</f>
        <v>#N/A</v>
      </c>
      <c r="AB24" s="373" cm="1">
        <f t="array" ref="AB24">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4" s="47" cm="1">
        <f t="array" aca="1" ref="AC24" ca="1">IF(SECCIONES_CAPAS[[#This Row],[Capa]]=1,SECCIONES_CAPAS[[#This Row],[Sd]],SECCIONES_CAPAS[[#This Row],[Sd]]+INDIRECT(ADDRESS(ROW()-1,COLUMN(),4)))</f>
        <v>0</v>
      </c>
      <c r="AD24" s="47">
        <f>IF(ISERROR(SECCIONES_CAPAS[[#This Row],[Sd]]),1,0)</f>
        <v>0</v>
      </c>
      <c r="AF24" s="11" t="s">
        <v>333</v>
      </c>
      <c r="AG24" s="2" t="s">
        <v>334</v>
      </c>
      <c r="AH24" s="90" t="str">
        <f>IFERROR(100*(R_tot_sup-R_tot_inf)/(2*R_tot),"")</f>
        <v/>
      </c>
      <c r="AI24" s="12" t="s">
        <v>335</v>
      </c>
      <c r="BW24">
        <f ca="1">MATCH(BW20,condiciones_comuna[indice],0)</f>
        <v>203</v>
      </c>
      <c r="BX24">
        <v>1</v>
      </c>
      <c r="BY24" s="11" t="s">
        <v>676</v>
      </c>
      <c r="BZ24" t="str" cm="1">
        <f t="array" ref="BZ24">INDEX(lista_estaciones_meteorológicas_NCh_1079,BX24)</f>
        <v>Arica</v>
      </c>
      <c r="CD24" s="191">
        <v>5</v>
      </c>
      <c r="CE24" s="90" cm="1">
        <f t="array" ref="CE24">INDEX(CLIMA[Pi],COND_SUPERFICIAL_CONDICIONES[[#This Row],[Mes]])/ϕsicr</f>
        <v>1647.1134324241689</v>
      </c>
      <c r="CF24"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4" s="36" t="e" cm="1">
        <f t="array" ref="CG24">(COND_SUPERFICIAL_CONDICIONES[[#This Row],[ϴsi_mín]]-INDEX(CLIMA[ϴe],COND_SUPERFICIAL_CONDICIONES[[#This Row],[Mes]]))/(INDEX(CLIMA[ϴi],COND_SUPERFICIAL_CONDICIONES[[#This Row],[Mes]])-INDEX(CLIMA[ϴe],COND_SUPERFICIAL_CONDICIONES[[#This Row],[Mes]]))</f>
        <v>#N/A</v>
      </c>
      <c r="CH24" s="36" t="e">
        <f>Rsi_condensación/(1-COND_SUPERFICIAL_CONDICIONES[[#This Row],[fRsi_mín]])</f>
        <v>#N/A</v>
      </c>
      <c r="CI24" s="6" t="e">
        <f>1/COND_SUPERFICIAL_CONDICIONES[[#This Row],[Rt_mín]]</f>
        <v>#N/A</v>
      </c>
      <c r="CK24" s="1" cm="1">
        <f t="array" ref="CK24">ROUNDUP((ROW()-$CN$18)/(N_secciones),0)</f>
        <v>3</v>
      </c>
      <c r="CL24" cm="1">
        <f t="array" ref="CL24">ROW()-ROW(INDEX(COND_SUPERFICIAL[],1,1))+1-(COND_SUPERFICIAL[[#This Row],[Mes]]-1)*N_secciones</f>
        <v>1</v>
      </c>
      <c r="CM24" s="1" t="str">
        <f>COND_SUPERFICIAL[[#This Row],[Mes]]&amp;"-"&amp;COND_SUPERFICIAL[[#This Row],[Sección]]</f>
        <v>3-1</v>
      </c>
      <c r="CN24" t="e" cm="1">
        <f t="array" ref="CN24">IF(INDEX(SECCIONES[Rtsección_condensación],COND_SUPERFICIAL[[#This Row],[Sección]])&lt;=INDEX(COND_SUPERFICIAL_CONDICIONES[Rt_mín],COND_SUPERFICIAL[[#This Row],[Mes]]),TRUE,FALSE)</f>
        <v>#N/A</v>
      </c>
      <c r="CP24" s="1" cm="1">
        <f t="array" ref="CP24">ROUNDUP((ROW()-$CN$18)/(N_secciones),0)</f>
        <v>3</v>
      </c>
      <c r="CQ24" s="1" cm="1">
        <f t="array" ref="CQ24">ROUNDUP((ROW()-$CN$18+(Mes_inicial_de_análisis-1)*N_secciones)/(N_secciones),0)-12*IF(ROW()-$CN$18&gt;(12-Mes_inicial_de_análisis+1)*N_secciones,1,0)</f>
        <v>9</v>
      </c>
      <c r="CR24" s="1" cm="1">
        <f t="array" ref="CR24">ROW()-$CN$18-(ROUNDUP((ROW()-$CN$18)/(N_secciones),0)-1)*N_secciones</f>
        <v>1</v>
      </c>
      <c r="CS24" s="107" t="str">
        <f>COND_INTERSTICIAL_AGUA_ACUMULADA[[#This Row],[orden]]&amp;"-"&amp;COND_INTERSTICIAL_AGUA_ACUMULADA[[#This Row],[Sección]]</f>
        <v>3-1</v>
      </c>
      <c r="CT24">
        <f ca="1">COUNTIFS(COND_INTERSTICIAL[agua líquida],TRUE,COND_INTERSTICIAL[Mes],COND_INTERSTICIAL_AGUA_ACUMULADA[[#This Row],[Mes]],COND_INTERSTICIAL[Sección],COND_INTERSTICIAL_AGUA_ACUMULADA[[#This Row],[Sección]])</f>
        <v>0</v>
      </c>
      <c r="CU24" s="107" t="e">
        <f ca="1">SUMIFS(COND_INTERSTICIAL[Ma],COND_INTERSTICIAL[Mes],COND_INTERSTICIAL_AGUA_ACUMULADA[[#This Row],[Mes]],COND_INTERSTICIAL[Sección],COND_INTERSTICIAL_AGUA_ACUMULADA[[#This Row],[Sección]])</f>
        <v>#N/A</v>
      </c>
      <c r="CW24" s="1" cm="1">
        <f t="array" ref="CW24">ROUNDUP((ROW()-$CN$18+(Mes_inicial_de_análisis-1)*N_capas*N_secciones)/(N_capas*N_secciones),0)-12*IF(ROW()-$CN$18&gt;(12-Mes_inicial_de_análisis+1)*N_capas*N_secciones,1,0)</f>
        <v>7</v>
      </c>
      <c r="CX24" cm="1">
        <f t="array" ref="CX24">ROUNDUP((ROW()-$CN$18)/N_capas-(ROUNDUP((ROW()-$CN$18)/(N_capas*N_secciones),0)-1)*N_secciones,0)</f>
        <v>1</v>
      </c>
      <c r="CY24" cm="1">
        <f t="array" ref="CY24">(ROW()-$CN$18)-(COND_INTERSTICIAL[[#This Row],[Sección]]-1)*N_capas-(ROUNDUP((ROW()-$CN$18)/(N_capas*N_secciones),0)-1)*N_capas*N_secciones</f>
        <v>5</v>
      </c>
      <c r="CZ24" t="str">
        <f>COND_INTERSTICIAL[[#This Row],[Mes]]&amp;"-"&amp;COND_INTERSTICIAL[[#This Row],[Sección]]&amp;"-"&amp;COND_INTERSTICIAL[[#This Row],[Capa]]</f>
        <v>7-1-5</v>
      </c>
      <c r="DA24">
        <f ca="1">INDEX(SECCIONES_CAPAS[R''n],MATCH(COND_INTERSTICIAL[[#This Row],[Sección]]&amp;"-"&amp;COND_INTERSTICIAL[[#This Row],[Capa]],SECCIONES_CAPAS[llave],0))</f>
        <v>0.04</v>
      </c>
      <c r="DB24" s="172" cm="1">
        <f t="array" aca="1" ref="DB24" ca="1">INDEX(CLIMA[ϴe],COND_INTERSTICIAL[[#This Row],[Mes]])+COND_INTERSTICIAL[[#This Row],[Rn]]*(INDEX(CLIMA[ϴi],COND_INTERSTICIAL[[#This Row],[Mes]])-INDEX(CLIMA[ϴe],COND_INTERSTICIAL[[#This Row],[Mes]]))/(INDEX(SECCIONES[Rtsección_condensación],COND_INTERSTICIAL[[#This Row],[Sección]]))</f>
        <v>7.1470588235294112</v>
      </c>
      <c r="DC24">
        <f>INDEX(SECCIONES_CAPAS[Sd],MATCH(COND_INTERSTICIAL[[#This Row],[Sección]]&amp;"-"&amp;COND_INTERSTICIAL[[#This Row],[Capa]],SECCIONES_CAPAS[llave],0))</f>
        <v>0</v>
      </c>
      <c r="DD24">
        <f ca="1">INDEX(SECCIONES_CAPAS[S''d],MATCH(COND_INTERSTICIAL[[#This Row],[Sección]]&amp;"-"&amp;COND_INTERSTICIAL[[#This Row],[Capa]],SECCIONES_CAPAS[llave],0))</f>
        <v>0</v>
      </c>
      <c r="DE24" s="90">
        <f ca="1">IF(COND_INTERSTICIAL[[#This Row],[ϴn]]&gt;=0,610.5*EXP((17.269*COND_INTERSTICIAL[[#This Row],[ϴn]])/(237.3+COND_INTERSTICIAL[[#This Row],[ϴn]])),610.5*EXP((21.875*COND_INTERSTICIAL[[#This Row],[ϴn]])/(265.5+COND_INTERSTICIAL[[#This Row],[ϴn]])))</f>
        <v>1011.4936324284752</v>
      </c>
      <c r="DF24" s="90" t="e" cm="1">
        <f t="array" aca="1" ref="DF24" ca="1">COND_INTERSTICIAL[[#This Row],[S''d]]*((INDEX(CLIMA[Pi],COND_INTERSTICIAL[[#This Row],[Mes]])-INDEX(CLIMA[Pe],COND_INTERSTICIAL[[#This Row],[Mes]]))/INDEX(SECCIONES[SdT],COND_INTERSTICIAL[[#This Row],[Sección]]))+INDEX(CLIMA[Pe],COND_INTERSTICIAL[[#This Row],[Mes]])</f>
        <v>#DIV/0!</v>
      </c>
      <c r="DG24" s="108" t="e">
        <f ca="1">IF((COND_INTERSTICIAL[[#This Row],[Pn]]&gt;=COND_INTERSTICIAL[[#This Row],[Psat]]),TRUE,FALSE)</f>
        <v>#DIV/0!</v>
      </c>
      <c r="DH24" s="109" t="e" cm="1">
        <f t="array" aca="1" ref="DH24" ca="1">IF(COND_INTERSTICIAL[[#This Row],[Condensa]],COND_INTERSTICIAL[[#This Row],[Psat]],IF(COND_INTERSTICIAL[[#This Row],[Capa]]=N_capas,COND_INTERSTICIAL[[#This Row],[Pn]],""))</f>
        <v>#DIV/0!</v>
      </c>
      <c r="DI24" s="109" t="e">
        <f ca="1">COND_INTERSTICIAL[[#This Row],[Mes]]&amp;"-"&amp;COND_INTERSTICIAL[[#This Row],[Sección]]&amp;"-"&amp;COND_INTERSTICIAL[[#This Row],[tramo cond]]</f>
        <v>#DIV/0!</v>
      </c>
      <c r="DJ24" t="e" cm="1">
        <f t="array" aca="1" ref="DJ24" ca="1">IF(COND_INTERSTICIAL[[#This Row],[Capa]]=1,IF(COND_INTERSTICIAL[[#This Row],[Condensa]],2,1),IF(COND_INTERSTICIAL[[#This Row],[Condensa]],1,0)+INDIRECT(ADDRESS(ROW()-1,COLUMN(),4)))</f>
        <v>#DIV/0!</v>
      </c>
      <c r="DK24" s="108" t="e" cm="1">
        <f t="array" aca="1" ref="DK24" ca="1">IF(COND_INTERSTICIAL[[#This Row],[tramo cond]]=1,0,IF((COND_INTERSTICIAL[[#This Row],[tramo cond]]&gt;INDIRECT(ADDRESS(ROW()-1,COLUMN(COND_INTERSTICIAL[[#This Row],[tramo cond]]),4)))+COND_INTERSTICIAL[[#This Row],[Condensa]],COND_INTERSTICIAL[[#This Row],[Capa]],INDIRECT(ADDRESS(ROW()-1,COLUMN(),4))))</f>
        <v>#DIV/0!</v>
      </c>
      <c r="DL24" s="108" t="e" cm="1">
        <f t="array" aca="1" ref="DL24" ca="1">IF((COND_INTERSTICIAL[[#This Row],[Capa]]=N_capas)+(COND_INTERSTICIAL[[#This Row],[tramo cond]]=COUNTIFS(COND_INTERSTICIAL[Condensa],TRUE,COND_INTERSTICIAL[Mes],CW24,COND_INTERSTICIAL[Sección],CX24)+1),N_capas,INDEX(COND_INTERSTICIAL[capa lím inf cond],MATCH(COND_INTERSTICIAL[[#This Row],[Mes]]&amp;"-"&amp;COND_INTERSTICIAL[[#This Row],[Sección]]&amp;"-"&amp;(COND_INTERSTICIAL[[#This Row],[tramo cond]]+1),COND_INTERSTICIAL[llave tramo cond],0)))</f>
        <v>#DIV/0!</v>
      </c>
      <c r="DM24" s="108" cm="1">
        <f t="array" aca="1" ref="DM2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4" s="110" t="e" cm="1">
        <f t="array" aca="1" ref="DN2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4"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4" s="107" t="e">
        <f ca="1">COND_INTERSTICIAL[[#This Row],[gc]]+COND_INTERSTICIAL[[#This Row],[Ma_anterior cond]]</f>
        <v>#DIV/0!</v>
      </c>
      <c r="DQ24" s="113" t="e">
        <f ca="1">IF((COND_INTERSTICIAL[[#This Row],[Ma_anterior cond]]&gt;0)*NOT(COND_INTERSTICIAL[[#This Row],[Condensa]]),TRUE,FALSE)</f>
        <v>#DIV/0!</v>
      </c>
      <c r="DR24" s="112" t="e" cm="1">
        <f t="array" aca="1" ref="DR24" ca="1">IF(COND_INTERSTICIAL[[#This Row],[evapora]],COND_INTERSTICIAL[[#This Row],[Psat]],IF(COND_INTERSTICIAL[[#This Row],[Capa]]=N_capas,COND_INTERSTICIAL[[#This Row],[Pn]],""))</f>
        <v>#DIV/0!</v>
      </c>
      <c r="DS24" s="112" t="e">
        <f ca="1">COND_INTERSTICIAL[[#This Row],[Mes]]&amp;"-"&amp;COND_INTERSTICIAL[[#This Row],[Sección]]&amp;"-"&amp;COND_INTERSTICIAL[[#This Row],[tramo ev]]</f>
        <v>#DIV/0!</v>
      </c>
      <c r="DT24" s="111" t="e" cm="1">
        <f t="array" aca="1" ref="DT24" ca="1">IF(COND_INTERSTICIAL[[#This Row],[Capa]]=1,IF(COND_INTERSTICIAL[[#This Row],[evapora]],2,1),IF(COND_INTERSTICIAL[[#This Row],[evapora]],1,0)+INDIRECT(ADDRESS(ROW()-1,COLUMN(),4)))</f>
        <v>#DIV/0!</v>
      </c>
      <c r="DU24" s="111" t="e" cm="1">
        <f t="array" aca="1" ref="DU24" ca="1">IF(COND_INTERSTICIAL[[#This Row],[tramo ev]]=1,0,IF((COND_INTERSTICIAL[[#This Row],[tramo ev]]&gt;INDIRECT(ADDRESS(ROW()-1,COLUMN(COND_INTERSTICIAL[[#This Row],[tramo ev]]),4)))+COND_INTERSTICIAL[[#This Row],[evapora]],COND_INTERSTICIAL[[#This Row],[Capa]],INDIRECT(ADDRESS(ROW()-1,COLUMN(),4))))</f>
        <v>#DIV/0!</v>
      </c>
      <c r="DV24" s="111" t="e" cm="1">
        <f t="array" aca="1" ref="DV24" ca="1">IF((COND_INTERSTICIAL[[#This Row],[Capa]]=N_capas)+(COND_INTERSTICIAL[[#This Row],[tramo ev]]=COUNTIFS(COND_INTERSTICIAL[evapora],TRUE,COND_INTERSTICIAL[Mes],CW24,COND_INTERSTICIAL[Sección],CX24)+1),N_capas,INDEX(COND_INTERSTICIAL[capa lím inf ev],MATCH(COND_INTERSTICIAL[[#This Row],[Mes]]&amp;"-"&amp;COND_INTERSTICIAL[[#This Row],[Sección]]&amp;"-"&amp;(COND_INTERSTICIAL[[#This Row],[tramo ev]]+1),COND_INTERSTICIAL[llave tramo ev],0)))</f>
        <v>#DIV/0!</v>
      </c>
      <c r="DW24" s="111" cm="1">
        <f t="array" aca="1" ref="DW2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4" s="113" t="e" cm="1">
        <f t="array" aca="1" ref="DX2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4"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4" s="113" t="e">
        <f ca="1">COND_INTERSTICIAL[[#This Row],[gev]]+COND_INTERSTICIAL[[#This Row],[Ma anterior ev]]</f>
        <v>#DIV/0!</v>
      </c>
      <c r="EA24" s="115" t="e">
        <f ca="1">IF(COND_INTERSTICIAL[[#This Row],[Ma cond]]+COND_INTERSTICIAL[[#This Row],[Ma ev]]&lt;=0,0,COND_INTERSTICIAL[[#This Row],[Ma cond]]+COND_INTERSTICIAL[[#This Row],[Ma ev]])</f>
        <v>#DIV/0!</v>
      </c>
      <c r="EB24" s="115" t="e">
        <f ca="1">IF(COND_INTERSTICIAL[[#This Row],[Ma]]&gt;0,TRUE,FALSE)</f>
        <v>#DIV/0!</v>
      </c>
      <c r="EC24" s="115" t="e" cm="1">
        <f t="array" aca="1" ref="EC24" ca="1">IF(COND_INTERSTICIAL[[#This Row],[agua líquida]],IF(COND_INTERSTICIAL[[#This Row],[Condensa]],COND_INTERSTICIAL[[#This Row],[P límite cond]],COND_INTERSTICIAL[[#This Row],[P límite ev]]),IF(COND_INTERSTICIAL[[#This Row],[Capa]]=N_capas,COND_INTERSTICIAL[[#This Row],[Pn]],""))</f>
        <v>#DIV/0!</v>
      </c>
      <c r="ED24" s="115" t="e">
        <f ca="1">COND_INTERSTICIAL[[#This Row],[Mes]]&amp;"-"&amp;COND_INTERSTICIAL[[#This Row],[Sección]]&amp;"-"&amp;COND_INTERSTICIAL[[#This Row],[tramo gráf]]</f>
        <v>#DIV/0!</v>
      </c>
      <c r="EE24" s="114" t="e" cm="1">
        <f t="array" aca="1" ref="EE24" ca="1">IF(COND_INTERSTICIAL[[#This Row],[Capa]]=1,IF(COND_INTERSTICIAL[[#This Row],[agua líquida]],2,1),IF(COND_INTERSTICIAL[[#This Row],[agua líquida]],1,0)+INDIRECT(ADDRESS(ROW()-1,COLUMN(),4)))</f>
        <v>#DIV/0!</v>
      </c>
      <c r="EF24" s="114" t="e" cm="1">
        <f t="array" aca="1" ref="EF24" ca="1">IF(COND_INTERSTICIAL[[#This Row],[tramo gráf]]=1,0,IF((COND_INTERSTICIAL[[#This Row],[tramo gráf]]&gt;INDIRECT(ADDRESS(ROW()-1,COLUMN(COND_INTERSTICIAL[[#This Row],[tramo gráf]]),4)))+COND_INTERSTICIAL[[#This Row],[agua líquida]],COND_INTERSTICIAL[[#This Row],[Capa]],INDIRECT(ADDRESS(ROW()-1,COLUMN(),4))))</f>
        <v>#DIV/0!</v>
      </c>
      <c r="EG24" s="114" t="e" cm="1">
        <f t="array" aca="1" ref="EG24" ca="1">IF((COND_INTERSTICIAL[[#This Row],[Capa]]=N_capas)+(COND_INTERSTICIAL[[#This Row],[tramo gráf]]=COUNTIFS(COND_INTERSTICIAL[agua líquida],TRUE,COND_INTERSTICIAL[Mes],CW24,COND_INTERSTICIAL[Sección],CX24)+1),N_capas,INDEX(COND_INTERSTICIAL[capa lím inf gráf],MATCH(COND_INTERSTICIAL[[#This Row],[Mes]]&amp;"-"&amp;COND_INTERSTICIAL[[#This Row],[Sección]]&amp;"-"&amp;(COND_INTERSTICIAL[[#This Row],[tramo gráf]]+1),COND_INTERSTICIAL[llave tramo gráf],0)))</f>
        <v>#DIV/0!</v>
      </c>
      <c r="EH24" s="114" cm="1">
        <f t="array" aca="1" ref="EH2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4" s="116" t="e" cm="1">
        <f t="array" aca="1" ref="EI2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4" t="s">
        <v>168</v>
      </c>
      <c r="EM24" t="s">
        <v>111</v>
      </c>
      <c r="EN24" t="s">
        <v>256</v>
      </c>
      <c r="EO24" t="s">
        <v>294</v>
      </c>
      <c r="EP24" t="s">
        <v>342</v>
      </c>
      <c r="EQ24" t="s">
        <v>194</v>
      </c>
      <c r="ER24" t="s">
        <v>195</v>
      </c>
      <c r="ES24" t="s">
        <v>1792</v>
      </c>
      <c r="ET24" t="s">
        <v>296</v>
      </c>
      <c r="EU24" t="s">
        <v>1806</v>
      </c>
      <c r="EV24" t="s">
        <v>269</v>
      </c>
      <c r="EW24" t="s">
        <v>270</v>
      </c>
      <c r="EX24" t="s">
        <v>1791</v>
      </c>
      <c r="EY24" t="s">
        <v>297</v>
      </c>
      <c r="EZ24" t="s">
        <v>318</v>
      </c>
      <c r="FA24" t="s">
        <v>319</v>
      </c>
      <c r="FB24" t="s">
        <v>343</v>
      </c>
      <c r="FC24" t="s">
        <v>344</v>
      </c>
      <c r="FD24" t="s">
        <v>298</v>
      </c>
      <c r="FE24" t="s">
        <v>345</v>
      </c>
      <c r="FG24" s="150" t="s">
        <v>1430</v>
      </c>
      <c r="FH24" s="150" t="s">
        <v>1431</v>
      </c>
      <c r="FI24" t="s">
        <v>257</v>
      </c>
      <c r="FJ24" s="150">
        <f t="array" ref="FJ24:FU24">TRANSPOSE(BZ58:BZ69)</f>
        <v>7</v>
      </c>
      <c r="FK24" s="150">
        <v>8</v>
      </c>
      <c r="FL24" s="150">
        <v>9</v>
      </c>
      <c r="FM24" s="150">
        <v>10</v>
      </c>
      <c r="FN24" s="150">
        <v>11</v>
      </c>
      <c r="FO24" s="150">
        <v>12</v>
      </c>
      <c r="FP24" s="150">
        <v>1</v>
      </c>
      <c r="FQ24" s="150">
        <v>2</v>
      </c>
      <c r="FR24" s="150">
        <v>3</v>
      </c>
      <c r="FS24" s="150">
        <v>4</v>
      </c>
      <c r="FT24" s="150">
        <v>5</v>
      </c>
      <c r="FU24" s="150">
        <v>6</v>
      </c>
      <c r="FW24" s="60" t="s">
        <v>1501</v>
      </c>
      <c r="FX24" s="11" t="s">
        <v>1505</v>
      </c>
      <c r="FY24" s="301" t="str">
        <f ca="1">$BZ$50</f>
        <v>n/a</v>
      </c>
      <c r="FZ24" s="301" t="str">
        <f ca="1">$BZ$50</f>
        <v>n/a</v>
      </c>
      <c r="GA24" s="301"/>
      <c r="GB24" s="308"/>
      <c r="GD24" s="11"/>
      <c r="GE24">
        <f>GE25-GE23</f>
        <v>8.1390600000000006</v>
      </c>
      <c r="GF24" s="52">
        <f>GE24/$GE$25</f>
        <v>0.80744642857142868</v>
      </c>
      <c r="GH24" s="12"/>
    </row>
    <row r="25" spans="2:195" ht="14.65" thickBot="1" x14ac:dyDescent="0.5">
      <c r="B25" cm="1">
        <f t="array" ref="B25">ROUNDUP((ROW()-ROW(INDEX(SECCIONES_CAPAS[],1,1))+1)/N_capas,0)</f>
        <v>2</v>
      </c>
      <c r="C25" cm="1">
        <f t="array" ref="C25">(ROW()-ROW(INDEX(SECCIONES_CAPAS[],1,1))+1)-(SECCIONES_CAPAS[[#This Row],[Sección]]-1)*N_capas</f>
        <v>3</v>
      </c>
      <c r="D25" t="str">
        <f>SECCIONES_CAPAS[[#This Row],[Sección]]&amp;"-"&amp;SECCIONES_CAPAS[[#This Row],[Capa]]</f>
        <v>2-3</v>
      </c>
      <c r="E25" cm="1">
        <f t="array" ref="E25">INDEX(DATOS[],2+SECCIONES_CAPAS[[#This Row],[Capa]],2+SECCIONES_CAPAS[[#This Row],[Sección]])</f>
        <v>0</v>
      </c>
      <c r="F25" t="str">
        <f>IFERROR(INDEX(MATERIALES[Abreviatura],MATCH(SECCIONES_CAPAS[[#This Row],[Material nombre largo]],MATERIALES[Nombre largo],0)),"Capa "&amp;SECCIONES_CAPAS[[#This Row],[Capa]])</f>
        <v>Capa 3</v>
      </c>
      <c r="G25" t="e">
        <f>INDEX(MATERIALES[Biblioteca],MATCH(SECCIONES_CAPAS[[#This Row],[Material nombre largo]],MATERIALES[Nombre largo],0))</f>
        <v>#N/A</v>
      </c>
      <c r="H25" t="e">
        <f>INDEX(MATERIALES[Material],MATCH(SECCIONES_CAPAS[[#This Row],[Material nombre largo]],MATERIALES[Nombre largo],0))</f>
        <v>#N/A</v>
      </c>
      <c r="I25" t="str">
        <f>SECCIONES_CAPAS[[#This Row],[Abreviatura]]&amp;" "&amp;SECCIONES_CAPAS[[#This Row],[d]]*1000&amp;" mm"</f>
        <v>Capa 3 0 mm</v>
      </c>
      <c r="J25" t="str" cm="1">
        <f t="array" aca="1" ref="J25" ca="1">IF(SECCIONES_CAPAS[[#This Row],[Capa]]=1,SECCIONES_CAPAS[[#This Row],[descripción auto]],INDIRECT(ADDRESS(ROW()-1,COLUMN(),4))&amp;" + "&amp;SECCIONES_CAPAS[[#This Row],[descripción auto]])</f>
        <v>Capa 1 0 mm + Capa 2 0 mm + Capa 3 0 mm</v>
      </c>
      <c r="K25" t="str" cm="1">
        <f t="array" aca="1" ref="K25"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3</v>
      </c>
      <c r="L25" t="b">
        <f>IF(SECCIONES_CAPAS[[#This Row],[Material nombre largo]]=Aux!$H$29,TRUE,FALSE)</f>
        <v>0</v>
      </c>
      <c r="M25" t="b" cm="1">
        <f t="array" aca="1" ref="M25" ca="1">IFERROR(IF(SECCIONES_CAPAS[[#This Row],[Cámara aire no ventilada]]*INDIRECT(ADDRESS(ROW()+1,COLUMN(),4))+INDIRECT(ADDRESS(ROW()-1,COLUMN(SECCIONES_CAPAS[[#This Row],[Cámara aire no ventilada]]),4))*SECCIONES_CAPAS[[#This Row],[Cámara aire no ventilada]],TRUE,FALSE),FALSE)</f>
        <v>0</v>
      </c>
      <c r="O25" s="47" cm="1">
        <f t="array" ref="O25">IF(SECCIONES_CAPAS[[#This Row],[Material nombre largo]]=0,0,INDEX(CAPAS[d],SECCIONES_CAPAS[[#This Row],[Capa]]))</f>
        <v>0</v>
      </c>
      <c r="P25" s="47" t="e">
        <f>MATCH(INDEX(MATERIALES[Propiedad térmica],MATCH(SECCIONES_CAPAS[[#This Row],[Material nombre largo]],MATERIALES[Nombre largo],0)),Aux!$H$18:$H$19,0)</f>
        <v>#N/A</v>
      </c>
      <c r="Q25" s="47">
        <f>IF(ISERROR(SECCIONES_CAPAS[[#This Row],[índice prop térmica]]),1,0)</f>
        <v>1</v>
      </c>
      <c r="R25" s="373" cm="1">
        <f t="array" ref="R25">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5" s="373" t="b">
        <f>IF((SECCIONES_CAPAS[[#This Row],[λ]]&lt;0.1)*(SECCIONES_CAPAS[[#This Row],[λ]]&gt;0),TRUE,FALSE)</f>
        <v>0</v>
      </c>
      <c r="T25" s="47" cm="1">
        <f t="array" ref="T25">INDEX(SECCIONES[f],SECCIONES_CAPAS[[#This Row],[Sección]])*SECCIONES_CAPAS[[#This Row],[λ]]</f>
        <v>0</v>
      </c>
      <c r="U25" s="47" cm="1">
        <f t="array" ref="U25">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5" s="47">
        <f>IFERROR(INDEX(SECCIONES[f],MATCH(SECCIONES_CAPAS[[#This Row],[Sección]],SECCIONES[Sección m],0))/SECCIONES_CAPAS[[#This Row],[R]],0)</f>
        <v>0</v>
      </c>
      <c r="W25" s="47">
        <f>IF(SECCIONES_CAPAS[[#This Row],[Capa]]=1,SECCIONES_CAPAS[[#This Row],[d]],SECCIONES_CAPAS[[#This Row],[d]]+W24)</f>
        <v>0</v>
      </c>
      <c r="X25" s="374" cm="1">
        <f t="array" aca="1" ref="X25" ca="1">IF(SECCIONES_CAPAS[[#This Row],[Capa]]=1,IF(contacto_terreno,Resistencia_térmica_2m_tierra+SECCIONES_CAPAS[[#This Row],[R]],R_se+SECCIONES_CAPAS[[#This Row],[R]]),INDIRECT(ADDRESS(ROW()-1,COLUMN(),4))+SECCIONES_CAPAS[[#This Row],[R]])</f>
        <v>0.04</v>
      </c>
      <c r="Y25" s="47" t="e">
        <f>MATCH(INDEX(MATERIALES[Propiedad difusión de vapor],MATCH(SECCIONES_CAPAS[[#This Row],[Material nombre largo]],MATERIALES[Nombre largo],0)),Aux!$H$20:$H$27,0)</f>
        <v>#N/A</v>
      </c>
      <c r="Z25"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5" s="375" t="e">
        <f>IF(INDEX(MATERIALES[Valor propiedad difusión de vapor],MATCH(SECCIONES_CAPAS[[#This Row],[Material nombre largo]],MATERIALES[Nombre largo],0))=Aux!$C$112,TRUE,FALSE)</f>
        <v>#N/A</v>
      </c>
      <c r="AB25" s="373" cm="1">
        <f t="array" ref="AB25">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5" s="47" cm="1">
        <f t="array" aca="1" ref="AC25" ca="1">IF(SECCIONES_CAPAS[[#This Row],[Capa]]=1,SECCIONES_CAPAS[[#This Row],[Sd]],SECCIONES_CAPAS[[#This Row],[Sd]]+INDIRECT(ADDRESS(ROW()-1,COLUMN(),4)))</f>
        <v>0</v>
      </c>
      <c r="AD25" s="47">
        <f>IF(ISERROR(SECCIONES_CAPAS[[#This Row],[Sd]]),1,0)</f>
        <v>0</v>
      </c>
      <c r="AF25" s="11" t="s">
        <v>1521</v>
      </c>
      <c r="AG25" s="2"/>
      <c r="AH25" s="90" t="b">
        <f>IF($AH$24&lt;20,TRUE,FALSE)</f>
        <v>0</v>
      </c>
      <c r="AI25" s="12"/>
      <c r="BY25" s="11" t="s">
        <v>421</v>
      </c>
      <c r="BZ25" t="str">
        <f>INDEX(DATOS_TEMPERATURA_MIN_ZT[Dato provincial],MATCH(Zona_Térmica_condensación,lista_zonas_macrozonas,0))</f>
        <v>Provincia de Valparaíso</v>
      </c>
      <c r="CD25" s="1">
        <v>6</v>
      </c>
      <c r="CE25" s="90" cm="1">
        <f t="array" ref="CE25">INDEX(CLIMA[Pi],COND_SUPERFICIAL_CONDICIONES[[#This Row],[Mes]])/ϕsicr</f>
        <v>1647.1134324241689</v>
      </c>
      <c r="CF25"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5" s="36" t="e" cm="1">
        <f t="array" ref="CG25">(COND_SUPERFICIAL_CONDICIONES[[#This Row],[ϴsi_mín]]-INDEX(CLIMA[ϴe],COND_SUPERFICIAL_CONDICIONES[[#This Row],[Mes]]))/(INDEX(CLIMA[ϴi],COND_SUPERFICIAL_CONDICIONES[[#This Row],[Mes]])-INDEX(CLIMA[ϴe],COND_SUPERFICIAL_CONDICIONES[[#This Row],[Mes]]))</f>
        <v>#N/A</v>
      </c>
      <c r="CH25" s="36" t="e">
        <f>Rsi_condensación/(1-COND_SUPERFICIAL_CONDICIONES[[#This Row],[fRsi_mín]])</f>
        <v>#N/A</v>
      </c>
      <c r="CI25" s="6" t="e">
        <f>1/COND_SUPERFICIAL_CONDICIONES[[#This Row],[Rt_mín]]</f>
        <v>#N/A</v>
      </c>
      <c r="CK25" s="1" cm="1">
        <f t="array" ref="CK25">ROUNDUP((ROW()-$CN$18)/(N_secciones),0)</f>
        <v>3</v>
      </c>
      <c r="CL25" cm="1">
        <f t="array" ref="CL25">ROW()-ROW(INDEX(COND_SUPERFICIAL[],1,1))+1-(COND_SUPERFICIAL[[#This Row],[Mes]]-1)*N_secciones</f>
        <v>2</v>
      </c>
      <c r="CM25" s="1" t="str">
        <f>COND_SUPERFICIAL[[#This Row],[Mes]]&amp;"-"&amp;COND_SUPERFICIAL[[#This Row],[Sección]]</f>
        <v>3-2</v>
      </c>
      <c r="CN25" t="e" cm="1">
        <f t="array" ref="CN25">IF(INDEX(SECCIONES[Rtsección_condensación],COND_SUPERFICIAL[[#This Row],[Sección]])&lt;=INDEX(COND_SUPERFICIAL_CONDICIONES[Rt_mín],COND_SUPERFICIAL[[#This Row],[Mes]]),TRUE,FALSE)</f>
        <v>#N/A</v>
      </c>
      <c r="CP25" s="1" cm="1">
        <f t="array" ref="CP25">ROUNDUP((ROW()-$CN$18)/(N_secciones),0)</f>
        <v>3</v>
      </c>
      <c r="CQ25" s="1" cm="1">
        <f t="array" ref="CQ25">ROUNDUP((ROW()-$CN$18+(Mes_inicial_de_análisis-1)*N_secciones)/(N_secciones),0)-12*IF(ROW()-$CN$18&gt;(12-Mes_inicial_de_análisis+1)*N_secciones,1,0)</f>
        <v>9</v>
      </c>
      <c r="CR25" s="1" cm="1">
        <f t="array" ref="CR25">ROW()-$CN$18-(ROUNDUP((ROW()-$CN$18)/(N_secciones),0)-1)*N_secciones</f>
        <v>2</v>
      </c>
      <c r="CS25" s="107" t="str">
        <f>COND_INTERSTICIAL_AGUA_ACUMULADA[[#This Row],[orden]]&amp;"-"&amp;COND_INTERSTICIAL_AGUA_ACUMULADA[[#This Row],[Sección]]</f>
        <v>3-2</v>
      </c>
      <c r="CT25">
        <f ca="1">COUNTIFS(COND_INTERSTICIAL[agua líquida],TRUE,COND_INTERSTICIAL[Mes],COND_INTERSTICIAL_AGUA_ACUMULADA[[#This Row],[Mes]],COND_INTERSTICIAL[Sección],COND_INTERSTICIAL_AGUA_ACUMULADA[[#This Row],[Sección]])</f>
        <v>0</v>
      </c>
      <c r="CU25" s="107" t="e">
        <f ca="1">SUMIFS(COND_INTERSTICIAL[Ma],COND_INTERSTICIAL[Mes],COND_INTERSTICIAL_AGUA_ACUMULADA[[#This Row],[Mes]],COND_INTERSTICIAL[Sección],COND_INTERSTICIAL_AGUA_ACUMULADA[[#This Row],[Sección]])</f>
        <v>#N/A</v>
      </c>
      <c r="CW25" s="1" cm="1">
        <f t="array" ref="CW25">ROUNDUP((ROW()-$CN$18+(Mes_inicial_de_análisis-1)*N_capas*N_secciones)/(N_capas*N_secciones),0)-12*IF(ROW()-$CN$18&gt;(12-Mes_inicial_de_análisis+1)*N_capas*N_secciones,1,0)</f>
        <v>7</v>
      </c>
      <c r="CX25" cm="1">
        <f t="array" ref="CX25">ROUNDUP((ROW()-$CN$18)/N_capas-(ROUNDUP((ROW()-$CN$18)/(N_capas*N_secciones),0)-1)*N_secciones,0)</f>
        <v>1</v>
      </c>
      <c r="CY25" cm="1">
        <f t="array" ref="CY25">(ROW()-$CN$18)-(COND_INTERSTICIAL[[#This Row],[Sección]]-1)*N_capas-(ROUNDUP((ROW()-$CN$18)/(N_capas*N_secciones),0)-1)*N_capas*N_secciones</f>
        <v>6</v>
      </c>
      <c r="CZ25" t="str">
        <f>COND_INTERSTICIAL[[#This Row],[Mes]]&amp;"-"&amp;COND_INTERSTICIAL[[#This Row],[Sección]]&amp;"-"&amp;COND_INTERSTICIAL[[#This Row],[Capa]]</f>
        <v>7-1-6</v>
      </c>
      <c r="DA25">
        <f ca="1">INDEX(SECCIONES_CAPAS[R''n],MATCH(COND_INTERSTICIAL[[#This Row],[Sección]]&amp;"-"&amp;COND_INTERSTICIAL[[#This Row],[Capa]],SECCIONES_CAPAS[llave],0))</f>
        <v>0.04</v>
      </c>
      <c r="DB25" s="172" cm="1">
        <f t="array" aca="1" ref="DB25" ca="1">INDEX(CLIMA[ϴe],COND_INTERSTICIAL[[#This Row],[Mes]])+COND_INTERSTICIAL[[#This Row],[Rn]]*(INDEX(CLIMA[ϴi],COND_INTERSTICIAL[[#This Row],[Mes]])-INDEX(CLIMA[ϴe],COND_INTERSTICIAL[[#This Row],[Mes]]))/(INDEX(SECCIONES[Rtsección_condensación],COND_INTERSTICIAL[[#This Row],[Sección]]))</f>
        <v>7.1470588235294112</v>
      </c>
      <c r="DC25">
        <f>INDEX(SECCIONES_CAPAS[Sd],MATCH(COND_INTERSTICIAL[[#This Row],[Sección]]&amp;"-"&amp;COND_INTERSTICIAL[[#This Row],[Capa]],SECCIONES_CAPAS[llave],0))</f>
        <v>0</v>
      </c>
      <c r="DD25">
        <f ca="1">INDEX(SECCIONES_CAPAS[S''d],MATCH(COND_INTERSTICIAL[[#This Row],[Sección]]&amp;"-"&amp;COND_INTERSTICIAL[[#This Row],[Capa]],SECCIONES_CAPAS[llave],0))</f>
        <v>0</v>
      </c>
      <c r="DE25" s="90">
        <f ca="1">IF(COND_INTERSTICIAL[[#This Row],[ϴn]]&gt;=0,610.5*EXP((17.269*COND_INTERSTICIAL[[#This Row],[ϴn]])/(237.3+COND_INTERSTICIAL[[#This Row],[ϴn]])),610.5*EXP((21.875*COND_INTERSTICIAL[[#This Row],[ϴn]])/(265.5+COND_INTERSTICIAL[[#This Row],[ϴn]])))</f>
        <v>1011.4936324284752</v>
      </c>
      <c r="DF25" s="90" t="e" cm="1">
        <f t="array" aca="1" ref="DF25" ca="1">COND_INTERSTICIAL[[#This Row],[S''d]]*((INDEX(CLIMA[Pi],COND_INTERSTICIAL[[#This Row],[Mes]])-INDEX(CLIMA[Pe],COND_INTERSTICIAL[[#This Row],[Mes]]))/INDEX(SECCIONES[SdT],COND_INTERSTICIAL[[#This Row],[Sección]]))+INDEX(CLIMA[Pe],COND_INTERSTICIAL[[#This Row],[Mes]])</f>
        <v>#DIV/0!</v>
      </c>
      <c r="DG25" s="108" t="e">
        <f ca="1">IF((COND_INTERSTICIAL[[#This Row],[Pn]]&gt;=COND_INTERSTICIAL[[#This Row],[Psat]]),TRUE,FALSE)</f>
        <v>#DIV/0!</v>
      </c>
      <c r="DH25" s="109" t="e" cm="1">
        <f t="array" aca="1" ref="DH25" ca="1">IF(COND_INTERSTICIAL[[#This Row],[Condensa]],COND_INTERSTICIAL[[#This Row],[Psat]],IF(COND_INTERSTICIAL[[#This Row],[Capa]]=N_capas,COND_INTERSTICIAL[[#This Row],[Pn]],""))</f>
        <v>#DIV/0!</v>
      </c>
      <c r="DI25" s="109" t="e">
        <f ca="1">COND_INTERSTICIAL[[#This Row],[Mes]]&amp;"-"&amp;COND_INTERSTICIAL[[#This Row],[Sección]]&amp;"-"&amp;COND_INTERSTICIAL[[#This Row],[tramo cond]]</f>
        <v>#DIV/0!</v>
      </c>
      <c r="DJ25" t="e" cm="1">
        <f t="array" aca="1" ref="DJ25" ca="1">IF(COND_INTERSTICIAL[[#This Row],[Capa]]=1,IF(COND_INTERSTICIAL[[#This Row],[Condensa]],2,1),IF(COND_INTERSTICIAL[[#This Row],[Condensa]],1,0)+INDIRECT(ADDRESS(ROW()-1,COLUMN(),4)))</f>
        <v>#DIV/0!</v>
      </c>
      <c r="DK25" s="108" t="e" cm="1">
        <f t="array" aca="1" ref="DK25" ca="1">IF(COND_INTERSTICIAL[[#This Row],[tramo cond]]=1,0,IF((COND_INTERSTICIAL[[#This Row],[tramo cond]]&gt;INDIRECT(ADDRESS(ROW()-1,COLUMN(COND_INTERSTICIAL[[#This Row],[tramo cond]]),4)))+COND_INTERSTICIAL[[#This Row],[Condensa]],COND_INTERSTICIAL[[#This Row],[Capa]],INDIRECT(ADDRESS(ROW()-1,COLUMN(),4))))</f>
        <v>#DIV/0!</v>
      </c>
      <c r="DL25" s="108" t="e" cm="1">
        <f t="array" aca="1" ref="DL25" ca="1">IF((COND_INTERSTICIAL[[#This Row],[Capa]]=N_capas)+(COND_INTERSTICIAL[[#This Row],[tramo cond]]=COUNTIFS(COND_INTERSTICIAL[Condensa],TRUE,COND_INTERSTICIAL[Mes],CW25,COND_INTERSTICIAL[Sección],CX25)+1),N_capas,INDEX(COND_INTERSTICIAL[capa lím inf cond],MATCH(COND_INTERSTICIAL[[#This Row],[Mes]]&amp;"-"&amp;COND_INTERSTICIAL[[#This Row],[Sección]]&amp;"-"&amp;(COND_INTERSTICIAL[[#This Row],[tramo cond]]+1),COND_INTERSTICIAL[llave tramo cond],0)))</f>
        <v>#DIV/0!</v>
      </c>
      <c r="DM25" s="108" cm="1">
        <f t="array" aca="1" ref="DM2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5" s="110" t="e" cm="1">
        <f t="array" aca="1" ref="DN2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5"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5" s="107" t="e">
        <f ca="1">COND_INTERSTICIAL[[#This Row],[gc]]+COND_INTERSTICIAL[[#This Row],[Ma_anterior cond]]</f>
        <v>#DIV/0!</v>
      </c>
      <c r="DQ25" s="113" t="e">
        <f ca="1">IF((COND_INTERSTICIAL[[#This Row],[Ma_anterior cond]]&gt;0)*NOT(COND_INTERSTICIAL[[#This Row],[Condensa]]),TRUE,FALSE)</f>
        <v>#DIV/0!</v>
      </c>
      <c r="DR25" s="112" t="e" cm="1">
        <f t="array" aca="1" ref="DR25" ca="1">IF(COND_INTERSTICIAL[[#This Row],[evapora]],COND_INTERSTICIAL[[#This Row],[Psat]],IF(COND_INTERSTICIAL[[#This Row],[Capa]]=N_capas,COND_INTERSTICIAL[[#This Row],[Pn]],""))</f>
        <v>#DIV/0!</v>
      </c>
      <c r="DS25" s="112" t="e">
        <f ca="1">COND_INTERSTICIAL[[#This Row],[Mes]]&amp;"-"&amp;COND_INTERSTICIAL[[#This Row],[Sección]]&amp;"-"&amp;COND_INTERSTICIAL[[#This Row],[tramo ev]]</f>
        <v>#DIV/0!</v>
      </c>
      <c r="DT25" s="111" t="e" cm="1">
        <f t="array" aca="1" ref="DT25" ca="1">IF(COND_INTERSTICIAL[[#This Row],[Capa]]=1,IF(COND_INTERSTICIAL[[#This Row],[evapora]],2,1),IF(COND_INTERSTICIAL[[#This Row],[evapora]],1,0)+INDIRECT(ADDRESS(ROW()-1,COLUMN(),4)))</f>
        <v>#DIV/0!</v>
      </c>
      <c r="DU25" s="111" t="e" cm="1">
        <f t="array" aca="1" ref="DU25" ca="1">IF(COND_INTERSTICIAL[[#This Row],[tramo ev]]=1,0,IF((COND_INTERSTICIAL[[#This Row],[tramo ev]]&gt;INDIRECT(ADDRESS(ROW()-1,COLUMN(COND_INTERSTICIAL[[#This Row],[tramo ev]]),4)))+COND_INTERSTICIAL[[#This Row],[evapora]],COND_INTERSTICIAL[[#This Row],[Capa]],INDIRECT(ADDRESS(ROW()-1,COLUMN(),4))))</f>
        <v>#DIV/0!</v>
      </c>
      <c r="DV25" s="111" t="e" cm="1">
        <f t="array" aca="1" ref="DV25" ca="1">IF((COND_INTERSTICIAL[[#This Row],[Capa]]=N_capas)+(COND_INTERSTICIAL[[#This Row],[tramo ev]]=COUNTIFS(COND_INTERSTICIAL[evapora],TRUE,COND_INTERSTICIAL[Mes],CW25,COND_INTERSTICIAL[Sección],CX25)+1),N_capas,INDEX(COND_INTERSTICIAL[capa lím inf ev],MATCH(COND_INTERSTICIAL[[#This Row],[Mes]]&amp;"-"&amp;COND_INTERSTICIAL[[#This Row],[Sección]]&amp;"-"&amp;(COND_INTERSTICIAL[[#This Row],[tramo ev]]+1),COND_INTERSTICIAL[llave tramo ev],0)))</f>
        <v>#DIV/0!</v>
      </c>
      <c r="DW25" s="111" cm="1">
        <f t="array" aca="1" ref="DW2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5" s="113" t="e" cm="1">
        <f t="array" aca="1" ref="DX2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5"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5" s="113" t="e">
        <f ca="1">COND_INTERSTICIAL[[#This Row],[gev]]+COND_INTERSTICIAL[[#This Row],[Ma anterior ev]]</f>
        <v>#DIV/0!</v>
      </c>
      <c r="EA25" s="115" t="e">
        <f ca="1">IF(COND_INTERSTICIAL[[#This Row],[Ma cond]]+COND_INTERSTICIAL[[#This Row],[Ma ev]]&lt;=0,0,COND_INTERSTICIAL[[#This Row],[Ma cond]]+COND_INTERSTICIAL[[#This Row],[Ma ev]])</f>
        <v>#DIV/0!</v>
      </c>
      <c r="EB25" s="115" t="e">
        <f ca="1">IF(COND_INTERSTICIAL[[#This Row],[Ma]]&gt;0,TRUE,FALSE)</f>
        <v>#DIV/0!</v>
      </c>
      <c r="EC25" s="115" t="e" cm="1">
        <f t="array" aca="1" ref="EC25" ca="1">IF(COND_INTERSTICIAL[[#This Row],[agua líquida]],IF(COND_INTERSTICIAL[[#This Row],[Condensa]],COND_INTERSTICIAL[[#This Row],[P límite cond]],COND_INTERSTICIAL[[#This Row],[P límite ev]]),IF(COND_INTERSTICIAL[[#This Row],[Capa]]=N_capas,COND_INTERSTICIAL[[#This Row],[Pn]],""))</f>
        <v>#DIV/0!</v>
      </c>
      <c r="ED25" s="115" t="e">
        <f ca="1">COND_INTERSTICIAL[[#This Row],[Mes]]&amp;"-"&amp;COND_INTERSTICIAL[[#This Row],[Sección]]&amp;"-"&amp;COND_INTERSTICIAL[[#This Row],[tramo gráf]]</f>
        <v>#DIV/0!</v>
      </c>
      <c r="EE25" s="114" t="e" cm="1">
        <f t="array" aca="1" ref="EE25" ca="1">IF(COND_INTERSTICIAL[[#This Row],[Capa]]=1,IF(COND_INTERSTICIAL[[#This Row],[agua líquida]],2,1),IF(COND_INTERSTICIAL[[#This Row],[agua líquida]],1,0)+INDIRECT(ADDRESS(ROW()-1,COLUMN(),4)))</f>
        <v>#DIV/0!</v>
      </c>
      <c r="EF25" s="114" t="e" cm="1">
        <f t="array" aca="1" ref="EF25" ca="1">IF(COND_INTERSTICIAL[[#This Row],[tramo gráf]]=1,0,IF((COND_INTERSTICIAL[[#This Row],[tramo gráf]]&gt;INDIRECT(ADDRESS(ROW()-1,COLUMN(COND_INTERSTICIAL[[#This Row],[tramo gráf]]),4)))+COND_INTERSTICIAL[[#This Row],[agua líquida]],COND_INTERSTICIAL[[#This Row],[Capa]],INDIRECT(ADDRESS(ROW()-1,COLUMN(),4))))</f>
        <v>#DIV/0!</v>
      </c>
      <c r="EG25" s="114" t="e" cm="1">
        <f t="array" aca="1" ref="EG25" ca="1">IF((COND_INTERSTICIAL[[#This Row],[Capa]]=N_capas)+(COND_INTERSTICIAL[[#This Row],[tramo gráf]]=COUNTIFS(COND_INTERSTICIAL[agua líquida],TRUE,COND_INTERSTICIAL[Mes],CW25,COND_INTERSTICIAL[Sección],CX25)+1),N_capas,INDEX(COND_INTERSTICIAL[capa lím inf gráf],MATCH(COND_INTERSTICIAL[[#This Row],[Mes]]&amp;"-"&amp;COND_INTERSTICIAL[[#This Row],[Sección]]&amp;"-"&amp;(COND_INTERSTICIAL[[#This Row],[tramo gráf]]+1),COND_INTERSTICIAL[llave tramo gráf],0)))</f>
        <v>#DIV/0!</v>
      </c>
      <c r="EH25" s="114" cm="1">
        <f t="array" aca="1" ref="EH2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5" s="116" t="e" cm="1">
        <f t="array" aca="1" ref="EI2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5">
        <f t="shared" ref="EL25:EL45" si="0">Gráf_mes</f>
        <v>7</v>
      </c>
      <c r="EM25">
        <f t="shared" ref="EM25:EM45" si="1">Gráf_sección</f>
        <v>1</v>
      </c>
      <c r="EN25">
        <f>ROW()-ROW(INDEX(COND_INTERSTICIAL_GRÁF[],1,1))</f>
        <v>0</v>
      </c>
      <c r="EO25" t="str">
        <f>COND_INTERSTICIAL_GRÁF[[#This Row],[Mes]]&amp;"-"&amp;COND_INTERSTICIAL_GRÁF[[#This Row],[Sección]]&amp;"-"&amp;COND_INTERSTICIAL_GRÁF[[#This Row],[Capa]]</f>
        <v>7-1-0</v>
      </c>
      <c r="EP25" t="str">
        <f>"Capa "&amp;COND_INTERSTICIAL_GRÁF[[#This Row],[Capa]]&amp;": "&amp;IFERROR(INDEX(SECCIONES_CAPAS[Abreviatura],MATCH(COND_INTERSTICIAL_GRÁF[[#This Row],[Sección]]&amp;"-"&amp;COND_INTERSTICIAL_GRÁF[[#This Row],[Capa]],SECCIONES_CAPAS[llave],0)),"")</f>
        <v xml:space="preserve">Capa 0: </v>
      </c>
      <c r="EQ25">
        <f>IFERROR(IF(COND_INTERSTICIAL_GRÁF[[#This Row],[Capa]]=0,0,INDEX(SECCIONES_CAPAS[d],MATCH(COND_INTERSTICIAL_GRÁF[[#This Row],[Sección]]&amp;"-"&amp;COND_INTERSTICIAL_GRÁF[[#This Row],[Capa]],SECCIONES_CAPAS[llave],0))),NA())</f>
        <v>0</v>
      </c>
      <c r="ER25">
        <f>IFERROR(IF(COND_INTERSTICIAL_GRÁF[[#This Row],[Capa]]=0,0,INDEX(SECCIONES_CAPAS[d''],MATCH(COND_INTERSTICIAL_GRÁF[[#This Row],[Sección]]&amp;"-"&amp;COND_INTERSTICIAL_GRÁF[[#This Row],[Capa]],SECCIONES_CAPAS[llave],0))),NA())</f>
        <v>0</v>
      </c>
      <c r="ES25" s="377" t="e" cm="1">
        <f t="array" ref="ES25">COND_INTERSTICIAL_GRÁF[[#This Row],[d'']]/INDEX(SECCIONES[d''],COND_INTERSTICIAL_GRÁF[[#This Row],[Sección]])</f>
        <v>#DIV/0!</v>
      </c>
      <c r="ET25" cm="1">
        <f t="array" aca="1" ref="ET25" ca="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7.1470588235294112</v>
      </c>
      <c r="EU25" s="90" cm="1">
        <f t="array" aca="1" ref="EU25" ca="1">IFERROR(IF(capa_interior_μ_inf,NA(),6.54+14.526*LN(COND_INTERSTICIAL_GRÁF[[#This Row],[Pn]]/1000)+0.7389*LN(COND_INTERSTICIAL_GRÁF[[#This Row],[Pn]]/1000)^2+0.09486*LN(COND_INTERSTICIAL_GRÁF[[#This Row],[Pn]]/1000)^3+0.4569*(COND_INTERSTICIAL_GRÁF[[#This Row],[Pn]]/1000)^0.1984),NA())</f>
        <v>2.7651282592554716</v>
      </c>
      <c r="EV25">
        <f>IFERROR(IF(COND_INTERSTICIAL_GRÁF[[#This Row],[Capa]]=0,0,INDEX(COND_INTERSTICIAL[Sd],MATCH(COND_INTERSTICIAL_GRÁF[[#This Row],[llave capa]],COND_INTERSTICIAL[llave capa],0))),NA())</f>
        <v>0</v>
      </c>
      <c r="EW25" s="90">
        <f>IFERROR(IF(COND_INTERSTICIAL_GRÁF[[#This Row],[Capa]]=0,0,INDEX(COND_INTERSTICIAL[S''d],MATCH(COND_INTERSTICIAL_GRÁF[[#This Row],[llave capa]],COND_INTERSTICIAL[llave capa],0))),NA())</f>
        <v>0</v>
      </c>
      <c r="EX25" s="377" t="e" cm="1">
        <f t="array" ref="EX25">COND_INTERSTICIAL_GRÁF[[#This Row],[S''d]]/INDEX(SECCIONES[SdT],Gráf_sección)</f>
        <v>#DIV/0!</v>
      </c>
      <c r="EY25" s="90" cm="1">
        <f t="array" aca="1" ref="EY25" ca="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784.68408753927326</v>
      </c>
      <c r="EZ25" s="107">
        <f>IFERROR(INDEX(COND_INTERSTICIAL[Ma],MATCH(COND_INTERSTICIAL_GRÁF[[#This Row],[llave capa]],COND_INTERSTICIAL[llave capa],0)),0)</f>
        <v>0</v>
      </c>
      <c r="FA25" s="90" t="b">
        <f>IF(COND_INTERSTICIAL_GRÁF[[#This Row],[Ma]]&gt;0,TRUE,FALSE)</f>
        <v>0</v>
      </c>
      <c r="FB25" s="90" t="str">
        <f>"Interfaz "&amp;COND_INTERSTICIAL_GRÁF[[#This Row],[Capa]]</f>
        <v>Interfaz 0</v>
      </c>
      <c r="FC25" s="90" t="e">
        <f>IF(COND_INTERSTICIAL_GRÁF[[#This Row],[agua líquida]],COND_INTERSTICIAL_GRÁF[[#This Row],[Psat]],NA())</f>
        <v>#N/A</v>
      </c>
      <c r="FD25" s="90" cm="1">
        <f t="array" aca="1" ref="FD25" ca="1">IFERROR(IF(COND_INTERSTICIAL_GRÁF[[#This Row],[Capa]]=0,INDEX(CLIMA[Pe],COND_INTERSTICIAL_GRÁF[[#This Row],[Mes]]),INDEX(COND_INTERSTICIAL[Pn],MATCH(COND_INTERSTICIAL_GRÁF[[#This Row],[llave capa]],COND_INTERSTICIAL[llave capa],0))),NA())</f>
        <v>745.44988316230956</v>
      </c>
      <c r="FE25" s="90" cm="1">
        <f t="array" aca="1" ref="FE25" ca="1">IFERROR(IF(capa_interior_μ_inf,NA(),IF(COND_INTERSTICIAL_GRÁF[[#This Row],[Capa]]=0,INDEX(CLIMA[Pe],COND_INTERSTICIAL_GRÁF[[#This Row],[Mes]]),INDEX(COND_INTERSTICIAL[Pn gráf],MATCH(COND_INTERSTICIAL_GRÁF[[#This Row],[llave capa]],COND_INTERSTICIAL[llave capa],0)))),NA())</f>
        <v>745.44988316230956</v>
      </c>
      <c r="FG25" s="291">
        <v>1</v>
      </c>
      <c r="FH25" s="291">
        <v>1</v>
      </c>
      <c r="FI25" s="291" t="str">
        <f>Tabla43[[#This Row],[Columna1]]&amp;"-"&amp;Tabla43[[#This Row],[Columna2]]</f>
        <v>1-1</v>
      </c>
      <c r="FJ25" s="291" t="e">
        <f ca="1">INDEX(COND_INTERSTICIAL[Ma],MATCH(FJ$24&amp;"-"&amp;Tabla43[[#This Row],[Columna15]],COND_INTERSTICIAL[llave capa],0))</f>
        <v>#DIV/0!</v>
      </c>
      <c r="FK25" s="291" t="e">
        <f ca="1">INDEX(COND_INTERSTICIAL[Ma],MATCH(FK$24&amp;"-"&amp;Tabla43[[#This Row],[Columna15]],COND_INTERSTICIAL[llave capa],0))</f>
        <v>#N/A</v>
      </c>
      <c r="FL25" s="291" t="e">
        <f ca="1">INDEX(COND_INTERSTICIAL[Ma],MATCH(FL$24&amp;"-"&amp;Tabla43[[#This Row],[Columna15]],COND_INTERSTICIAL[llave capa],0))</f>
        <v>#N/A</v>
      </c>
      <c r="FM25" s="291" t="e">
        <f ca="1">INDEX(COND_INTERSTICIAL[Ma],MATCH(FM$24&amp;"-"&amp;Tabla43[[#This Row],[Columna15]],COND_INTERSTICIAL[llave capa],0))</f>
        <v>#N/A</v>
      </c>
      <c r="FN25" s="291" t="e">
        <f ca="1">INDEX(COND_INTERSTICIAL[Ma],MATCH(FN$24&amp;"-"&amp;Tabla43[[#This Row],[Columna15]],COND_INTERSTICIAL[llave capa],0))</f>
        <v>#N/A</v>
      </c>
      <c r="FO25" s="291" t="e">
        <f ca="1">INDEX(COND_INTERSTICIAL[Ma],MATCH(FO$24&amp;"-"&amp;Tabla43[[#This Row],[Columna15]],COND_INTERSTICIAL[llave capa],0))</f>
        <v>#N/A</v>
      </c>
      <c r="FP25" s="291" t="e">
        <f ca="1">INDEX(COND_INTERSTICIAL[Ma],MATCH(FP$24&amp;"-"&amp;Tabla43[[#This Row],[Columna15]],COND_INTERSTICIAL[llave capa],0))</f>
        <v>#N/A</v>
      </c>
      <c r="FQ25" s="291" t="e">
        <f ca="1">INDEX(COND_INTERSTICIAL[Ma],MATCH(FQ$24&amp;"-"&amp;Tabla43[[#This Row],[Columna15]],COND_INTERSTICIAL[llave capa],0))</f>
        <v>#N/A</v>
      </c>
      <c r="FR25" s="291" t="e">
        <f ca="1">INDEX(COND_INTERSTICIAL[Ma],MATCH(FR$24&amp;"-"&amp;Tabla43[[#This Row],[Columna15]],COND_INTERSTICIAL[llave capa],0))</f>
        <v>#N/A</v>
      </c>
      <c r="FS25" s="291" t="e">
        <f ca="1">INDEX(COND_INTERSTICIAL[Ma],MATCH(FS$24&amp;"-"&amp;Tabla43[[#This Row],[Columna15]],COND_INTERSTICIAL[llave capa],0))</f>
        <v>#N/A</v>
      </c>
      <c r="FT25" s="291" t="e">
        <f ca="1">INDEX(COND_INTERSTICIAL[Ma],MATCH(FT$24&amp;"-"&amp;Tabla43[[#This Row],[Columna15]],COND_INTERSTICIAL[llave capa],0))</f>
        <v>#N/A</v>
      </c>
      <c r="FU25" s="291" t="e">
        <f ca="1">INDEX(COND_INTERSTICIAL[Ma],MATCH(FU$24&amp;"-"&amp;Tabla43[[#This Row],[Columna15]],COND_INTERSTICIAL[llave capa],0))</f>
        <v>#N/A</v>
      </c>
      <c r="FW25" s="60" t="s">
        <v>1501</v>
      </c>
      <c r="FX25" s="11" t="s">
        <v>1633</v>
      </c>
      <c r="FY25" s="301">
        <f ca="1">Cumple_sistema_C_Inter</f>
        <v>1</v>
      </c>
      <c r="FZ25" s="301">
        <f ca="1">IF(SECCIONES[[#Totals],[capa interior μ inf]],"Eximido del análisis",Cumple_sistema_C_Inter)</f>
        <v>1</v>
      </c>
      <c r="GA25" s="301"/>
      <c r="GB25" s="308"/>
      <c r="GD25" s="19" t="s">
        <v>158</v>
      </c>
      <c r="GE25" s="20">
        <f>GE10*GE11</f>
        <v>10.08</v>
      </c>
      <c r="GF25" s="53">
        <v>1</v>
      </c>
      <c r="GG25" s="20"/>
      <c r="GH25" s="21"/>
      <c r="GM25" s="90"/>
    </row>
    <row r="26" spans="2:195" ht="14.65" thickBot="1" x14ac:dyDescent="0.5">
      <c r="B26" cm="1">
        <f t="array" ref="B26">ROUNDUP((ROW()-ROW(INDEX(SECCIONES_CAPAS[],1,1))+1)/N_capas,0)</f>
        <v>2</v>
      </c>
      <c r="C26" cm="1">
        <f t="array" ref="C26">(ROW()-ROW(INDEX(SECCIONES_CAPAS[],1,1))+1)-(SECCIONES_CAPAS[[#This Row],[Sección]]-1)*N_capas</f>
        <v>4</v>
      </c>
      <c r="D26" t="str">
        <f>SECCIONES_CAPAS[[#This Row],[Sección]]&amp;"-"&amp;SECCIONES_CAPAS[[#This Row],[Capa]]</f>
        <v>2-4</v>
      </c>
      <c r="E26" cm="1">
        <f t="array" ref="E26">INDEX(DATOS[],2+SECCIONES_CAPAS[[#This Row],[Capa]],2+SECCIONES_CAPAS[[#This Row],[Sección]])</f>
        <v>0</v>
      </c>
      <c r="F26" t="str">
        <f>IFERROR(INDEX(MATERIALES[Abreviatura],MATCH(SECCIONES_CAPAS[[#This Row],[Material nombre largo]],MATERIALES[Nombre largo],0)),"Capa "&amp;SECCIONES_CAPAS[[#This Row],[Capa]])</f>
        <v>Capa 4</v>
      </c>
      <c r="G26" t="e">
        <f>INDEX(MATERIALES[Biblioteca],MATCH(SECCIONES_CAPAS[[#This Row],[Material nombre largo]],MATERIALES[Nombre largo],0))</f>
        <v>#N/A</v>
      </c>
      <c r="H26" t="e">
        <f>INDEX(MATERIALES[Material],MATCH(SECCIONES_CAPAS[[#This Row],[Material nombre largo]],MATERIALES[Nombre largo],0))</f>
        <v>#N/A</v>
      </c>
      <c r="I26" t="str">
        <f>SECCIONES_CAPAS[[#This Row],[Abreviatura]]&amp;" "&amp;SECCIONES_CAPAS[[#This Row],[d]]*1000&amp;" mm"</f>
        <v>Capa 4 0 mm</v>
      </c>
      <c r="J26" t="str" cm="1">
        <f t="array" aca="1" ref="J26" ca="1">IF(SECCIONES_CAPAS[[#This Row],[Capa]]=1,SECCIONES_CAPAS[[#This Row],[descripción auto]],INDIRECT(ADDRESS(ROW()-1,COLUMN(),4))&amp;" + "&amp;SECCIONES_CAPAS[[#This Row],[descripción auto]])</f>
        <v>Capa 1 0 mm + Capa 2 0 mm + Capa 3 0 mm + Capa 4 0 mm</v>
      </c>
      <c r="K26" t="str" cm="1">
        <f t="array" aca="1" ref="K26"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4</v>
      </c>
      <c r="L26" t="b">
        <f>IF(SECCIONES_CAPAS[[#This Row],[Material nombre largo]]=Aux!$H$29,TRUE,FALSE)</f>
        <v>0</v>
      </c>
      <c r="M26" t="b" cm="1">
        <f t="array" aca="1" ref="M26" ca="1">IFERROR(IF(SECCIONES_CAPAS[[#This Row],[Cámara aire no ventilada]]*INDIRECT(ADDRESS(ROW()+1,COLUMN(),4))+INDIRECT(ADDRESS(ROW()-1,COLUMN(SECCIONES_CAPAS[[#This Row],[Cámara aire no ventilada]]),4))*SECCIONES_CAPAS[[#This Row],[Cámara aire no ventilada]],TRUE,FALSE),FALSE)</f>
        <v>0</v>
      </c>
      <c r="O26" s="47" cm="1">
        <f t="array" ref="O26">IF(SECCIONES_CAPAS[[#This Row],[Material nombre largo]]=0,0,INDEX(CAPAS[d],SECCIONES_CAPAS[[#This Row],[Capa]]))</f>
        <v>0</v>
      </c>
      <c r="P26" s="47" t="e">
        <f>MATCH(INDEX(MATERIALES[Propiedad térmica],MATCH(SECCIONES_CAPAS[[#This Row],[Material nombre largo]],MATERIALES[Nombre largo],0)),Aux!$H$18:$H$19,0)</f>
        <v>#N/A</v>
      </c>
      <c r="Q26" s="47">
        <f>IF(ISERROR(SECCIONES_CAPAS[[#This Row],[índice prop térmica]]),1,0)</f>
        <v>1</v>
      </c>
      <c r="R26" s="373" cm="1">
        <f t="array" ref="R26">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6" s="373" t="b">
        <f>IF((SECCIONES_CAPAS[[#This Row],[λ]]&lt;0.1)*(SECCIONES_CAPAS[[#This Row],[λ]]&gt;0),TRUE,FALSE)</f>
        <v>0</v>
      </c>
      <c r="T26" s="47" cm="1">
        <f t="array" ref="T26">INDEX(SECCIONES[f],SECCIONES_CAPAS[[#This Row],[Sección]])*SECCIONES_CAPAS[[#This Row],[λ]]</f>
        <v>0</v>
      </c>
      <c r="U26" s="47" cm="1">
        <f t="array" ref="U26">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6" s="47">
        <f>IFERROR(INDEX(SECCIONES[f],MATCH(SECCIONES_CAPAS[[#This Row],[Sección]],SECCIONES[Sección m],0))/SECCIONES_CAPAS[[#This Row],[R]],0)</f>
        <v>0</v>
      </c>
      <c r="W26" s="47">
        <f>IF(SECCIONES_CAPAS[[#This Row],[Capa]]=1,SECCIONES_CAPAS[[#This Row],[d]],SECCIONES_CAPAS[[#This Row],[d]]+W25)</f>
        <v>0</v>
      </c>
      <c r="X26" s="374" cm="1">
        <f t="array" aca="1" ref="X26" ca="1">IF(SECCIONES_CAPAS[[#This Row],[Capa]]=1,IF(contacto_terreno,Resistencia_térmica_2m_tierra+SECCIONES_CAPAS[[#This Row],[R]],R_se+SECCIONES_CAPAS[[#This Row],[R]]),INDIRECT(ADDRESS(ROW()-1,COLUMN(),4))+SECCIONES_CAPAS[[#This Row],[R]])</f>
        <v>0.04</v>
      </c>
      <c r="Y26" s="47" t="e">
        <f>MATCH(INDEX(MATERIALES[Propiedad difusión de vapor],MATCH(SECCIONES_CAPAS[[#This Row],[Material nombre largo]],MATERIALES[Nombre largo],0)),Aux!$H$20:$H$27,0)</f>
        <v>#N/A</v>
      </c>
      <c r="Z26"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6" s="375" t="e">
        <f>IF(INDEX(MATERIALES[Valor propiedad difusión de vapor],MATCH(SECCIONES_CAPAS[[#This Row],[Material nombre largo]],MATERIALES[Nombre largo],0))=Aux!$C$112,TRUE,FALSE)</f>
        <v>#N/A</v>
      </c>
      <c r="AB26" s="373" cm="1">
        <f t="array" ref="AB26">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6" s="47" cm="1">
        <f t="array" aca="1" ref="AC26" ca="1">IF(SECCIONES_CAPAS[[#This Row],[Capa]]=1,SECCIONES_CAPAS[[#This Row],[Sd]],SECCIONES_CAPAS[[#This Row],[Sd]]+INDIRECT(ADDRESS(ROW()-1,COLUMN(),4)))</f>
        <v>0</v>
      </c>
      <c r="AD26" s="47">
        <f>IF(ISERROR(SECCIONES_CAPAS[[#This Row],[Sd]]),1,0)</f>
        <v>0</v>
      </c>
      <c r="AF26" s="19" t="s">
        <v>1462</v>
      </c>
      <c r="AG26" s="176"/>
      <c r="AH26" s="20">
        <f>MATCH(Transmitancia!$C$27,SECCIONES[Sección letra],0)</f>
        <v>1</v>
      </c>
      <c r="AI26" s="21"/>
      <c r="BY26" s="357" t="s">
        <v>1756</v>
      </c>
      <c r="BZ26" t="b">
        <v>0</v>
      </c>
      <c r="CA26" s="21"/>
      <c r="CD26" s="191">
        <v>7</v>
      </c>
      <c r="CE26" s="90" cm="1">
        <f t="array" ref="CE26">INDEX(CLIMA[Pi],COND_SUPERFICIAL_CONDICIONES[[#This Row],[Mes]])/ϕsicr</f>
        <v>1647.1134324241689</v>
      </c>
      <c r="CF26"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6" s="36" cm="1">
        <f t="array" aca="1" ref="CG26" ca="1">(COND_SUPERFICIAL_CONDICIONES[[#This Row],[ϴsi_mín]]-INDEX(CLIMA[ϴe],COND_SUPERFICIAL_CONDICIONES[[#This Row],[Mes]]))/(INDEX(CLIMA[ϴi],COND_SUPERFICIAL_CONDICIONES[[#This Row],[Mes]])-INDEX(CLIMA[ϴe],COND_SUPERFICIAL_CONDICIONES[[#This Row],[Mes]]))</f>
        <v>0.70774044476384912</v>
      </c>
      <c r="CH26" s="36">
        <f ca="1">Rsi_condensación/(1-COND_SUPERFICIAL_CONDICIONES[[#This Row],[fRsi_mín]])</f>
        <v>0.44481009318910963</v>
      </c>
      <c r="CI26" s="6">
        <f ca="1">1/COND_SUPERFICIAL_CONDICIONES[[#This Row],[Rt_mín]]</f>
        <v>2.2481504248934683</v>
      </c>
      <c r="CK26" s="1" cm="1">
        <f t="array" ref="CK26">ROUNDUP((ROW()-$CN$18)/(N_secciones),0)</f>
        <v>4</v>
      </c>
      <c r="CL26" cm="1">
        <f t="array" ref="CL26">ROW()-ROW(INDEX(COND_SUPERFICIAL[],1,1))+1-(COND_SUPERFICIAL[[#This Row],[Mes]]-1)*N_secciones</f>
        <v>1</v>
      </c>
      <c r="CM26" s="1" t="str">
        <f>COND_SUPERFICIAL[[#This Row],[Mes]]&amp;"-"&amp;COND_SUPERFICIAL[[#This Row],[Sección]]</f>
        <v>4-1</v>
      </c>
      <c r="CN26" t="e" cm="1">
        <f t="array" ref="CN26">IF(INDEX(SECCIONES[Rtsección_condensación],COND_SUPERFICIAL[[#This Row],[Sección]])&lt;=INDEX(COND_SUPERFICIAL_CONDICIONES[Rt_mín],COND_SUPERFICIAL[[#This Row],[Mes]]),TRUE,FALSE)</f>
        <v>#N/A</v>
      </c>
      <c r="CP26" s="1" cm="1">
        <f t="array" ref="CP26">ROUNDUP((ROW()-$CN$18)/(N_secciones),0)</f>
        <v>4</v>
      </c>
      <c r="CQ26" s="1" cm="1">
        <f t="array" ref="CQ26">ROUNDUP((ROW()-$CN$18+(Mes_inicial_de_análisis-1)*N_secciones)/(N_secciones),0)-12*IF(ROW()-$CN$18&gt;(12-Mes_inicial_de_análisis+1)*N_secciones,1,0)</f>
        <v>10</v>
      </c>
      <c r="CR26" s="1" cm="1">
        <f t="array" ref="CR26">ROW()-$CN$18-(ROUNDUP((ROW()-$CN$18)/(N_secciones),0)-1)*N_secciones</f>
        <v>1</v>
      </c>
      <c r="CS26" s="107" t="str">
        <f>COND_INTERSTICIAL_AGUA_ACUMULADA[[#This Row],[orden]]&amp;"-"&amp;COND_INTERSTICIAL_AGUA_ACUMULADA[[#This Row],[Sección]]</f>
        <v>4-1</v>
      </c>
      <c r="CT26">
        <f ca="1">COUNTIFS(COND_INTERSTICIAL[agua líquida],TRUE,COND_INTERSTICIAL[Mes],COND_INTERSTICIAL_AGUA_ACUMULADA[[#This Row],[Mes]],COND_INTERSTICIAL[Sección],COND_INTERSTICIAL_AGUA_ACUMULADA[[#This Row],[Sección]])</f>
        <v>0</v>
      </c>
      <c r="CU26" s="107" t="e">
        <f ca="1">SUMIFS(COND_INTERSTICIAL[Ma],COND_INTERSTICIAL[Mes],COND_INTERSTICIAL_AGUA_ACUMULADA[[#This Row],[Mes]],COND_INTERSTICIAL[Sección],COND_INTERSTICIAL_AGUA_ACUMULADA[[#This Row],[Sección]])</f>
        <v>#N/A</v>
      </c>
      <c r="CW26" s="1" cm="1">
        <f t="array" ref="CW26">ROUNDUP((ROW()-$CN$18+(Mes_inicial_de_análisis-1)*N_capas*N_secciones)/(N_capas*N_secciones),0)-12*IF(ROW()-$CN$18&gt;(12-Mes_inicial_de_análisis+1)*N_capas*N_secciones,1,0)</f>
        <v>7</v>
      </c>
      <c r="CX26" cm="1">
        <f t="array" ref="CX26">ROUNDUP((ROW()-$CN$18)/N_capas-(ROUNDUP((ROW()-$CN$18)/(N_capas*N_secciones),0)-1)*N_secciones,0)</f>
        <v>1</v>
      </c>
      <c r="CY26" cm="1">
        <f t="array" ref="CY26">(ROW()-$CN$18)-(COND_INTERSTICIAL[[#This Row],[Sección]]-1)*N_capas-(ROUNDUP((ROW()-$CN$18)/(N_capas*N_secciones),0)-1)*N_capas*N_secciones</f>
        <v>7</v>
      </c>
      <c r="CZ26" t="str">
        <f>COND_INTERSTICIAL[[#This Row],[Mes]]&amp;"-"&amp;COND_INTERSTICIAL[[#This Row],[Sección]]&amp;"-"&amp;COND_INTERSTICIAL[[#This Row],[Capa]]</f>
        <v>7-1-7</v>
      </c>
      <c r="DA26">
        <f ca="1">INDEX(SECCIONES_CAPAS[R''n],MATCH(COND_INTERSTICIAL[[#This Row],[Sección]]&amp;"-"&amp;COND_INTERSTICIAL[[#This Row],[Capa]],SECCIONES_CAPAS[llave],0))</f>
        <v>0.04</v>
      </c>
      <c r="DB26" s="172" cm="1">
        <f t="array" aca="1" ref="DB26" ca="1">INDEX(CLIMA[ϴe],COND_INTERSTICIAL[[#This Row],[Mes]])+COND_INTERSTICIAL[[#This Row],[Rn]]*(INDEX(CLIMA[ϴi],COND_INTERSTICIAL[[#This Row],[Mes]])-INDEX(CLIMA[ϴe],COND_INTERSTICIAL[[#This Row],[Mes]]))/(INDEX(SECCIONES[Rtsección_condensación],COND_INTERSTICIAL[[#This Row],[Sección]]))</f>
        <v>7.1470588235294112</v>
      </c>
      <c r="DC26">
        <f>INDEX(SECCIONES_CAPAS[Sd],MATCH(COND_INTERSTICIAL[[#This Row],[Sección]]&amp;"-"&amp;COND_INTERSTICIAL[[#This Row],[Capa]],SECCIONES_CAPAS[llave],0))</f>
        <v>0</v>
      </c>
      <c r="DD26">
        <f ca="1">INDEX(SECCIONES_CAPAS[S''d],MATCH(COND_INTERSTICIAL[[#This Row],[Sección]]&amp;"-"&amp;COND_INTERSTICIAL[[#This Row],[Capa]],SECCIONES_CAPAS[llave],0))</f>
        <v>0</v>
      </c>
      <c r="DE26" s="90">
        <f ca="1">IF(COND_INTERSTICIAL[[#This Row],[ϴn]]&gt;=0,610.5*EXP((17.269*COND_INTERSTICIAL[[#This Row],[ϴn]])/(237.3+COND_INTERSTICIAL[[#This Row],[ϴn]])),610.5*EXP((21.875*COND_INTERSTICIAL[[#This Row],[ϴn]])/(265.5+COND_INTERSTICIAL[[#This Row],[ϴn]])))</f>
        <v>1011.4936324284752</v>
      </c>
      <c r="DF26" s="90" t="e" cm="1">
        <f t="array" aca="1" ref="DF26" ca="1">COND_INTERSTICIAL[[#This Row],[S''d]]*((INDEX(CLIMA[Pi],COND_INTERSTICIAL[[#This Row],[Mes]])-INDEX(CLIMA[Pe],COND_INTERSTICIAL[[#This Row],[Mes]]))/INDEX(SECCIONES[SdT],COND_INTERSTICIAL[[#This Row],[Sección]]))+INDEX(CLIMA[Pe],COND_INTERSTICIAL[[#This Row],[Mes]])</f>
        <v>#DIV/0!</v>
      </c>
      <c r="DG26" s="108" t="e">
        <f ca="1">IF((COND_INTERSTICIAL[[#This Row],[Pn]]&gt;=COND_INTERSTICIAL[[#This Row],[Psat]]),TRUE,FALSE)</f>
        <v>#DIV/0!</v>
      </c>
      <c r="DH26" s="109" t="e" cm="1">
        <f t="array" aca="1" ref="DH26" ca="1">IF(COND_INTERSTICIAL[[#This Row],[Condensa]],COND_INTERSTICIAL[[#This Row],[Psat]],IF(COND_INTERSTICIAL[[#This Row],[Capa]]=N_capas,COND_INTERSTICIAL[[#This Row],[Pn]],""))</f>
        <v>#DIV/0!</v>
      </c>
      <c r="DI26" s="109" t="e">
        <f ca="1">COND_INTERSTICIAL[[#This Row],[Mes]]&amp;"-"&amp;COND_INTERSTICIAL[[#This Row],[Sección]]&amp;"-"&amp;COND_INTERSTICIAL[[#This Row],[tramo cond]]</f>
        <v>#DIV/0!</v>
      </c>
      <c r="DJ26" t="e" cm="1">
        <f t="array" aca="1" ref="DJ26" ca="1">IF(COND_INTERSTICIAL[[#This Row],[Capa]]=1,IF(COND_INTERSTICIAL[[#This Row],[Condensa]],2,1),IF(COND_INTERSTICIAL[[#This Row],[Condensa]],1,0)+INDIRECT(ADDRESS(ROW()-1,COLUMN(),4)))</f>
        <v>#DIV/0!</v>
      </c>
      <c r="DK26" s="108" t="e" cm="1">
        <f t="array" aca="1" ref="DK26" ca="1">IF(COND_INTERSTICIAL[[#This Row],[tramo cond]]=1,0,IF((COND_INTERSTICIAL[[#This Row],[tramo cond]]&gt;INDIRECT(ADDRESS(ROW()-1,COLUMN(COND_INTERSTICIAL[[#This Row],[tramo cond]]),4)))+COND_INTERSTICIAL[[#This Row],[Condensa]],COND_INTERSTICIAL[[#This Row],[Capa]],INDIRECT(ADDRESS(ROW()-1,COLUMN(),4))))</f>
        <v>#DIV/0!</v>
      </c>
      <c r="DL26" s="108" t="e" cm="1">
        <f t="array" aca="1" ref="DL26" ca="1">IF((COND_INTERSTICIAL[[#This Row],[Capa]]=N_capas)+(COND_INTERSTICIAL[[#This Row],[tramo cond]]=COUNTIFS(COND_INTERSTICIAL[Condensa],TRUE,COND_INTERSTICIAL[Mes],CW26,COND_INTERSTICIAL[Sección],CX26)+1),N_capas,INDEX(COND_INTERSTICIAL[capa lím inf cond],MATCH(COND_INTERSTICIAL[[#This Row],[Mes]]&amp;"-"&amp;COND_INTERSTICIAL[[#This Row],[Sección]]&amp;"-"&amp;(COND_INTERSTICIAL[[#This Row],[tramo cond]]+1),COND_INTERSTICIAL[llave tramo cond],0)))</f>
        <v>#DIV/0!</v>
      </c>
      <c r="DM26" s="108" cm="1">
        <f t="array" aca="1" ref="DM2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6" s="110" t="e" cm="1">
        <f t="array" aca="1" ref="DN2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6"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6" s="107" t="e">
        <f ca="1">COND_INTERSTICIAL[[#This Row],[gc]]+COND_INTERSTICIAL[[#This Row],[Ma_anterior cond]]</f>
        <v>#DIV/0!</v>
      </c>
      <c r="DQ26" s="113" t="e">
        <f ca="1">IF((COND_INTERSTICIAL[[#This Row],[Ma_anterior cond]]&gt;0)*NOT(COND_INTERSTICIAL[[#This Row],[Condensa]]),TRUE,FALSE)</f>
        <v>#DIV/0!</v>
      </c>
      <c r="DR26" s="112" t="e" cm="1">
        <f t="array" aca="1" ref="DR26" ca="1">IF(COND_INTERSTICIAL[[#This Row],[evapora]],COND_INTERSTICIAL[[#This Row],[Psat]],IF(COND_INTERSTICIAL[[#This Row],[Capa]]=N_capas,COND_INTERSTICIAL[[#This Row],[Pn]],""))</f>
        <v>#DIV/0!</v>
      </c>
      <c r="DS26" s="112" t="e">
        <f ca="1">COND_INTERSTICIAL[[#This Row],[Mes]]&amp;"-"&amp;COND_INTERSTICIAL[[#This Row],[Sección]]&amp;"-"&amp;COND_INTERSTICIAL[[#This Row],[tramo ev]]</f>
        <v>#DIV/0!</v>
      </c>
      <c r="DT26" s="111" t="e" cm="1">
        <f t="array" aca="1" ref="DT26" ca="1">IF(COND_INTERSTICIAL[[#This Row],[Capa]]=1,IF(COND_INTERSTICIAL[[#This Row],[evapora]],2,1),IF(COND_INTERSTICIAL[[#This Row],[evapora]],1,0)+INDIRECT(ADDRESS(ROW()-1,COLUMN(),4)))</f>
        <v>#DIV/0!</v>
      </c>
      <c r="DU26" s="111" t="e" cm="1">
        <f t="array" aca="1" ref="DU26" ca="1">IF(COND_INTERSTICIAL[[#This Row],[tramo ev]]=1,0,IF((COND_INTERSTICIAL[[#This Row],[tramo ev]]&gt;INDIRECT(ADDRESS(ROW()-1,COLUMN(COND_INTERSTICIAL[[#This Row],[tramo ev]]),4)))+COND_INTERSTICIAL[[#This Row],[evapora]],COND_INTERSTICIAL[[#This Row],[Capa]],INDIRECT(ADDRESS(ROW()-1,COLUMN(),4))))</f>
        <v>#DIV/0!</v>
      </c>
      <c r="DV26" s="111" t="e" cm="1">
        <f t="array" aca="1" ref="DV26" ca="1">IF((COND_INTERSTICIAL[[#This Row],[Capa]]=N_capas)+(COND_INTERSTICIAL[[#This Row],[tramo ev]]=COUNTIFS(COND_INTERSTICIAL[evapora],TRUE,COND_INTERSTICIAL[Mes],CW26,COND_INTERSTICIAL[Sección],CX26)+1),N_capas,INDEX(COND_INTERSTICIAL[capa lím inf ev],MATCH(COND_INTERSTICIAL[[#This Row],[Mes]]&amp;"-"&amp;COND_INTERSTICIAL[[#This Row],[Sección]]&amp;"-"&amp;(COND_INTERSTICIAL[[#This Row],[tramo ev]]+1),COND_INTERSTICIAL[llave tramo ev],0)))</f>
        <v>#DIV/0!</v>
      </c>
      <c r="DW26" s="111" cm="1">
        <f t="array" aca="1" ref="DW2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6" s="113" t="e" cm="1">
        <f t="array" aca="1" ref="DX2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6"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6" s="113" t="e">
        <f ca="1">COND_INTERSTICIAL[[#This Row],[gev]]+COND_INTERSTICIAL[[#This Row],[Ma anterior ev]]</f>
        <v>#DIV/0!</v>
      </c>
      <c r="EA26" s="115" t="e">
        <f ca="1">IF(COND_INTERSTICIAL[[#This Row],[Ma cond]]+COND_INTERSTICIAL[[#This Row],[Ma ev]]&lt;=0,0,COND_INTERSTICIAL[[#This Row],[Ma cond]]+COND_INTERSTICIAL[[#This Row],[Ma ev]])</f>
        <v>#DIV/0!</v>
      </c>
      <c r="EB26" s="115" t="e">
        <f ca="1">IF(COND_INTERSTICIAL[[#This Row],[Ma]]&gt;0,TRUE,FALSE)</f>
        <v>#DIV/0!</v>
      </c>
      <c r="EC26" s="115" t="e" cm="1">
        <f t="array" aca="1" ref="EC26" ca="1">IF(COND_INTERSTICIAL[[#This Row],[agua líquida]],IF(COND_INTERSTICIAL[[#This Row],[Condensa]],COND_INTERSTICIAL[[#This Row],[P límite cond]],COND_INTERSTICIAL[[#This Row],[P límite ev]]),IF(COND_INTERSTICIAL[[#This Row],[Capa]]=N_capas,COND_INTERSTICIAL[[#This Row],[Pn]],""))</f>
        <v>#DIV/0!</v>
      </c>
      <c r="ED26" s="115" t="e">
        <f ca="1">COND_INTERSTICIAL[[#This Row],[Mes]]&amp;"-"&amp;COND_INTERSTICIAL[[#This Row],[Sección]]&amp;"-"&amp;COND_INTERSTICIAL[[#This Row],[tramo gráf]]</f>
        <v>#DIV/0!</v>
      </c>
      <c r="EE26" s="114" t="e" cm="1">
        <f t="array" aca="1" ref="EE26" ca="1">IF(COND_INTERSTICIAL[[#This Row],[Capa]]=1,IF(COND_INTERSTICIAL[[#This Row],[agua líquida]],2,1),IF(COND_INTERSTICIAL[[#This Row],[agua líquida]],1,0)+INDIRECT(ADDRESS(ROW()-1,COLUMN(),4)))</f>
        <v>#DIV/0!</v>
      </c>
      <c r="EF26" s="114" t="e" cm="1">
        <f t="array" aca="1" ref="EF26" ca="1">IF(COND_INTERSTICIAL[[#This Row],[tramo gráf]]=1,0,IF((COND_INTERSTICIAL[[#This Row],[tramo gráf]]&gt;INDIRECT(ADDRESS(ROW()-1,COLUMN(COND_INTERSTICIAL[[#This Row],[tramo gráf]]),4)))+COND_INTERSTICIAL[[#This Row],[agua líquida]],COND_INTERSTICIAL[[#This Row],[Capa]],INDIRECT(ADDRESS(ROW()-1,COLUMN(),4))))</f>
        <v>#DIV/0!</v>
      </c>
      <c r="EG26" s="114" t="e" cm="1">
        <f t="array" aca="1" ref="EG26" ca="1">IF((COND_INTERSTICIAL[[#This Row],[Capa]]=N_capas)+(COND_INTERSTICIAL[[#This Row],[tramo gráf]]=COUNTIFS(COND_INTERSTICIAL[agua líquida],TRUE,COND_INTERSTICIAL[Mes],CW26,COND_INTERSTICIAL[Sección],CX26)+1),N_capas,INDEX(COND_INTERSTICIAL[capa lím inf gráf],MATCH(COND_INTERSTICIAL[[#This Row],[Mes]]&amp;"-"&amp;COND_INTERSTICIAL[[#This Row],[Sección]]&amp;"-"&amp;(COND_INTERSTICIAL[[#This Row],[tramo gráf]]+1),COND_INTERSTICIAL[llave tramo gráf],0)))</f>
        <v>#DIV/0!</v>
      </c>
      <c r="EH26" s="114" cm="1">
        <f t="array" aca="1" ref="EH2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6" s="116" t="e" cm="1">
        <f t="array" aca="1" ref="EI2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6">
        <f t="shared" si="0"/>
        <v>7</v>
      </c>
      <c r="EM26">
        <f t="shared" si="1"/>
        <v>1</v>
      </c>
      <c r="EN26">
        <f>ROW()-ROW(INDEX(COND_INTERSTICIAL_GRÁF[],1,1))</f>
        <v>1</v>
      </c>
      <c r="EO26" t="str">
        <f>COND_INTERSTICIAL_GRÁF[[#This Row],[Mes]]&amp;"-"&amp;COND_INTERSTICIAL_GRÁF[[#This Row],[Sección]]&amp;"-"&amp;COND_INTERSTICIAL_GRÁF[[#This Row],[Capa]]</f>
        <v>7-1-1</v>
      </c>
      <c r="EP26" t="str">
        <f>"Capa "&amp;COND_INTERSTICIAL_GRÁF[[#This Row],[Capa]]&amp;": "&amp;IFERROR(INDEX(SECCIONES_CAPAS[Abreviatura],MATCH(COND_INTERSTICIAL_GRÁF[[#This Row],[Sección]]&amp;"-"&amp;COND_INTERSTICIAL_GRÁF[[#This Row],[Capa]],SECCIONES_CAPAS[llave],0)),"")</f>
        <v>Capa 1: Capa 1</v>
      </c>
      <c r="EQ26">
        <f>IFERROR(IF(COND_INTERSTICIAL_GRÁF[[#This Row],[Capa]]=0,0,INDEX(SECCIONES_CAPAS[d],MATCH(COND_INTERSTICIAL_GRÁF[[#This Row],[Sección]]&amp;"-"&amp;COND_INTERSTICIAL_GRÁF[[#This Row],[Capa]],SECCIONES_CAPAS[llave],0))),NA())</f>
        <v>0</v>
      </c>
      <c r="ER26">
        <f>IFERROR(IF(COND_INTERSTICIAL_GRÁF[[#This Row],[Capa]]=0,0,INDEX(SECCIONES_CAPAS[d''],MATCH(COND_INTERSTICIAL_GRÁF[[#This Row],[Sección]]&amp;"-"&amp;COND_INTERSTICIAL_GRÁF[[#This Row],[Capa]],SECCIONES_CAPAS[llave],0))),NA())</f>
        <v>0</v>
      </c>
      <c r="ES26" s="377" t="e" cm="1">
        <f t="array" ref="ES26">COND_INTERSTICIAL_GRÁF[[#This Row],[d'']]/INDEX(SECCIONES[d''],COND_INTERSTICIAL_GRÁF[[#This Row],[Sección]])</f>
        <v>#DIV/0!</v>
      </c>
      <c r="ET26" cm="1">
        <f t="array" aca="1" ref="ET26" ca="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7.1470588235294112</v>
      </c>
      <c r="EU26" s="90" t="e" cm="1">
        <f t="array" aca="1" ref="EU26" ca="1">IFERROR(IF(capa_interior_μ_inf,NA(),6.54+14.526*LN(COND_INTERSTICIAL_GRÁF[[#This Row],[Pn]]/1000)+0.7389*LN(COND_INTERSTICIAL_GRÁF[[#This Row],[Pn]]/1000)^2+0.09486*LN(COND_INTERSTICIAL_GRÁF[[#This Row],[Pn]]/1000)^3+0.4569*(COND_INTERSTICIAL_GRÁF[[#This Row],[Pn]]/1000)^0.1984),NA())</f>
        <v>#N/A</v>
      </c>
      <c r="EV26">
        <f>IFERROR(IF(COND_INTERSTICIAL_GRÁF[[#This Row],[Capa]]=0,0,INDEX(COND_INTERSTICIAL[Sd],MATCH(COND_INTERSTICIAL_GRÁF[[#This Row],[llave capa]],COND_INTERSTICIAL[llave capa],0))),NA())</f>
        <v>0</v>
      </c>
      <c r="EW26" s="90">
        <f ca="1">IFERROR(IF(COND_INTERSTICIAL_GRÁF[[#This Row],[Capa]]=0,0,INDEX(COND_INTERSTICIAL[S''d],MATCH(COND_INTERSTICIAL_GRÁF[[#This Row],[llave capa]],COND_INTERSTICIAL[llave capa],0))),NA())</f>
        <v>0</v>
      </c>
      <c r="EX26" s="377" t="e" cm="1">
        <f t="array" aca="1" ref="EX26" ca="1">COND_INTERSTICIAL_GRÁF[[#This Row],[S''d]]/INDEX(SECCIONES[SdT],Gráf_sección)</f>
        <v>#DIV/0!</v>
      </c>
      <c r="EY26" s="90" cm="1">
        <f t="array" aca="1" ref="EY26" ca="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1011.4936324284752</v>
      </c>
      <c r="EZ26" s="107">
        <f ca="1">IFERROR(INDEX(COND_INTERSTICIAL[Ma],MATCH(COND_INTERSTICIAL_GRÁF[[#This Row],[llave capa]],COND_INTERSTICIAL[llave capa],0)),0)</f>
        <v>0</v>
      </c>
      <c r="FA26" s="90" t="b">
        <f ca="1">IF(COND_INTERSTICIAL_GRÁF[[#This Row],[Ma]]&gt;0,TRUE,FALSE)</f>
        <v>0</v>
      </c>
      <c r="FB26" s="90" t="str">
        <f>"Interfaz "&amp;COND_INTERSTICIAL_GRÁF[[#This Row],[Capa]]</f>
        <v>Interfaz 1</v>
      </c>
      <c r="FC26" s="90" t="e">
        <f ca="1">IF(COND_INTERSTICIAL_GRÁF[[#This Row],[agua líquida]],COND_INTERSTICIAL_GRÁF[[#This Row],[Psat]],NA())</f>
        <v>#N/A</v>
      </c>
      <c r="FD26" s="90" t="e" cm="1">
        <f t="array" aca="1" ref="FD26" ca="1">IFERROR(IF(COND_INTERSTICIAL_GRÁF[[#This Row],[Capa]]=0,INDEX(CLIMA[Pe],COND_INTERSTICIAL_GRÁF[[#This Row],[Mes]]),INDEX(COND_INTERSTICIAL[Pn],MATCH(COND_INTERSTICIAL_GRÁF[[#This Row],[llave capa]],COND_INTERSTICIAL[llave capa],0))),NA())</f>
        <v>#N/A</v>
      </c>
      <c r="FE26" s="90" t="e" cm="1">
        <f t="array" aca="1" ref="FE26" ca="1">IFERROR(IF(capa_interior_μ_inf,NA(),IF(COND_INTERSTICIAL_GRÁF[[#This Row],[Capa]]=0,INDEX(CLIMA[Pe],COND_INTERSTICIAL_GRÁF[[#This Row],[Mes]]),INDEX(COND_INTERSTICIAL[Pn gráf],MATCH(COND_INTERSTICIAL_GRÁF[[#This Row],[llave capa]],COND_INTERSTICIAL[llave capa],0)))),NA())</f>
        <v>#N/A</v>
      </c>
      <c r="FG26">
        <v>1</v>
      </c>
      <c r="FH26">
        <v>2</v>
      </c>
      <c r="FI26" t="str">
        <f>Tabla43[[#This Row],[Columna1]]&amp;"-"&amp;Tabla43[[#This Row],[Columna2]]</f>
        <v>1-2</v>
      </c>
      <c r="FJ26" t="e">
        <f ca="1">INDEX(COND_INTERSTICIAL[Ma],MATCH(FJ$24&amp;"-"&amp;Tabla43[[#This Row],[Columna15]],COND_INTERSTICIAL[llave capa],0))</f>
        <v>#DIV/0!</v>
      </c>
      <c r="FK26" t="e">
        <f ca="1">INDEX(COND_INTERSTICIAL[Ma],MATCH(FK$24&amp;"-"&amp;Tabla43[[#This Row],[Columna15]],COND_INTERSTICIAL[llave capa],0))</f>
        <v>#N/A</v>
      </c>
      <c r="FL26" t="e">
        <f ca="1">INDEX(COND_INTERSTICIAL[Ma],MATCH(FL$24&amp;"-"&amp;Tabla43[[#This Row],[Columna15]],COND_INTERSTICIAL[llave capa],0))</f>
        <v>#N/A</v>
      </c>
      <c r="FM26" t="e">
        <f ca="1">INDEX(COND_INTERSTICIAL[Ma],MATCH(FM$24&amp;"-"&amp;Tabla43[[#This Row],[Columna15]],COND_INTERSTICIAL[llave capa],0))</f>
        <v>#N/A</v>
      </c>
      <c r="FN26" t="e">
        <f ca="1">INDEX(COND_INTERSTICIAL[Ma],MATCH(FN$24&amp;"-"&amp;Tabla43[[#This Row],[Columna15]],COND_INTERSTICIAL[llave capa],0))</f>
        <v>#N/A</v>
      </c>
      <c r="FO26" t="e">
        <f ca="1">INDEX(COND_INTERSTICIAL[Ma],MATCH(FO$24&amp;"-"&amp;Tabla43[[#This Row],[Columna15]],COND_INTERSTICIAL[llave capa],0))</f>
        <v>#N/A</v>
      </c>
      <c r="FP26" t="e">
        <f ca="1">INDEX(COND_INTERSTICIAL[Ma],MATCH(FP$24&amp;"-"&amp;Tabla43[[#This Row],[Columna15]],COND_INTERSTICIAL[llave capa],0))</f>
        <v>#N/A</v>
      </c>
      <c r="FQ26" t="e">
        <f ca="1">INDEX(COND_INTERSTICIAL[Ma],MATCH(FQ$24&amp;"-"&amp;Tabla43[[#This Row],[Columna15]],COND_INTERSTICIAL[llave capa],0))</f>
        <v>#N/A</v>
      </c>
      <c r="FR26" t="e">
        <f ca="1">INDEX(COND_INTERSTICIAL[Ma],MATCH(FR$24&amp;"-"&amp;Tabla43[[#This Row],[Columna15]],COND_INTERSTICIAL[llave capa],0))</f>
        <v>#N/A</v>
      </c>
      <c r="FS26" t="e">
        <f ca="1">INDEX(COND_INTERSTICIAL[Ma],MATCH(FS$24&amp;"-"&amp;Tabla43[[#This Row],[Columna15]],COND_INTERSTICIAL[llave capa],0))</f>
        <v>#N/A</v>
      </c>
      <c r="FT26" t="e">
        <f ca="1">INDEX(COND_INTERSTICIAL[Ma],MATCH(FT$24&amp;"-"&amp;Tabla43[[#This Row],[Columna15]],COND_INTERSTICIAL[llave capa],0))</f>
        <v>#N/A</v>
      </c>
      <c r="FU26" t="e">
        <f ca="1">INDEX(COND_INTERSTICIAL[Ma],MATCH(FU$24&amp;"-"&amp;Tabla43[[#This Row],[Columna15]],COND_INTERSTICIAL[llave capa],0))</f>
        <v>#N/A</v>
      </c>
      <c r="FX26" t="s">
        <v>232</v>
      </c>
      <c r="FY26" s="47">
        <f>Método_temperatura_exterior</f>
        <v>3</v>
      </c>
      <c r="GM26" s="90"/>
    </row>
    <row r="27" spans="2:195" ht="14.65" thickBot="1" x14ac:dyDescent="0.5">
      <c r="B27" cm="1">
        <f t="array" ref="B27">ROUNDUP((ROW()-ROW(INDEX(SECCIONES_CAPAS[],1,1))+1)/N_capas,0)</f>
        <v>2</v>
      </c>
      <c r="C27" cm="1">
        <f t="array" ref="C27">(ROW()-ROW(INDEX(SECCIONES_CAPAS[],1,1))+1)-(SECCIONES_CAPAS[[#This Row],[Sección]]-1)*N_capas</f>
        <v>5</v>
      </c>
      <c r="D27" t="str">
        <f>SECCIONES_CAPAS[[#This Row],[Sección]]&amp;"-"&amp;SECCIONES_CAPAS[[#This Row],[Capa]]</f>
        <v>2-5</v>
      </c>
      <c r="E27" cm="1">
        <f t="array" ref="E27">INDEX(DATOS[],2+SECCIONES_CAPAS[[#This Row],[Capa]],2+SECCIONES_CAPAS[[#This Row],[Sección]])</f>
        <v>0</v>
      </c>
      <c r="F27" t="str">
        <f>IFERROR(INDEX(MATERIALES[Abreviatura],MATCH(SECCIONES_CAPAS[[#This Row],[Material nombre largo]],MATERIALES[Nombre largo],0)),"Capa "&amp;SECCIONES_CAPAS[[#This Row],[Capa]])</f>
        <v>Capa 5</v>
      </c>
      <c r="G27" t="e">
        <f>INDEX(MATERIALES[Biblioteca],MATCH(SECCIONES_CAPAS[[#This Row],[Material nombre largo]],MATERIALES[Nombre largo],0))</f>
        <v>#N/A</v>
      </c>
      <c r="H27" t="e">
        <f>INDEX(MATERIALES[Material],MATCH(SECCIONES_CAPAS[[#This Row],[Material nombre largo]],MATERIALES[Nombre largo],0))</f>
        <v>#N/A</v>
      </c>
      <c r="I27" t="str">
        <f>SECCIONES_CAPAS[[#This Row],[Abreviatura]]&amp;" "&amp;SECCIONES_CAPAS[[#This Row],[d]]*1000&amp;" mm"</f>
        <v>Capa 5 0 mm</v>
      </c>
      <c r="J27" t="str" cm="1">
        <f t="array" aca="1" ref="J27" ca="1">IF(SECCIONES_CAPAS[[#This Row],[Capa]]=1,SECCIONES_CAPAS[[#This Row],[descripción auto]],INDIRECT(ADDRESS(ROW()-1,COLUMN(),4))&amp;" + "&amp;SECCIONES_CAPAS[[#This Row],[descripción auto]])</f>
        <v>Capa 1 0 mm + Capa 2 0 mm + Capa 3 0 mm + Capa 4 0 mm + Capa 5 0 mm</v>
      </c>
      <c r="K27" t="str" cm="1">
        <f t="array" aca="1" ref="K27"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5</v>
      </c>
      <c r="L27" t="b">
        <f>IF(SECCIONES_CAPAS[[#This Row],[Material nombre largo]]=Aux!$H$29,TRUE,FALSE)</f>
        <v>0</v>
      </c>
      <c r="M27" t="b" cm="1">
        <f t="array" aca="1" ref="M27" ca="1">IFERROR(IF(SECCIONES_CAPAS[[#This Row],[Cámara aire no ventilada]]*INDIRECT(ADDRESS(ROW()+1,COLUMN(),4))+INDIRECT(ADDRESS(ROW()-1,COLUMN(SECCIONES_CAPAS[[#This Row],[Cámara aire no ventilada]]),4))*SECCIONES_CAPAS[[#This Row],[Cámara aire no ventilada]],TRUE,FALSE),FALSE)</f>
        <v>0</v>
      </c>
      <c r="O27" s="47" cm="1">
        <f t="array" ref="O27">IF(SECCIONES_CAPAS[[#This Row],[Material nombre largo]]=0,0,INDEX(CAPAS[d],SECCIONES_CAPAS[[#This Row],[Capa]]))</f>
        <v>0</v>
      </c>
      <c r="P27" s="47" t="e">
        <f>MATCH(INDEX(MATERIALES[Propiedad térmica],MATCH(SECCIONES_CAPAS[[#This Row],[Material nombre largo]],MATERIALES[Nombre largo],0)),Aux!$H$18:$H$19,0)</f>
        <v>#N/A</v>
      </c>
      <c r="Q27" s="47">
        <f>IF(ISERROR(SECCIONES_CAPAS[[#This Row],[índice prop térmica]]),1,0)</f>
        <v>1</v>
      </c>
      <c r="R27" s="373" cm="1">
        <f t="array" ref="R27">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7" s="373" t="b">
        <f>IF((SECCIONES_CAPAS[[#This Row],[λ]]&lt;0.1)*(SECCIONES_CAPAS[[#This Row],[λ]]&gt;0),TRUE,FALSE)</f>
        <v>0</v>
      </c>
      <c r="T27" s="47" cm="1">
        <f t="array" ref="T27">INDEX(SECCIONES[f],SECCIONES_CAPAS[[#This Row],[Sección]])*SECCIONES_CAPAS[[#This Row],[λ]]</f>
        <v>0</v>
      </c>
      <c r="U27" s="47" cm="1">
        <f t="array" ref="U27">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7" s="47">
        <f>IFERROR(INDEX(SECCIONES[f],MATCH(SECCIONES_CAPAS[[#This Row],[Sección]],SECCIONES[Sección m],0))/SECCIONES_CAPAS[[#This Row],[R]],0)</f>
        <v>0</v>
      </c>
      <c r="W27" s="47">
        <f>IF(SECCIONES_CAPAS[[#This Row],[Capa]]=1,SECCIONES_CAPAS[[#This Row],[d]],SECCIONES_CAPAS[[#This Row],[d]]+W26)</f>
        <v>0</v>
      </c>
      <c r="X27" s="374" cm="1">
        <f t="array" aca="1" ref="X27" ca="1">IF(SECCIONES_CAPAS[[#This Row],[Capa]]=1,IF(contacto_terreno,Resistencia_térmica_2m_tierra+SECCIONES_CAPAS[[#This Row],[R]],R_se+SECCIONES_CAPAS[[#This Row],[R]]),INDIRECT(ADDRESS(ROW()-1,COLUMN(),4))+SECCIONES_CAPAS[[#This Row],[R]])</f>
        <v>0.04</v>
      </c>
      <c r="Y27" s="47" t="e">
        <f>MATCH(INDEX(MATERIALES[Propiedad difusión de vapor],MATCH(SECCIONES_CAPAS[[#This Row],[Material nombre largo]],MATERIALES[Nombre largo],0)),Aux!$H$20:$H$27,0)</f>
        <v>#N/A</v>
      </c>
      <c r="Z27"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7" s="375" t="e">
        <f>IF(INDEX(MATERIALES[Valor propiedad difusión de vapor],MATCH(SECCIONES_CAPAS[[#This Row],[Material nombre largo]],MATERIALES[Nombre largo],0))=Aux!$C$112,TRUE,FALSE)</f>
        <v>#N/A</v>
      </c>
      <c r="AB27" s="373" cm="1">
        <f t="array" ref="AB27">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7" s="47" cm="1">
        <f t="array" aca="1" ref="AC27" ca="1">IF(SECCIONES_CAPAS[[#This Row],[Capa]]=1,SECCIONES_CAPAS[[#This Row],[Sd]],SECCIONES_CAPAS[[#This Row],[Sd]]+INDIRECT(ADDRESS(ROW()-1,COLUMN(),4)))</f>
        <v>0</v>
      </c>
      <c r="AD27" s="47">
        <f>IF(ISERROR(SECCIONES_CAPAS[[#This Row],[Sd]]),1,0)</f>
        <v>0</v>
      </c>
      <c r="AG27" s="2"/>
      <c r="CD27" s="1">
        <v>8</v>
      </c>
      <c r="CE27" s="90" cm="1">
        <f t="array" ref="CE27">INDEX(CLIMA[Pi],COND_SUPERFICIAL_CONDICIONES[[#This Row],[Mes]])/ϕsicr</f>
        <v>1647.1134324241689</v>
      </c>
      <c r="CF27"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7" s="36" t="e" cm="1">
        <f t="array" ref="CG27">(COND_SUPERFICIAL_CONDICIONES[[#This Row],[ϴsi_mín]]-INDEX(CLIMA[ϴe],COND_SUPERFICIAL_CONDICIONES[[#This Row],[Mes]]))/(INDEX(CLIMA[ϴi],COND_SUPERFICIAL_CONDICIONES[[#This Row],[Mes]])-INDEX(CLIMA[ϴe],COND_SUPERFICIAL_CONDICIONES[[#This Row],[Mes]]))</f>
        <v>#N/A</v>
      </c>
      <c r="CH27" s="36" t="e">
        <f>Rsi_condensación/(1-COND_SUPERFICIAL_CONDICIONES[[#This Row],[fRsi_mín]])</f>
        <v>#N/A</v>
      </c>
      <c r="CI27" s="6" t="e">
        <f>1/COND_SUPERFICIAL_CONDICIONES[[#This Row],[Rt_mín]]</f>
        <v>#N/A</v>
      </c>
      <c r="CK27" s="1" cm="1">
        <f t="array" ref="CK27">ROUNDUP((ROW()-$CN$18)/(N_secciones),0)</f>
        <v>4</v>
      </c>
      <c r="CL27" cm="1">
        <f t="array" ref="CL27">ROW()-ROW(INDEX(COND_SUPERFICIAL[],1,1))+1-(COND_SUPERFICIAL[[#This Row],[Mes]]-1)*N_secciones</f>
        <v>2</v>
      </c>
      <c r="CM27" s="1" t="str">
        <f>COND_SUPERFICIAL[[#This Row],[Mes]]&amp;"-"&amp;COND_SUPERFICIAL[[#This Row],[Sección]]</f>
        <v>4-2</v>
      </c>
      <c r="CN27" t="e" cm="1">
        <f t="array" ref="CN27">IF(INDEX(SECCIONES[Rtsección_condensación],COND_SUPERFICIAL[[#This Row],[Sección]])&lt;=INDEX(COND_SUPERFICIAL_CONDICIONES[Rt_mín],COND_SUPERFICIAL[[#This Row],[Mes]]),TRUE,FALSE)</f>
        <v>#N/A</v>
      </c>
      <c r="CP27" s="1" cm="1">
        <f t="array" ref="CP27">ROUNDUP((ROW()-$CN$18)/(N_secciones),0)</f>
        <v>4</v>
      </c>
      <c r="CQ27" s="1" cm="1">
        <f t="array" ref="CQ27">ROUNDUP((ROW()-$CN$18+(Mes_inicial_de_análisis-1)*N_secciones)/(N_secciones),0)-12*IF(ROW()-$CN$18&gt;(12-Mes_inicial_de_análisis+1)*N_secciones,1,0)</f>
        <v>10</v>
      </c>
      <c r="CR27" s="1" cm="1">
        <f t="array" ref="CR27">ROW()-$CN$18-(ROUNDUP((ROW()-$CN$18)/(N_secciones),0)-1)*N_secciones</f>
        <v>2</v>
      </c>
      <c r="CS27" s="107" t="str">
        <f>COND_INTERSTICIAL_AGUA_ACUMULADA[[#This Row],[orden]]&amp;"-"&amp;COND_INTERSTICIAL_AGUA_ACUMULADA[[#This Row],[Sección]]</f>
        <v>4-2</v>
      </c>
      <c r="CT27">
        <f ca="1">COUNTIFS(COND_INTERSTICIAL[agua líquida],TRUE,COND_INTERSTICIAL[Mes],COND_INTERSTICIAL_AGUA_ACUMULADA[[#This Row],[Mes]],COND_INTERSTICIAL[Sección],COND_INTERSTICIAL_AGUA_ACUMULADA[[#This Row],[Sección]])</f>
        <v>0</v>
      </c>
      <c r="CU27" s="107" t="e">
        <f ca="1">SUMIFS(COND_INTERSTICIAL[Ma],COND_INTERSTICIAL[Mes],COND_INTERSTICIAL_AGUA_ACUMULADA[[#This Row],[Mes]],COND_INTERSTICIAL[Sección],COND_INTERSTICIAL_AGUA_ACUMULADA[[#This Row],[Sección]])</f>
        <v>#N/A</v>
      </c>
      <c r="CW27" s="1" cm="1">
        <f t="array" ref="CW27">ROUNDUP((ROW()-$CN$18+(Mes_inicial_de_análisis-1)*N_capas*N_secciones)/(N_capas*N_secciones),0)-12*IF(ROW()-$CN$18&gt;(12-Mes_inicial_de_análisis+1)*N_capas*N_secciones,1,0)</f>
        <v>7</v>
      </c>
      <c r="CX27" cm="1">
        <f t="array" ref="CX27">ROUNDUP((ROW()-$CN$18)/N_capas-(ROUNDUP((ROW()-$CN$18)/(N_capas*N_secciones),0)-1)*N_secciones,0)</f>
        <v>2</v>
      </c>
      <c r="CY27" cm="1">
        <f t="array" ref="CY27">(ROW()-$CN$18)-(COND_INTERSTICIAL[[#This Row],[Sección]]-1)*N_capas-(ROUNDUP((ROW()-$CN$18)/(N_capas*N_secciones),0)-1)*N_capas*N_secciones</f>
        <v>1</v>
      </c>
      <c r="CZ27" t="str">
        <f>COND_INTERSTICIAL[[#This Row],[Mes]]&amp;"-"&amp;COND_INTERSTICIAL[[#This Row],[Sección]]&amp;"-"&amp;COND_INTERSTICIAL[[#This Row],[Capa]]</f>
        <v>7-2-1</v>
      </c>
      <c r="DA27">
        <f ca="1">INDEX(SECCIONES_CAPAS[R''n],MATCH(COND_INTERSTICIAL[[#This Row],[Sección]]&amp;"-"&amp;COND_INTERSTICIAL[[#This Row],[Capa]],SECCIONES_CAPAS[llave],0))</f>
        <v>0.04</v>
      </c>
      <c r="DB27" s="172" cm="1">
        <f t="array" aca="1" ref="DB27" ca="1">INDEX(CLIMA[ϴe],COND_INTERSTICIAL[[#This Row],[Mes]])+COND_INTERSTICIAL[[#This Row],[Rn]]*(INDEX(CLIMA[ϴi],COND_INTERSTICIAL[[#This Row],[Mes]])-INDEX(CLIMA[ϴe],COND_INTERSTICIAL[[#This Row],[Mes]]))/(INDEX(SECCIONES[Rtsección_condensación],COND_INTERSTICIAL[[#This Row],[Sección]]))</f>
        <v>7.1470588235294112</v>
      </c>
      <c r="DC27">
        <f>INDEX(SECCIONES_CAPAS[Sd],MATCH(COND_INTERSTICIAL[[#This Row],[Sección]]&amp;"-"&amp;COND_INTERSTICIAL[[#This Row],[Capa]],SECCIONES_CAPAS[llave],0))</f>
        <v>0</v>
      </c>
      <c r="DD27">
        <f ca="1">INDEX(SECCIONES_CAPAS[S''d],MATCH(COND_INTERSTICIAL[[#This Row],[Sección]]&amp;"-"&amp;COND_INTERSTICIAL[[#This Row],[Capa]],SECCIONES_CAPAS[llave],0))</f>
        <v>0</v>
      </c>
      <c r="DE27" s="90">
        <f ca="1">IF(COND_INTERSTICIAL[[#This Row],[ϴn]]&gt;=0,610.5*EXP((17.269*COND_INTERSTICIAL[[#This Row],[ϴn]])/(237.3+COND_INTERSTICIAL[[#This Row],[ϴn]])),610.5*EXP((21.875*COND_INTERSTICIAL[[#This Row],[ϴn]])/(265.5+COND_INTERSTICIAL[[#This Row],[ϴn]])))</f>
        <v>1011.4936324284752</v>
      </c>
      <c r="DF27" s="90" t="e" cm="1">
        <f t="array" aca="1" ref="DF27" ca="1">COND_INTERSTICIAL[[#This Row],[S''d]]*((INDEX(CLIMA[Pi],COND_INTERSTICIAL[[#This Row],[Mes]])-INDEX(CLIMA[Pe],COND_INTERSTICIAL[[#This Row],[Mes]]))/INDEX(SECCIONES[SdT],COND_INTERSTICIAL[[#This Row],[Sección]]))+INDEX(CLIMA[Pe],COND_INTERSTICIAL[[#This Row],[Mes]])</f>
        <v>#DIV/0!</v>
      </c>
      <c r="DG27" s="108" t="e">
        <f ca="1">IF((COND_INTERSTICIAL[[#This Row],[Pn]]&gt;=COND_INTERSTICIAL[[#This Row],[Psat]]),TRUE,FALSE)</f>
        <v>#DIV/0!</v>
      </c>
      <c r="DH27" s="109" t="e" cm="1">
        <f t="array" aca="1" ref="DH27" ca="1">IF(COND_INTERSTICIAL[[#This Row],[Condensa]],COND_INTERSTICIAL[[#This Row],[Psat]],IF(COND_INTERSTICIAL[[#This Row],[Capa]]=N_capas,COND_INTERSTICIAL[[#This Row],[Pn]],""))</f>
        <v>#DIV/0!</v>
      </c>
      <c r="DI27" s="109" t="e">
        <f ca="1">COND_INTERSTICIAL[[#This Row],[Mes]]&amp;"-"&amp;COND_INTERSTICIAL[[#This Row],[Sección]]&amp;"-"&amp;COND_INTERSTICIAL[[#This Row],[tramo cond]]</f>
        <v>#DIV/0!</v>
      </c>
      <c r="DJ27" t="e" cm="1">
        <f t="array" aca="1" ref="DJ27" ca="1">IF(COND_INTERSTICIAL[[#This Row],[Capa]]=1,IF(COND_INTERSTICIAL[[#This Row],[Condensa]],2,1),IF(COND_INTERSTICIAL[[#This Row],[Condensa]],1,0)+INDIRECT(ADDRESS(ROW()-1,COLUMN(),4)))</f>
        <v>#DIV/0!</v>
      </c>
      <c r="DK27" s="108" t="e" cm="1">
        <f t="array" aca="1" ref="DK27" ca="1">IF(COND_INTERSTICIAL[[#This Row],[tramo cond]]=1,0,IF((COND_INTERSTICIAL[[#This Row],[tramo cond]]&gt;INDIRECT(ADDRESS(ROW()-1,COLUMN(COND_INTERSTICIAL[[#This Row],[tramo cond]]),4)))+COND_INTERSTICIAL[[#This Row],[Condensa]],COND_INTERSTICIAL[[#This Row],[Capa]],INDIRECT(ADDRESS(ROW()-1,COLUMN(),4))))</f>
        <v>#DIV/0!</v>
      </c>
      <c r="DL27" s="108" t="e" cm="1">
        <f t="array" aca="1" ref="DL27" ca="1">IF((COND_INTERSTICIAL[[#This Row],[Capa]]=N_capas)+(COND_INTERSTICIAL[[#This Row],[tramo cond]]=COUNTIFS(COND_INTERSTICIAL[Condensa],TRUE,COND_INTERSTICIAL[Mes],CW27,COND_INTERSTICIAL[Sección],CX27)+1),N_capas,INDEX(COND_INTERSTICIAL[capa lím inf cond],MATCH(COND_INTERSTICIAL[[#This Row],[Mes]]&amp;"-"&amp;COND_INTERSTICIAL[[#This Row],[Sección]]&amp;"-"&amp;(COND_INTERSTICIAL[[#This Row],[tramo cond]]+1),COND_INTERSTICIAL[llave tramo cond],0)))</f>
        <v>#DIV/0!</v>
      </c>
      <c r="DM27" s="108" cm="1">
        <f t="array" aca="1" ref="DM2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7" s="110" t="e" cm="1">
        <f t="array" aca="1" ref="DN2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7"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7" s="107" t="e">
        <f ca="1">COND_INTERSTICIAL[[#This Row],[gc]]+COND_INTERSTICIAL[[#This Row],[Ma_anterior cond]]</f>
        <v>#DIV/0!</v>
      </c>
      <c r="DQ27" s="113" t="e">
        <f ca="1">IF((COND_INTERSTICIAL[[#This Row],[Ma_anterior cond]]&gt;0)*NOT(COND_INTERSTICIAL[[#This Row],[Condensa]]),TRUE,FALSE)</f>
        <v>#DIV/0!</v>
      </c>
      <c r="DR27" s="112" t="e" cm="1">
        <f t="array" aca="1" ref="DR27" ca="1">IF(COND_INTERSTICIAL[[#This Row],[evapora]],COND_INTERSTICIAL[[#This Row],[Psat]],IF(COND_INTERSTICIAL[[#This Row],[Capa]]=N_capas,COND_INTERSTICIAL[[#This Row],[Pn]],""))</f>
        <v>#DIV/0!</v>
      </c>
      <c r="DS27" s="112" t="e">
        <f ca="1">COND_INTERSTICIAL[[#This Row],[Mes]]&amp;"-"&amp;COND_INTERSTICIAL[[#This Row],[Sección]]&amp;"-"&amp;COND_INTERSTICIAL[[#This Row],[tramo ev]]</f>
        <v>#DIV/0!</v>
      </c>
      <c r="DT27" s="111" t="e" cm="1">
        <f t="array" aca="1" ref="DT27" ca="1">IF(COND_INTERSTICIAL[[#This Row],[Capa]]=1,IF(COND_INTERSTICIAL[[#This Row],[evapora]],2,1),IF(COND_INTERSTICIAL[[#This Row],[evapora]],1,0)+INDIRECT(ADDRESS(ROW()-1,COLUMN(),4)))</f>
        <v>#DIV/0!</v>
      </c>
      <c r="DU27" s="111" t="e" cm="1">
        <f t="array" aca="1" ref="DU27" ca="1">IF(COND_INTERSTICIAL[[#This Row],[tramo ev]]=1,0,IF((COND_INTERSTICIAL[[#This Row],[tramo ev]]&gt;INDIRECT(ADDRESS(ROW()-1,COLUMN(COND_INTERSTICIAL[[#This Row],[tramo ev]]),4)))+COND_INTERSTICIAL[[#This Row],[evapora]],COND_INTERSTICIAL[[#This Row],[Capa]],INDIRECT(ADDRESS(ROW()-1,COLUMN(),4))))</f>
        <v>#DIV/0!</v>
      </c>
      <c r="DV27" s="111" t="e" cm="1">
        <f t="array" aca="1" ref="DV27" ca="1">IF((COND_INTERSTICIAL[[#This Row],[Capa]]=N_capas)+(COND_INTERSTICIAL[[#This Row],[tramo ev]]=COUNTIFS(COND_INTERSTICIAL[evapora],TRUE,COND_INTERSTICIAL[Mes],CW27,COND_INTERSTICIAL[Sección],CX27)+1),N_capas,INDEX(COND_INTERSTICIAL[capa lím inf ev],MATCH(COND_INTERSTICIAL[[#This Row],[Mes]]&amp;"-"&amp;COND_INTERSTICIAL[[#This Row],[Sección]]&amp;"-"&amp;(COND_INTERSTICIAL[[#This Row],[tramo ev]]+1),COND_INTERSTICIAL[llave tramo ev],0)))</f>
        <v>#DIV/0!</v>
      </c>
      <c r="DW27" s="111" cm="1">
        <f t="array" aca="1" ref="DW2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7" s="113" t="e" cm="1">
        <f t="array" aca="1" ref="DX2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7"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7" s="113" t="e">
        <f ca="1">COND_INTERSTICIAL[[#This Row],[gev]]+COND_INTERSTICIAL[[#This Row],[Ma anterior ev]]</f>
        <v>#DIV/0!</v>
      </c>
      <c r="EA27" s="115" t="e">
        <f ca="1">IF(COND_INTERSTICIAL[[#This Row],[Ma cond]]+COND_INTERSTICIAL[[#This Row],[Ma ev]]&lt;=0,0,COND_INTERSTICIAL[[#This Row],[Ma cond]]+COND_INTERSTICIAL[[#This Row],[Ma ev]])</f>
        <v>#DIV/0!</v>
      </c>
      <c r="EB27" s="115" t="e">
        <f ca="1">IF(COND_INTERSTICIAL[[#This Row],[Ma]]&gt;0,TRUE,FALSE)</f>
        <v>#DIV/0!</v>
      </c>
      <c r="EC27" s="115" t="e" cm="1">
        <f t="array" aca="1" ref="EC27" ca="1">IF(COND_INTERSTICIAL[[#This Row],[agua líquida]],IF(COND_INTERSTICIAL[[#This Row],[Condensa]],COND_INTERSTICIAL[[#This Row],[P límite cond]],COND_INTERSTICIAL[[#This Row],[P límite ev]]),IF(COND_INTERSTICIAL[[#This Row],[Capa]]=N_capas,COND_INTERSTICIAL[[#This Row],[Pn]],""))</f>
        <v>#DIV/0!</v>
      </c>
      <c r="ED27" s="115" t="e">
        <f ca="1">COND_INTERSTICIAL[[#This Row],[Mes]]&amp;"-"&amp;COND_INTERSTICIAL[[#This Row],[Sección]]&amp;"-"&amp;COND_INTERSTICIAL[[#This Row],[tramo gráf]]</f>
        <v>#DIV/0!</v>
      </c>
      <c r="EE27" s="114" t="e" cm="1">
        <f t="array" aca="1" ref="EE27" ca="1">IF(COND_INTERSTICIAL[[#This Row],[Capa]]=1,IF(COND_INTERSTICIAL[[#This Row],[agua líquida]],2,1),IF(COND_INTERSTICIAL[[#This Row],[agua líquida]],1,0)+INDIRECT(ADDRESS(ROW()-1,COLUMN(),4)))</f>
        <v>#DIV/0!</v>
      </c>
      <c r="EF27" s="114" t="e" cm="1">
        <f t="array" aca="1" ref="EF27" ca="1">IF(COND_INTERSTICIAL[[#This Row],[tramo gráf]]=1,0,IF((COND_INTERSTICIAL[[#This Row],[tramo gráf]]&gt;INDIRECT(ADDRESS(ROW()-1,COLUMN(COND_INTERSTICIAL[[#This Row],[tramo gráf]]),4)))+COND_INTERSTICIAL[[#This Row],[agua líquida]],COND_INTERSTICIAL[[#This Row],[Capa]],INDIRECT(ADDRESS(ROW()-1,COLUMN(),4))))</f>
        <v>#DIV/0!</v>
      </c>
      <c r="EG27" s="114" t="e" cm="1">
        <f t="array" aca="1" ref="EG27" ca="1">IF((COND_INTERSTICIAL[[#This Row],[Capa]]=N_capas)+(COND_INTERSTICIAL[[#This Row],[tramo gráf]]=COUNTIFS(COND_INTERSTICIAL[agua líquida],TRUE,COND_INTERSTICIAL[Mes],CW27,COND_INTERSTICIAL[Sección],CX27)+1),N_capas,INDEX(COND_INTERSTICIAL[capa lím inf gráf],MATCH(COND_INTERSTICIAL[[#This Row],[Mes]]&amp;"-"&amp;COND_INTERSTICIAL[[#This Row],[Sección]]&amp;"-"&amp;(COND_INTERSTICIAL[[#This Row],[tramo gráf]]+1),COND_INTERSTICIAL[llave tramo gráf],0)))</f>
        <v>#DIV/0!</v>
      </c>
      <c r="EH27" s="114" cm="1">
        <f t="array" aca="1" ref="EH2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7" s="116" t="e" cm="1">
        <f t="array" aca="1" ref="EI2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7">
        <f t="shared" si="0"/>
        <v>7</v>
      </c>
      <c r="EM27">
        <f t="shared" si="1"/>
        <v>1</v>
      </c>
      <c r="EN27">
        <f>ROW()-ROW(INDEX(COND_INTERSTICIAL_GRÁF[],1,1))</f>
        <v>2</v>
      </c>
      <c r="EO27" t="str">
        <f>COND_INTERSTICIAL_GRÁF[[#This Row],[Mes]]&amp;"-"&amp;COND_INTERSTICIAL_GRÁF[[#This Row],[Sección]]&amp;"-"&amp;COND_INTERSTICIAL_GRÁF[[#This Row],[Capa]]</f>
        <v>7-1-2</v>
      </c>
      <c r="EP27" t="str">
        <f>"Capa "&amp;COND_INTERSTICIAL_GRÁF[[#This Row],[Capa]]&amp;": "&amp;IFERROR(INDEX(SECCIONES_CAPAS[Abreviatura],MATCH(COND_INTERSTICIAL_GRÁF[[#This Row],[Sección]]&amp;"-"&amp;COND_INTERSTICIAL_GRÁF[[#This Row],[Capa]],SECCIONES_CAPAS[llave],0)),"")</f>
        <v>Capa 2: Capa 2</v>
      </c>
      <c r="EQ27">
        <f>IFERROR(IF(COND_INTERSTICIAL_GRÁF[[#This Row],[Capa]]=0,0,INDEX(SECCIONES_CAPAS[d],MATCH(COND_INTERSTICIAL_GRÁF[[#This Row],[Sección]]&amp;"-"&amp;COND_INTERSTICIAL_GRÁF[[#This Row],[Capa]],SECCIONES_CAPAS[llave],0))),NA())</f>
        <v>0</v>
      </c>
      <c r="ER27">
        <f>IFERROR(IF(COND_INTERSTICIAL_GRÁF[[#This Row],[Capa]]=0,0,INDEX(SECCIONES_CAPAS[d''],MATCH(COND_INTERSTICIAL_GRÁF[[#This Row],[Sección]]&amp;"-"&amp;COND_INTERSTICIAL_GRÁF[[#This Row],[Capa]],SECCIONES_CAPAS[llave],0))),NA())</f>
        <v>0</v>
      </c>
      <c r="ES27" s="377" t="e" cm="1">
        <f t="array" ref="ES27">COND_INTERSTICIAL_GRÁF[[#This Row],[d'']]/INDEX(SECCIONES[d''],COND_INTERSTICIAL_GRÁF[[#This Row],[Sección]])</f>
        <v>#DIV/0!</v>
      </c>
      <c r="ET27" cm="1">
        <f t="array" aca="1" ref="ET27" ca="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7.1470588235294112</v>
      </c>
      <c r="EU27" s="90" t="e" cm="1">
        <f t="array" aca="1" ref="EU27" ca="1">IFERROR(IF(capa_interior_μ_inf,NA(),6.54+14.526*LN(COND_INTERSTICIAL_GRÁF[[#This Row],[Pn]]/1000)+0.7389*LN(COND_INTERSTICIAL_GRÁF[[#This Row],[Pn]]/1000)^2+0.09486*LN(COND_INTERSTICIAL_GRÁF[[#This Row],[Pn]]/1000)^3+0.4569*(COND_INTERSTICIAL_GRÁF[[#This Row],[Pn]]/1000)^0.1984),NA())</f>
        <v>#N/A</v>
      </c>
      <c r="EV27">
        <f>IFERROR(IF(COND_INTERSTICIAL_GRÁF[[#This Row],[Capa]]=0,0,INDEX(COND_INTERSTICIAL[Sd],MATCH(COND_INTERSTICIAL_GRÁF[[#This Row],[llave capa]],COND_INTERSTICIAL[llave capa],0))),NA())</f>
        <v>0</v>
      </c>
      <c r="EW27" s="90">
        <f ca="1">IFERROR(IF(COND_INTERSTICIAL_GRÁF[[#This Row],[Capa]]=0,0,INDEX(COND_INTERSTICIAL[S''d],MATCH(COND_INTERSTICIAL_GRÁF[[#This Row],[llave capa]],COND_INTERSTICIAL[llave capa],0))),NA())</f>
        <v>0</v>
      </c>
      <c r="EX27" s="377" t="e" cm="1">
        <f t="array" aca="1" ref="EX27" ca="1">COND_INTERSTICIAL_GRÁF[[#This Row],[S''d]]/INDEX(SECCIONES[SdT],Gráf_sección)</f>
        <v>#DIV/0!</v>
      </c>
      <c r="EY27" s="90" cm="1">
        <f t="array" aca="1" ref="EY27" ca="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1011.4936324284752</v>
      </c>
      <c r="EZ27" s="107">
        <f ca="1">IFERROR(INDEX(COND_INTERSTICIAL[Ma],MATCH(COND_INTERSTICIAL_GRÁF[[#This Row],[llave capa]],COND_INTERSTICIAL[llave capa],0)),0)</f>
        <v>0</v>
      </c>
      <c r="FA27" s="90" t="b">
        <f ca="1">IF(COND_INTERSTICIAL_GRÁF[[#This Row],[Ma]]&gt;0,TRUE,FALSE)</f>
        <v>0</v>
      </c>
      <c r="FB27" s="90" t="str">
        <f>"Interfaz "&amp;COND_INTERSTICIAL_GRÁF[[#This Row],[Capa]]</f>
        <v>Interfaz 2</v>
      </c>
      <c r="FC27" s="90" t="e">
        <f ca="1">IF(COND_INTERSTICIAL_GRÁF[[#This Row],[agua líquida]],COND_INTERSTICIAL_GRÁF[[#This Row],[Psat]],NA())</f>
        <v>#N/A</v>
      </c>
      <c r="FD27" s="90" t="e" cm="1">
        <f t="array" aca="1" ref="FD27" ca="1">IFERROR(IF(COND_INTERSTICIAL_GRÁF[[#This Row],[Capa]]=0,INDEX(CLIMA[Pe],COND_INTERSTICIAL_GRÁF[[#This Row],[Mes]]),INDEX(COND_INTERSTICIAL[Pn],MATCH(COND_INTERSTICIAL_GRÁF[[#This Row],[llave capa]],COND_INTERSTICIAL[llave capa],0))),NA())</f>
        <v>#N/A</v>
      </c>
      <c r="FE27" s="90" t="e" cm="1">
        <f t="array" aca="1" ref="FE27" ca="1">IFERROR(IF(capa_interior_μ_inf,NA(),IF(COND_INTERSTICIAL_GRÁF[[#This Row],[Capa]]=0,INDEX(CLIMA[Pe],COND_INTERSTICIAL_GRÁF[[#This Row],[Mes]]),INDEX(COND_INTERSTICIAL[Pn gráf],MATCH(COND_INTERSTICIAL_GRÁF[[#This Row],[llave capa]],COND_INTERSTICIAL[llave capa],0)))),NA())</f>
        <v>#N/A</v>
      </c>
      <c r="FG27" s="89">
        <v>1</v>
      </c>
      <c r="FH27" s="89">
        <v>3</v>
      </c>
      <c r="FI27" s="89" t="str">
        <f>Tabla43[[#This Row],[Columna1]]&amp;"-"&amp;Tabla43[[#This Row],[Columna2]]</f>
        <v>1-3</v>
      </c>
      <c r="FJ27" s="89" t="e">
        <f ca="1">INDEX(COND_INTERSTICIAL[Ma],MATCH(FJ$24&amp;"-"&amp;Tabla43[[#This Row],[Columna15]],COND_INTERSTICIAL[llave capa],0))</f>
        <v>#DIV/0!</v>
      </c>
      <c r="FK27" s="89" t="e">
        <f ca="1">INDEX(COND_INTERSTICIAL[Ma],MATCH(FK$24&amp;"-"&amp;Tabla43[[#This Row],[Columna15]],COND_INTERSTICIAL[llave capa],0))</f>
        <v>#N/A</v>
      </c>
      <c r="FL27" s="89" t="e">
        <f ca="1">INDEX(COND_INTERSTICIAL[Ma],MATCH(FL$24&amp;"-"&amp;Tabla43[[#This Row],[Columna15]],COND_INTERSTICIAL[llave capa],0))</f>
        <v>#N/A</v>
      </c>
      <c r="FM27" s="89" t="e">
        <f ca="1">INDEX(COND_INTERSTICIAL[Ma],MATCH(FM$24&amp;"-"&amp;Tabla43[[#This Row],[Columna15]],COND_INTERSTICIAL[llave capa],0))</f>
        <v>#N/A</v>
      </c>
      <c r="FN27" s="89" t="e">
        <f ca="1">INDEX(COND_INTERSTICIAL[Ma],MATCH(FN$24&amp;"-"&amp;Tabla43[[#This Row],[Columna15]],COND_INTERSTICIAL[llave capa],0))</f>
        <v>#N/A</v>
      </c>
      <c r="FO27" s="89" t="e">
        <f ca="1">INDEX(COND_INTERSTICIAL[Ma],MATCH(FO$24&amp;"-"&amp;Tabla43[[#This Row],[Columna15]],COND_INTERSTICIAL[llave capa],0))</f>
        <v>#N/A</v>
      </c>
      <c r="FP27" s="89" t="e">
        <f ca="1">INDEX(COND_INTERSTICIAL[Ma],MATCH(FP$24&amp;"-"&amp;Tabla43[[#This Row],[Columna15]],COND_INTERSTICIAL[llave capa],0))</f>
        <v>#N/A</v>
      </c>
      <c r="FQ27" s="89" t="e">
        <f ca="1">INDEX(COND_INTERSTICIAL[Ma],MATCH(FQ$24&amp;"-"&amp;Tabla43[[#This Row],[Columna15]],COND_INTERSTICIAL[llave capa],0))</f>
        <v>#N/A</v>
      </c>
      <c r="FR27" s="89" t="e">
        <f ca="1">INDEX(COND_INTERSTICIAL[Ma],MATCH(FR$24&amp;"-"&amp;Tabla43[[#This Row],[Columna15]],COND_INTERSTICIAL[llave capa],0))</f>
        <v>#N/A</v>
      </c>
      <c r="FS27" s="89" t="e">
        <f ca="1">INDEX(COND_INTERSTICIAL[Ma],MATCH(FS$24&amp;"-"&amp;Tabla43[[#This Row],[Columna15]],COND_INTERSTICIAL[llave capa],0))</f>
        <v>#N/A</v>
      </c>
      <c r="FT27" s="89" t="e">
        <f ca="1">INDEX(COND_INTERSTICIAL[Ma],MATCH(FT$24&amp;"-"&amp;Tabla43[[#This Row],[Columna15]],COND_INTERSTICIAL[llave capa],0))</f>
        <v>#N/A</v>
      </c>
      <c r="FU27" s="89" t="e">
        <f ca="1">INDEX(COND_INTERSTICIAL[Ma],MATCH(FU$24&amp;"-"&amp;Tabla43[[#This Row],[Columna15]],COND_INTERSTICIAL[llave capa],0))</f>
        <v>#N/A</v>
      </c>
      <c r="FX27" t="s">
        <v>236</v>
      </c>
      <c r="FY27" s="47">
        <f>Método_humedad_relativa_exterior</f>
        <v>3</v>
      </c>
      <c r="GD27" s="54" t="s">
        <v>1451</v>
      </c>
      <c r="GE27" s="55"/>
      <c r="GF27" s="55"/>
      <c r="GG27" s="55"/>
      <c r="GH27" s="56"/>
    </row>
    <row r="28" spans="2:195" ht="14.65" thickBot="1" x14ac:dyDescent="0.5">
      <c r="B28" cm="1">
        <f t="array" ref="B28">ROUNDUP((ROW()-ROW(INDEX(SECCIONES_CAPAS[],1,1))+1)/N_capas,0)</f>
        <v>2</v>
      </c>
      <c r="C28" cm="1">
        <f t="array" ref="C28">(ROW()-ROW(INDEX(SECCIONES_CAPAS[],1,1))+1)-(SECCIONES_CAPAS[[#This Row],[Sección]]-1)*N_capas</f>
        <v>6</v>
      </c>
      <c r="D28" t="str">
        <f>SECCIONES_CAPAS[[#This Row],[Sección]]&amp;"-"&amp;SECCIONES_CAPAS[[#This Row],[Capa]]</f>
        <v>2-6</v>
      </c>
      <c r="E28" cm="1">
        <f t="array" ref="E28">INDEX(DATOS[],2+SECCIONES_CAPAS[[#This Row],[Capa]],2+SECCIONES_CAPAS[[#This Row],[Sección]])</f>
        <v>0</v>
      </c>
      <c r="F28" t="str">
        <f>IFERROR(INDEX(MATERIALES[Abreviatura],MATCH(SECCIONES_CAPAS[[#This Row],[Material nombre largo]],MATERIALES[Nombre largo],0)),"Capa "&amp;SECCIONES_CAPAS[[#This Row],[Capa]])</f>
        <v>Capa 6</v>
      </c>
      <c r="G28" t="e">
        <f>INDEX(MATERIALES[Biblioteca],MATCH(SECCIONES_CAPAS[[#This Row],[Material nombre largo]],MATERIALES[Nombre largo],0))</f>
        <v>#N/A</v>
      </c>
      <c r="H28" t="e">
        <f>INDEX(MATERIALES[Material],MATCH(SECCIONES_CAPAS[[#This Row],[Material nombre largo]],MATERIALES[Nombre largo],0))</f>
        <v>#N/A</v>
      </c>
      <c r="I28" t="str">
        <f>SECCIONES_CAPAS[[#This Row],[Abreviatura]]&amp;" "&amp;SECCIONES_CAPAS[[#This Row],[d]]*1000&amp;" mm"</f>
        <v>Capa 6 0 mm</v>
      </c>
      <c r="J28" t="str" cm="1">
        <f t="array" aca="1" ref="J28" ca="1">IF(SECCIONES_CAPAS[[#This Row],[Capa]]=1,SECCIONES_CAPAS[[#This Row],[descripción auto]],INDIRECT(ADDRESS(ROW()-1,COLUMN(),4))&amp;" + "&amp;SECCIONES_CAPAS[[#This Row],[descripción auto]])</f>
        <v>Capa 1 0 mm + Capa 2 0 mm + Capa 3 0 mm + Capa 4 0 mm + Capa 5 0 mm + Capa 6 0 mm</v>
      </c>
      <c r="K28" t="str" cm="1">
        <f t="array" aca="1" ref="K28"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6</v>
      </c>
      <c r="L28" t="b">
        <f>IF(SECCIONES_CAPAS[[#This Row],[Material nombre largo]]=Aux!$H$29,TRUE,FALSE)</f>
        <v>0</v>
      </c>
      <c r="M28" t="b" cm="1">
        <f t="array" aca="1" ref="M28" ca="1">IFERROR(IF(SECCIONES_CAPAS[[#This Row],[Cámara aire no ventilada]]*INDIRECT(ADDRESS(ROW()+1,COLUMN(),4))+INDIRECT(ADDRESS(ROW()-1,COLUMN(SECCIONES_CAPAS[[#This Row],[Cámara aire no ventilada]]),4))*SECCIONES_CAPAS[[#This Row],[Cámara aire no ventilada]],TRUE,FALSE),FALSE)</f>
        <v>0</v>
      </c>
      <c r="O28" s="47" cm="1">
        <f t="array" ref="O28">IF(SECCIONES_CAPAS[[#This Row],[Material nombre largo]]=0,0,INDEX(CAPAS[d],SECCIONES_CAPAS[[#This Row],[Capa]]))</f>
        <v>0</v>
      </c>
      <c r="P28" s="47" t="e">
        <f>MATCH(INDEX(MATERIALES[Propiedad térmica],MATCH(SECCIONES_CAPAS[[#This Row],[Material nombre largo]],MATERIALES[Nombre largo],0)),Aux!$H$18:$H$19,0)</f>
        <v>#N/A</v>
      </c>
      <c r="Q28" s="47">
        <f>IF(ISERROR(SECCIONES_CAPAS[[#This Row],[índice prop térmica]]),1,0)</f>
        <v>1</v>
      </c>
      <c r="R28" s="373" cm="1">
        <f t="array" ref="R28">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8" s="373" t="b">
        <f>IF((SECCIONES_CAPAS[[#This Row],[λ]]&lt;0.1)*(SECCIONES_CAPAS[[#This Row],[λ]]&gt;0),TRUE,FALSE)</f>
        <v>0</v>
      </c>
      <c r="T28" s="47" cm="1">
        <f t="array" ref="T28">INDEX(SECCIONES[f],SECCIONES_CAPAS[[#This Row],[Sección]])*SECCIONES_CAPAS[[#This Row],[λ]]</f>
        <v>0</v>
      </c>
      <c r="U28" s="47" cm="1">
        <f t="array" ref="U28">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8" s="47">
        <f>IFERROR(INDEX(SECCIONES[f],MATCH(SECCIONES_CAPAS[[#This Row],[Sección]],SECCIONES[Sección m],0))/SECCIONES_CAPAS[[#This Row],[R]],0)</f>
        <v>0</v>
      </c>
      <c r="W28" s="47">
        <f>IF(SECCIONES_CAPAS[[#This Row],[Capa]]=1,SECCIONES_CAPAS[[#This Row],[d]],SECCIONES_CAPAS[[#This Row],[d]]+W27)</f>
        <v>0</v>
      </c>
      <c r="X28" s="374" cm="1">
        <f t="array" aca="1" ref="X28" ca="1">IF(SECCIONES_CAPAS[[#This Row],[Capa]]=1,IF(contacto_terreno,Resistencia_térmica_2m_tierra+SECCIONES_CAPAS[[#This Row],[R]],R_se+SECCIONES_CAPAS[[#This Row],[R]]),INDIRECT(ADDRESS(ROW()-1,COLUMN(),4))+SECCIONES_CAPAS[[#This Row],[R]])</f>
        <v>0.04</v>
      </c>
      <c r="Y28" s="47" t="e">
        <f>MATCH(INDEX(MATERIALES[Propiedad difusión de vapor],MATCH(SECCIONES_CAPAS[[#This Row],[Material nombre largo]],MATERIALES[Nombre largo],0)),Aux!$H$20:$H$27,0)</f>
        <v>#N/A</v>
      </c>
      <c r="Z28"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8" s="375" t="e">
        <f>IF(INDEX(MATERIALES[Valor propiedad difusión de vapor],MATCH(SECCIONES_CAPAS[[#This Row],[Material nombre largo]],MATERIALES[Nombre largo],0))=Aux!$C$112,TRUE,FALSE)</f>
        <v>#N/A</v>
      </c>
      <c r="AB28" s="373" cm="1">
        <f t="array" ref="AB28">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8" s="47" cm="1">
        <f t="array" aca="1" ref="AC28" ca="1">IF(SECCIONES_CAPAS[[#This Row],[Capa]]=1,SECCIONES_CAPAS[[#This Row],[Sd]],SECCIONES_CAPAS[[#This Row],[Sd]]+INDIRECT(ADDRESS(ROW()-1,COLUMN(),4)))</f>
        <v>0</v>
      </c>
      <c r="AD28" s="47">
        <f>IF(ISERROR(SECCIONES_CAPAS[[#This Row],[Sd]]),1,0)</f>
        <v>0</v>
      </c>
      <c r="AF28" s="29" t="s">
        <v>1487</v>
      </c>
      <c r="AG28" s="178"/>
      <c r="AH28" s="31"/>
      <c r="AI28" s="32"/>
      <c r="BY28" s="481" t="s">
        <v>332</v>
      </c>
      <c r="BZ28" s="482"/>
      <c r="CA28" s="483"/>
      <c r="CD28" s="191">
        <v>9</v>
      </c>
      <c r="CE28" s="90" cm="1">
        <f t="array" ref="CE28">INDEX(CLIMA[Pi],COND_SUPERFICIAL_CONDICIONES[[#This Row],[Mes]])/ϕsicr</f>
        <v>1647.1134324241689</v>
      </c>
      <c r="CF28"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8" s="36" t="e" cm="1">
        <f t="array" ref="CG28">(COND_SUPERFICIAL_CONDICIONES[[#This Row],[ϴsi_mín]]-INDEX(CLIMA[ϴe],COND_SUPERFICIAL_CONDICIONES[[#This Row],[Mes]]))/(INDEX(CLIMA[ϴi],COND_SUPERFICIAL_CONDICIONES[[#This Row],[Mes]])-INDEX(CLIMA[ϴe],COND_SUPERFICIAL_CONDICIONES[[#This Row],[Mes]]))</f>
        <v>#N/A</v>
      </c>
      <c r="CH28" s="36" t="e">
        <f>Rsi_condensación/(1-COND_SUPERFICIAL_CONDICIONES[[#This Row],[fRsi_mín]])</f>
        <v>#N/A</v>
      </c>
      <c r="CI28" s="6" t="e">
        <f>1/COND_SUPERFICIAL_CONDICIONES[[#This Row],[Rt_mín]]</f>
        <v>#N/A</v>
      </c>
      <c r="CK28" s="1" cm="1">
        <f t="array" ref="CK28">ROUNDUP((ROW()-$CN$18)/(N_secciones),0)</f>
        <v>5</v>
      </c>
      <c r="CL28" cm="1">
        <f t="array" ref="CL28">ROW()-ROW(INDEX(COND_SUPERFICIAL[],1,1))+1-(COND_SUPERFICIAL[[#This Row],[Mes]]-1)*N_secciones</f>
        <v>1</v>
      </c>
      <c r="CM28" s="1" t="str">
        <f>COND_SUPERFICIAL[[#This Row],[Mes]]&amp;"-"&amp;COND_SUPERFICIAL[[#This Row],[Sección]]</f>
        <v>5-1</v>
      </c>
      <c r="CN28" t="e" cm="1">
        <f t="array" ref="CN28">IF(INDEX(SECCIONES[Rtsección_condensación],COND_SUPERFICIAL[[#This Row],[Sección]])&lt;=INDEX(COND_SUPERFICIAL_CONDICIONES[Rt_mín],COND_SUPERFICIAL[[#This Row],[Mes]]),TRUE,FALSE)</f>
        <v>#N/A</v>
      </c>
      <c r="CP28" s="1" cm="1">
        <f t="array" ref="CP28">ROUNDUP((ROW()-$CN$18)/(N_secciones),0)</f>
        <v>5</v>
      </c>
      <c r="CQ28" s="1" cm="1">
        <f t="array" ref="CQ28">ROUNDUP((ROW()-$CN$18+(Mes_inicial_de_análisis-1)*N_secciones)/(N_secciones),0)-12*IF(ROW()-$CN$18&gt;(12-Mes_inicial_de_análisis+1)*N_secciones,1,0)</f>
        <v>11</v>
      </c>
      <c r="CR28" s="1" cm="1">
        <f t="array" ref="CR28">ROW()-$CN$18-(ROUNDUP((ROW()-$CN$18)/(N_secciones),0)-1)*N_secciones</f>
        <v>1</v>
      </c>
      <c r="CS28" s="107" t="str">
        <f>COND_INTERSTICIAL_AGUA_ACUMULADA[[#This Row],[orden]]&amp;"-"&amp;COND_INTERSTICIAL_AGUA_ACUMULADA[[#This Row],[Sección]]</f>
        <v>5-1</v>
      </c>
      <c r="CT28">
        <f ca="1">COUNTIFS(COND_INTERSTICIAL[agua líquida],TRUE,COND_INTERSTICIAL[Mes],COND_INTERSTICIAL_AGUA_ACUMULADA[[#This Row],[Mes]],COND_INTERSTICIAL[Sección],COND_INTERSTICIAL_AGUA_ACUMULADA[[#This Row],[Sección]])</f>
        <v>0</v>
      </c>
      <c r="CU28" s="107" t="e">
        <f ca="1">SUMIFS(COND_INTERSTICIAL[Ma],COND_INTERSTICIAL[Mes],COND_INTERSTICIAL_AGUA_ACUMULADA[[#This Row],[Mes]],COND_INTERSTICIAL[Sección],COND_INTERSTICIAL_AGUA_ACUMULADA[[#This Row],[Sección]])</f>
        <v>#N/A</v>
      </c>
      <c r="CW28" s="1" cm="1">
        <f t="array" ref="CW28">ROUNDUP((ROW()-$CN$18+(Mes_inicial_de_análisis-1)*N_capas*N_secciones)/(N_capas*N_secciones),0)-12*IF(ROW()-$CN$18&gt;(12-Mes_inicial_de_análisis+1)*N_capas*N_secciones,1,0)</f>
        <v>7</v>
      </c>
      <c r="CX28" cm="1">
        <f t="array" ref="CX28">ROUNDUP((ROW()-$CN$18)/N_capas-(ROUNDUP((ROW()-$CN$18)/(N_capas*N_secciones),0)-1)*N_secciones,0)</f>
        <v>2</v>
      </c>
      <c r="CY28" cm="1">
        <f t="array" ref="CY28">(ROW()-$CN$18)-(COND_INTERSTICIAL[[#This Row],[Sección]]-1)*N_capas-(ROUNDUP((ROW()-$CN$18)/(N_capas*N_secciones),0)-1)*N_capas*N_secciones</f>
        <v>2</v>
      </c>
      <c r="CZ28" t="str">
        <f>COND_INTERSTICIAL[[#This Row],[Mes]]&amp;"-"&amp;COND_INTERSTICIAL[[#This Row],[Sección]]&amp;"-"&amp;COND_INTERSTICIAL[[#This Row],[Capa]]</f>
        <v>7-2-2</v>
      </c>
      <c r="DA28">
        <f ca="1">INDEX(SECCIONES_CAPAS[R''n],MATCH(COND_INTERSTICIAL[[#This Row],[Sección]]&amp;"-"&amp;COND_INTERSTICIAL[[#This Row],[Capa]],SECCIONES_CAPAS[llave],0))</f>
        <v>0.04</v>
      </c>
      <c r="DB28" s="172" cm="1">
        <f t="array" aca="1" ref="DB28" ca="1">INDEX(CLIMA[ϴe],COND_INTERSTICIAL[[#This Row],[Mes]])+COND_INTERSTICIAL[[#This Row],[Rn]]*(INDEX(CLIMA[ϴi],COND_INTERSTICIAL[[#This Row],[Mes]])-INDEX(CLIMA[ϴe],COND_INTERSTICIAL[[#This Row],[Mes]]))/(INDEX(SECCIONES[Rtsección_condensación],COND_INTERSTICIAL[[#This Row],[Sección]]))</f>
        <v>7.1470588235294112</v>
      </c>
      <c r="DC28">
        <f>INDEX(SECCIONES_CAPAS[Sd],MATCH(COND_INTERSTICIAL[[#This Row],[Sección]]&amp;"-"&amp;COND_INTERSTICIAL[[#This Row],[Capa]],SECCIONES_CAPAS[llave],0))</f>
        <v>0</v>
      </c>
      <c r="DD28">
        <f ca="1">INDEX(SECCIONES_CAPAS[S''d],MATCH(COND_INTERSTICIAL[[#This Row],[Sección]]&amp;"-"&amp;COND_INTERSTICIAL[[#This Row],[Capa]],SECCIONES_CAPAS[llave],0))</f>
        <v>0</v>
      </c>
      <c r="DE28" s="90">
        <f ca="1">IF(COND_INTERSTICIAL[[#This Row],[ϴn]]&gt;=0,610.5*EXP((17.269*COND_INTERSTICIAL[[#This Row],[ϴn]])/(237.3+COND_INTERSTICIAL[[#This Row],[ϴn]])),610.5*EXP((21.875*COND_INTERSTICIAL[[#This Row],[ϴn]])/(265.5+COND_INTERSTICIAL[[#This Row],[ϴn]])))</f>
        <v>1011.4936324284752</v>
      </c>
      <c r="DF28" s="90" t="e" cm="1">
        <f t="array" aca="1" ref="DF28" ca="1">COND_INTERSTICIAL[[#This Row],[S''d]]*((INDEX(CLIMA[Pi],COND_INTERSTICIAL[[#This Row],[Mes]])-INDEX(CLIMA[Pe],COND_INTERSTICIAL[[#This Row],[Mes]]))/INDEX(SECCIONES[SdT],COND_INTERSTICIAL[[#This Row],[Sección]]))+INDEX(CLIMA[Pe],COND_INTERSTICIAL[[#This Row],[Mes]])</f>
        <v>#DIV/0!</v>
      </c>
      <c r="DG28" s="108" t="e">
        <f ca="1">IF((COND_INTERSTICIAL[[#This Row],[Pn]]&gt;=COND_INTERSTICIAL[[#This Row],[Psat]]),TRUE,FALSE)</f>
        <v>#DIV/0!</v>
      </c>
      <c r="DH28" s="109" t="e" cm="1">
        <f t="array" aca="1" ref="DH28" ca="1">IF(COND_INTERSTICIAL[[#This Row],[Condensa]],COND_INTERSTICIAL[[#This Row],[Psat]],IF(COND_INTERSTICIAL[[#This Row],[Capa]]=N_capas,COND_INTERSTICIAL[[#This Row],[Pn]],""))</f>
        <v>#DIV/0!</v>
      </c>
      <c r="DI28" s="109" t="e">
        <f ca="1">COND_INTERSTICIAL[[#This Row],[Mes]]&amp;"-"&amp;COND_INTERSTICIAL[[#This Row],[Sección]]&amp;"-"&amp;COND_INTERSTICIAL[[#This Row],[tramo cond]]</f>
        <v>#DIV/0!</v>
      </c>
      <c r="DJ28" t="e" cm="1">
        <f t="array" aca="1" ref="DJ28" ca="1">IF(COND_INTERSTICIAL[[#This Row],[Capa]]=1,IF(COND_INTERSTICIAL[[#This Row],[Condensa]],2,1),IF(COND_INTERSTICIAL[[#This Row],[Condensa]],1,0)+INDIRECT(ADDRESS(ROW()-1,COLUMN(),4)))</f>
        <v>#DIV/0!</v>
      </c>
      <c r="DK28" s="108" t="e" cm="1">
        <f t="array" aca="1" ref="DK28" ca="1">IF(COND_INTERSTICIAL[[#This Row],[tramo cond]]=1,0,IF((COND_INTERSTICIAL[[#This Row],[tramo cond]]&gt;INDIRECT(ADDRESS(ROW()-1,COLUMN(COND_INTERSTICIAL[[#This Row],[tramo cond]]),4)))+COND_INTERSTICIAL[[#This Row],[Condensa]],COND_INTERSTICIAL[[#This Row],[Capa]],INDIRECT(ADDRESS(ROW()-1,COLUMN(),4))))</f>
        <v>#DIV/0!</v>
      </c>
      <c r="DL28" s="108" t="e" cm="1">
        <f t="array" aca="1" ref="DL28" ca="1">IF((COND_INTERSTICIAL[[#This Row],[Capa]]=N_capas)+(COND_INTERSTICIAL[[#This Row],[tramo cond]]=COUNTIFS(COND_INTERSTICIAL[Condensa],TRUE,COND_INTERSTICIAL[Mes],CW28,COND_INTERSTICIAL[Sección],CX28)+1),N_capas,INDEX(COND_INTERSTICIAL[capa lím inf cond],MATCH(COND_INTERSTICIAL[[#This Row],[Mes]]&amp;"-"&amp;COND_INTERSTICIAL[[#This Row],[Sección]]&amp;"-"&amp;(COND_INTERSTICIAL[[#This Row],[tramo cond]]+1),COND_INTERSTICIAL[llave tramo cond],0)))</f>
        <v>#DIV/0!</v>
      </c>
      <c r="DM28" s="108" cm="1">
        <f t="array" aca="1" ref="DM2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8" s="110" t="e" cm="1">
        <f t="array" aca="1" ref="DN2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8"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8" s="107" t="e">
        <f ca="1">COND_INTERSTICIAL[[#This Row],[gc]]+COND_INTERSTICIAL[[#This Row],[Ma_anterior cond]]</f>
        <v>#DIV/0!</v>
      </c>
      <c r="DQ28" s="113" t="e">
        <f ca="1">IF((COND_INTERSTICIAL[[#This Row],[Ma_anterior cond]]&gt;0)*NOT(COND_INTERSTICIAL[[#This Row],[Condensa]]),TRUE,FALSE)</f>
        <v>#DIV/0!</v>
      </c>
      <c r="DR28" s="112" t="e" cm="1">
        <f t="array" aca="1" ref="DR28" ca="1">IF(COND_INTERSTICIAL[[#This Row],[evapora]],COND_INTERSTICIAL[[#This Row],[Psat]],IF(COND_INTERSTICIAL[[#This Row],[Capa]]=N_capas,COND_INTERSTICIAL[[#This Row],[Pn]],""))</f>
        <v>#DIV/0!</v>
      </c>
      <c r="DS28" s="112" t="e">
        <f ca="1">COND_INTERSTICIAL[[#This Row],[Mes]]&amp;"-"&amp;COND_INTERSTICIAL[[#This Row],[Sección]]&amp;"-"&amp;COND_INTERSTICIAL[[#This Row],[tramo ev]]</f>
        <v>#DIV/0!</v>
      </c>
      <c r="DT28" s="111" t="e" cm="1">
        <f t="array" aca="1" ref="DT28" ca="1">IF(COND_INTERSTICIAL[[#This Row],[Capa]]=1,IF(COND_INTERSTICIAL[[#This Row],[evapora]],2,1),IF(COND_INTERSTICIAL[[#This Row],[evapora]],1,0)+INDIRECT(ADDRESS(ROW()-1,COLUMN(),4)))</f>
        <v>#DIV/0!</v>
      </c>
      <c r="DU28" s="111" t="e" cm="1">
        <f t="array" aca="1" ref="DU28" ca="1">IF(COND_INTERSTICIAL[[#This Row],[tramo ev]]=1,0,IF((COND_INTERSTICIAL[[#This Row],[tramo ev]]&gt;INDIRECT(ADDRESS(ROW()-1,COLUMN(COND_INTERSTICIAL[[#This Row],[tramo ev]]),4)))+COND_INTERSTICIAL[[#This Row],[evapora]],COND_INTERSTICIAL[[#This Row],[Capa]],INDIRECT(ADDRESS(ROW()-1,COLUMN(),4))))</f>
        <v>#DIV/0!</v>
      </c>
      <c r="DV28" s="111" t="e" cm="1">
        <f t="array" aca="1" ref="DV28" ca="1">IF((COND_INTERSTICIAL[[#This Row],[Capa]]=N_capas)+(COND_INTERSTICIAL[[#This Row],[tramo ev]]=COUNTIFS(COND_INTERSTICIAL[evapora],TRUE,COND_INTERSTICIAL[Mes],CW28,COND_INTERSTICIAL[Sección],CX28)+1),N_capas,INDEX(COND_INTERSTICIAL[capa lím inf ev],MATCH(COND_INTERSTICIAL[[#This Row],[Mes]]&amp;"-"&amp;COND_INTERSTICIAL[[#This Row],[Sección]]&amp;"-"&amp;(COND_INTERSTICIAL[[#This Row],[tramo ev]]+1),COND_INTERSTICIAL[llave tramo ev],0)))</f>
        <v>#DIV/0!</v>
      </c>
      <c r="DW28" s="111" cm="1">
        <f t="array" aca="1" ref="DW2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8" s="113" t="e" cm="1">
        <f t="array" aca="1" ref="DX2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8"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8" s="113" t="e">
        <f ca="1">COND_INTERSTICIAL[[#This Row],[gev]]+COND_INTERSTICIAL[[#This Row],[Ma anterior ev]]</f>
        <v>#DIV/0!</v>
      </c>
      <c r="EA28" s="115" t="e">
        <f ca="1">IF(COND_INTERSTICIAL[[#This Row],[Ma cond]]+COND_INTERSTICIAL[[#This Row],[Ma ev]]&lt;=0,0,COND_INTERSTICIAL[[#This Row],[Ma cond]]+COND_INTERSTICIAL[[#This Row],[Ma ev]])</f>
        <v>#DIV/0!</v>
      </c>
      <c r="EB28" s="115" t="e">
        <f ca="1">IF(COND_INTERSTICIAL[[#This Row],[Ma]]&gt;0,TRUE,FALSE)</f>
        <v>#DIV/0!</v>
      </c>
      <c r="EC28" s="115" t="e" cm="1">
        <f t="array" aca="1" ref="EC28" ca="1">IF(COND_INTERSTICIAL[[#This Row],[agua líquida]],IF(COND_INTERSTICIAL[[#This Row],[Condensa]],COND_INTERSTICIAL[[#This Row],[P límite cond]],COND_INTERSTICIAL[[#This Row],[P límite ev]]),IF(COND_INTERSTICIAL[[#This Row],[Capa]]=N_capas,COND_INTERSTICIAL[[#This Row],[Pn]],""))</f>
        <v>#DIV/0!</v>
      </c>
      <c r="ED28" s="115" t="e">
        <f ca="1">COND_INTERSTICIAL[[#This Row],[Mes]]&amp;"-"&amp;COND_INTERSTICIAL[[#This Row],[Sección]]&amp;"-"&amp;COND_INTERSTICIAL[[#This Row],[tramo gráf]]</f>
        <v>#DIV/0!</v>
      </c>
      <c r="EE28" s="114" t="e" cm="1">
        <f t="array" aca="1" ref="EE28" ca="1">IF(COND_INTERSTICIAL[[#This Row],[Capa]]=1,IF(COND_INTERSTICIAL[[#This Row],[agua líquida]],2,1),IF(COND_INTERSTICIAL[[#This Row],[agua líquida]],1,0)+INDIRECT(ADDRESS(ROW()-1,COLUMN(),4)))</f>
        <v>#DIV/0!</v>
      </c>
      <c r="EF28" s="114" t="e" cm="1">
        <f t="array" aca="1" ref="EF28" ca="1">IF(COND_INTERSTICIAL[[#This Row],[tramo gráf]]=1,0,IF((COND_INTERSTICIAL[[#This Row],[tramo gráf]]&gt;INDIRECT(ADDRESS(ROW()-1,COLUMN(COND_INTERSTICIAL[[#This Row],[tramo gráf]]),4)))+COND_INTERSTICIAL[[#This Row],[agua líquida]],COND_INTERSTICIAL[[#This Row],[Capa]],INDIRECT(ADDRESS(ROW()-1,COLUMN(),4))))</f>
        <v>#DIV/0!</v>
      </c>
      <c r="EG28" s="114" t="e" cm="1">
        <f t="array" aca="1" ref="EG28" ca="1">IF((COND_INTERSTICIAL[[#This Row],[Capa]]=N_capas)+(COND_INTERSTICIAL[[#This Row],[tramo gráf]]=COUNTIFS(COND_INTERSTICIAL[agua líquida],TRUE,COND_INTERSTICIAL[Mes],CW28,COND_INTERSTICIAL[Sección],CX28)+1),N_capas,INDEX(COND_INTERSTICIAL[capa lím inf gráf],MATCH(COND_INTERSTICIAL[[#This Row],[Mes]]&amp;"-"&amp;COND_INTERSTICIAL[[#This Row],[Sección]]&amp;"-"&amp;(COND_INTERSTICIAL[[#This Row],[tramo gráf]]+1),COND_INTERSTICIAL[llave tramo gráf],0)))</f>
        <v>#DIV/0!</v>
      </c>
      <c r="EH28" s="114" cm="1">
        <f t="array" aca="1" ref="EH2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8" s="116" t="e" cm="1">
        <f t="array" aca="1" ref="EI2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8">
        <f t="shared" si="0"/>
        <v>7</v>
      </c>
      <c r="EM28">
        <f t="shared" si="1"/>
        <v>1</v>
      </c>
      <c r="EN28">
        <f>ROW()-ROW(INDEX(COND_INTERSTICIAL_GRÁF[],1,1))</f>
        <v>3</v>
      </c>
      <c r="EO28" t="str">
        <f>COND_INTERSTICIAL_GRÁF[[#This Row],[Mes]]&amp;"-"&amp;COND_INTERSTICIAL_GRÁF[[#This Row],[Sección]]&amp;"-"&amp;COND_INTERSTICIAL_GRÁF[[#This Row],[Capa]]</f>
        <v>7-1-3</v>
      </c>
      <c r="EP28" t="str">
        <f>"Capa "&amp;COND_INTERSTICIAL_GRÁF[[#This Row],[Capa]]&amp;": "&amp;IFERROR(INDEX(SECCIONES_CAPAS[Abreviatura],MATCH(COND_INTERSTICIAL_GRÁF[[#This Row],[Sección]]&amp;"-"&amp;COND_INTERSTICIAL_GRÁF[[#This Row],[Capa]],SECCIONES_CAPAS[llave],0)),"")</f>
        <v>Capa 3: Capa 3</v>
      </c>
      <c r="EQ28">
        <f>IFERROR(IF(COND_INTERSTICIAL_GRÁF[[#This Row],[Capa]]=0,0,INDEX(SECCIONES_CAPAS[d],MATCH(COND_INTERSTICIAL_GRÁF[[#This Row],[Sección]]&amp;"-"&amp;COND_INTERSTICIAL_GRÁF[[#This Row],[Capa]],SECCIONES_CAPAS[llave],0))),NA())</f>
        <v>0</v>
      </c>
      <c r="ER28">
        <f>IFERROR(IF(COND_INTERSTICIAL_GRÁF[[#This Row],[Capa]]=0,0,INDEX(SECCIONES_CAPAS[d''],MATCH(COND_INTERSTICIAL_GRÁF[[#This Row],[Sección]]&amp;"-"&amp;COND_INTERSTICIAL_GRÁF[[#This Row],[Capa]],SECCIONES_CAPAS[llave],0))),NA())</f>
        <v>0</v>
      </c>
      <c r="ES28" s="377" t="e" cm="1">
        <f t="array" ref="ES28">COND_INTERSTICIAL_GRÁF[[#This Row],[d'']]/INDEX(SECCIONES[d''],COND_INTERSTICIAL_GRÁF[[#This Row],[Sección]])</f>
        <v>#DIV/0!</v>
      </c>
      <c r="ET28" cm="1">
        <f t="array" aca="1" ref="ET28" ca="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7.1470588235294112</v>
      </c>
      <c r="EU28" s="90" t="e" cm="1">
        <f t="array" aca="1" ref="EU28" ca="1">IFERROR(IF(capa_interior_μ_inf,NA(),6.54+14.526*LN(COND_INTERSTICIAL_GRÁF[[#This Row],[Pn]]/1000)+0.7389*LN(COND_INTERSTICIAL_GRÁF[[#This Row],[Pn]]/1000)^2+0.09486*LN(COND_INTERSTICIAL_GRÁF[[#This Row],[Pn]]/1000)^3+0.4569*(COND_INTERSTICIAL_GRÁF[[#This Row],[Pn]]/1000)^0.1984),NA())</f>
        <v>#N/A</v>
      </c>
      <c r="EV28">
        <f>IFERROR(IF(COND_INTERSTICIAL_GRÁF[[#This Row],[Capa]]=0,0,INDEX(COND_INTERSTICIAL[Sd],MATCH(COND_INTERSTICIAL_GRÁF[[#This Row],[llave capa]],COND_INTERSTICIAL[llave capa],0))),NA())</f>
        <v>0</v>
      </c>
      <c r="EW28" s="90">
        <f ca="1">IFERROR(IF(COND_INTERSTICIAL_GRÁF[[#This Row],[Capa]]=0,0,INDEX(COND_INTERSTICIAL[S''d],MATCH(COND_INTERSTICIAL_GRÁF[[#This Row],[llave capa]],COND_INTERSTICIAL[llave capa],0))),NA())</f>
        <v>0</v>
      </c>
      <c r="EX28" s="377" t="e" cm="1">
        <f t="array" aca="1" ref="EX28" ca="1">COND_INTERSTICIAL_GRÁF[[#This Row],[S''d]]/INDEX(SECCIONES[SdT],Gráf_sección)</f>
        <v>#DIV/0!</v>
      </c>
      <c r="EY28" s="90" cm="1">
        <f t="array" aca="1" ref="EY28" ca="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1011.4936324284752</v>
      </c>
      <c r="EZ28" s="107">
        <f ca="1">IFERROR(INDEX(COND_INTERSTICIAL[Ma],MATCH(COND_INTERSTICIAL_GRÁF[[#This Row],[llave capa]],COND_INTERSTICIAL[llave capa],0)),0)</f>
        <v>0</v>
      </c>
      <c r="FA28" s="90" t="b">
        <f ca="1">IF(COND_INTERSTICIAL_GRÁF[[#This Row],[Ma]]&gt;0,TRUE,FALSE)</f>
        <v>0</v>
      </c>
      <c r="FB28" s="90" t="str">
        <f>"Interfaz "&amp;COND_INTERSTICIAL_GRÁF[[#This Row],[Capa]]</f>
        <v>Interfaz 3</v>
      </c>
      <c r="FC28" s="90" t="e">
        <f ca="1">IF(COND_INTERSTICIAL_GRÁF[[#This Row],[agua líquida]],COND_INTERSTICIAL_GRÁF[[#This Row],[Psat]],NA())</f>
        <v>#N/A</v>
      </c>
      <c r="FD28" s="90" t="e" cm="1">
        <f t="array" aca="1" ref="FD28" ca="1">IFERROR(IF(COND_INTERSTICIAL_GRÁF[[#This Row],[Capa]]=0,INDEX(CLIMA[Pe],COND_INTERSTICIAL_GRÁF[[#This Row],[Mes]]),INDEX(COND_INTERSTICIAL[Pn],MATCH(COND_INTERSTICIAL_GRÁF[[#This Row],[llave capa]],COND_INTERSTICIAL[llave capa],0))),NA())</f>
        <v>#N/A</v>
      </c>
      <c r="FE28" s="90" t="e" cm="1">
        <f t="array" aca="1" ref="FE28" ca="1">IFERROR(IF(capa_interior_μ_inf,NA(),IF(COND_INTERSTICIAL_GRÁF[[#This Row],[Capa]]=0,INDEX(CLIMA[Pe],COND_INTERSTICIAL_GRÁF[[#This Row],[Mes]]),INDEX(COND_INTERSTICIAL[Pn gráf],MATCH(COND_INTERSTICIAL_GRÁF[[#This Row],[llave capa]],COND_INTERSTICIAL[llave capa],0)))),NA())</f>
        <v>#N/A</v>
      </c>
      <c r="FG28">
        <v>1</v>
      </c>
      <c r="FH28">
        <v>4</v>
      </c>
      <c r="FI28" t="str">
        <f>Tabla43[[#This Row],[Columna1]]&amp;"-"&amp;Tabla43[[#This Row],[Columna2]]</f>
        <v>1-4</v>
      </c>
      <c r="FJ28" t="e">
        <f ca="1">INDEX(COND_INTERSTICIAL[Ma],MATCH(FJ$24&amp;"-"&amp;Tabla43[[#This Row],[Columna15]],COND_INTERSTICIAL[llave capa],0))</f>
        <v>#DIV/0!</v>
      </c>
      <c r="FK28" t="e">
        <f ca="1">INDEX(COND_INTERSTICIAL[Ma],MATCH(FK$24&amp;"-"&amp;Tabla43[[#This Row],[Columna15]],COND_INTERSTICIAL[llave capa],0))</f>
        <v>#N/A</v>
      </c>
      <c r="FL28" t="e">
        <f ca="1">INDEX(COND_INTERSTICIAL[Ma],MATCH(FL$24&amp;"-"&amp;Tabla43[[#This Row],[Columna15]],COND_INTERSTICIAL[llave capa],0))</f>
        <v>#N/A</v>
      </c>
      <c r="FM28" t="e">
        <f ca="1">INDEX(COND_INTERSTICIAL[Ma],MATCH(FM$24&amp;"-"&amp;Tabla43[[#This Row],[Columna15]],COND_INTERSTICIAL[llave capa],0))</f>
        <v>#N/A</v>
      </c>
      <c r="FN28" t="e">
        <f ca="1">INDEX(COND_INTERSTICIAL[Ma],MATCH(FN$24&amp;"-"&amp;Tabla43[[#This Row],[Columna15]],COND_INTERSTICIAL[llave capa],0))</f>
        <v>#N/A</v>
      </c>
      <c r="FO28" t="e">
        <f ca="1">INDEX(COND_INTERSTICIAL[Ma],MATCH(FO$24&amp;"-"&amp;Tabla43[[#This Row],[Columna15]],COND_INTERSTICIAL[llave capa],0))</f>
        <v>#N/A</v>
      </c>
      <c r="FP28" t="e">
        <f ca="1">INDEX(COND_INTERSTICIAL[Ma],MATCH(FP$24&amp;"-"&amp;Tabla43[[#This Row],[Columna15]],COND_INTERSTICIAL[llave capa],0))</f>
        <v>#N/A</v>
      </c>
      <c r="FQ28" t="e">
        <f ca="1">INDEX(COND_INTERSTICIAL[Ma],MATCH(FQ$24&amp;"-"&amp;Tabla43[[#This Row],[Columna15]],COND_INTERSTICIAL[llave capa],0))</f>
        <v>#N/A</v>
      </c>
      <c r="FR28" t="e">
        <f ca="1">INDEX(COND_INTERSTICIAL[Ma],MATCH(FR$24&amp;"-"&amp;Tabla43[[#This Row],[Columna15]],COND_INTERSTICIAL[llave capa],0))</f>
        <v>#N/A</v>
      </c>
      <c r="FS28" t="e">
        <f ca="1">INDEX(COND_INTERSTICIAL[Ma],MATCH(FS$24&amp;"-"&amp;Tabla43[[#This Row],[Columna15]],COND_INTERSTICIAL[llave capa],0))</f>
        <v>#N/A</v>
      </c>
      <c r="FT28" t="e">
        <f ca="1">INDEX(COND_INTERSTICIAL[Ma],MATCH(FT$24&amp;"-"&amp;Tabla43[[#This Row],[Columna15]],COND_INTERSTICIAL[llave capa],0))</f>
        <v>#N/A</v>
      </c>
      <c r="FU28" t="e">
        <f ca="1">INDEX(COND_INTERSTICIAL[Ma],MATCH(FU$24&amp;"-"&amp;Tabla43[[#This Row],[Columna15]],COND_INTERSTICIAL[llave capa],0))</f>
        <v>#N/A</v>
      </c>
      <c r="FX28" t="s">
        <v>239</v>
      </c>
      <c r="FY28" s="47">
        <f>Método_temp_interior</f>
        <v>2</v>
      </c>
      <c r="GD28" s="11" t="s">
        <v>243</v>
      </c>
      <c r="GE28">
        <f>Anexo!$R$6</f>
        <v>4.2</v>
      </c>
      <c r="GF28" t="s">
        <v>135</v>
      </c>
      <c r="GH28" s="12"/>
    </row>
    <row r="29" spans="2:195" x14ac:dyDescent="0.45">
      <c r="B29" cm="1">
        <f t="array" ref="B29">ROUNDUP((ROW()-ROW(INDEX(SECCIONES_CAPAS[],1,1))+1)/N_capas,0)</f>
        <v>2</v>
      </c>
      <c r="C29" cm="1">
        <f t="array" ref="C29">(ROW()-ROW(INDEX(SECCIONES_CAPAS[],1,1))+1)-(SECCIONES_CAPAS[[#This Row],[Sección]]-1)*N_capas</f>
        <v>7</v>
      </c>
      <c r="D29" t="str">
        <f>SECCIONES_CAPAS[[#This Row],[Sección]]&amp;"-"&amp;SECCIONES_CAPAS[[#This Row],[Capa]]</f>
        <v>2-7</v>
      </c>
      <c r="E29" cm="1">
        <f t="array" ref="E29">INDEX(DATOS[],2+SECCIONES_CAPAS[[#This Row],[Capa]],2+SECCIONES_CAPAS[[#This Row],[Sección]])</f>
        <v>0</v>
      </c>
      <c r="F29" t="str">
        <f>IFERROR(INDEX(MATERIALES[Abreviatura],MATCH(SECCIONES_CAPAS[[#This Row],[Material nombre largo]],MATERIALES[Nombre largo],0)),"Capa "&amp;SECCIONES_CAPAS[[#This Row],[Capa]])</f>
        <v>Capa 7</v>
      </c>
      <c r="G29" t="e">
        <f>INDEX(MATERIALES[Biblioteca],MATCH(SECCIONES_CAPAS[[#This Row],[Material nombre largo]],MATERIALES[Nombre largo],0))</f>
        <v>#N/A</v>
      </c>
      <c r="H29" t="e">
        <f>INDEX(MATERIALES[Material],MATCH(SECCIONES_CAPAS[[#This Row],[Material nombre largo]],MATERIALES[Nombre largo],0))</f>
        <v>#N/A</v>
      </c>
      <c r="I29" t="str">
        <f>SECCIONES_CAPAS[[#This Row],[Abreviatura]]&amp;" "&amp;SECCIONES_CAPAS[[#This Row],[d]]*1000&amp;" mm"</f>
        <v>Capa 7 0 mm</v>
      </c>
      <c r="J29" t="str" cm="1">
        <f t="array" aca="1" ref="J29" ca="1">IF(SECCIONES_CAPAS[[#This Row],[Capa]]=1,SECCIONES_CAPAS[[#This Row],[descripción auto]],INDIRECT(ADDRESS(ROW()-1,COLUMN(),4))&amp;" + "&amp;SECCIONES_CAPAS[[#This Row],[descripción auto]])</f>
        <v>Capa 1 0 mm + Capa 2 0 mm + Capa 3 0 mm + Capa 4 0 mm + Capa 5 0 mm + Capa 6 0 mm + Capa 7 0 mm</v>
      </c>
      <c r="K29" t="str" cm="1">
        <f t="array" aca="1" ref="K29"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7</v>
      </c>
      <c r="L29" t="b">
        <f>IF(SECCIONES_CAPAS[[#This Row],[Material nombre largo]]=Aux!$H$29,TRUE,FALSE)</f>
        <v>0</v>
      </c>
      <c r="M29" t="b" cm="1">
        <f t="array" aca="1" ref="M29" ca="1">IFERROR(IF(SECCIONES_CAPAS[[#This Row],[Cámara aire no ventilada]]*INDIRECT(ADDRESS(ROW()+1,COLUMN(),4))+INDIRECT(ADDRESS(ROW()-1,COLUMN(SECCIONES_CAPAS[[#This Row],[Cámara aire no ventilada]]),4))*SECCIONES_CAPAS[[#This Row],[Cámara aire no ventilada]],TRUE,FALSE),FALSE)</f>
        <v>0</v>
      </c>
      <c r="O29" s="47" cm="1">
        <f t="array" ref="O29">IF(SECCIONES_CAPAS[[#This Row],[Material nombre largo]]=0,0,INDEX(CAPAS[d],SECCIONES_CAPAS[[#This Row],[Capa]]))</f>
        <v>0</v>
      </c>
      <c r="P29" s="47" t="e">
        <f>MATCH(INDEX(MATERIALES[Propiedad térmica],MATCH(SECCIONES_CAPAS[[#This Row],[Material nombre largo]],MATERIALES[Nombre largo],0)),Aux!$H$18:$H$19,0)</f>
        <v>#N/A</v>
      </c>
      <c r="Q29" s="47">
        <f>IF(ISERROR(SECCIONES_CAPAS[[#This Row],[índice prop térmica]]),1,0)</f>
        <v>1</v>
      </c>
      <c r="R29" s="373" cm="1">
        <f t="array" ref="R29">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9" s="373" t="b">
        <f>IF((SECCIONES_CAPAS[[#This Row],[λ]]&lt;0.1)*(SECCIONES_CAPAS[[#This Row],[λ]]&gt;0),TRUE,FALSE)</f>
        <v>0</v>
      </c>
      <c r="T29" s="47" cm="1">
        <f t="array" ref="T29">INDEX(SECCIONES[f],SECCIONES_CAPAS[[#This Row],[Sección]])*SECCIONES_CAPAS[[#This Row],[λ]]</f>
        <v>0</v>
      </c>
      <c r="U29" s="47" cm="1">
        <f t="array" ref="U29">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9" s="47">
        <f>IFERROR(INDEX(SECCIONES[f],MATCH(SECCIONES_CAPAS[[#This Row],[Sección]],SECCIONES[Sección m],0))/SECCIONES_CAPAS[[#This Row],[R]],0)</f>
        <v>0</v>
      </c>
      <c r="W29" s="47">
        <f>IF(SECCIONES_CAPAS[[#This Row],[Capa]]=1,SECCIONES_CAPAS[[#This Row],[d]],SECCIONES_CAPAS[[#This Row],[d]]+W28)</f>
        <v>0</v>
      </c>
      <c r="X29" s="374" cm="1">
        <f t="array" aca="1" ref="X29" ca="1">IF(SECCIONES_CAPAS[[#This Row],[Capa]]=1,IF(contacto_terreno,Resistencia_térmica_2m_tierra+SECCIONES_CAPAS[[#This Row],[R]],R_se+SECCIONES_CAPAS[[#This Row],[R]]),INDIRECT(ADDRESS(ROW()-1,COLUMN(),4))+SECCIONES_CAPAS[[#This Row],[R]])</f>
        <v>0.04</v>
      </c>
      <c r="Y29" s="47" t="e">
        <f>MATCH(INDEX(MATERIALES[Propiedad difusión de vapor],MATCH(SECCIONES_CAPAS[[#This Row],[Material nombre largo]],MATERIALES[Nombre largo],0)),Aux!$H$20:$H$27,0)</f>
        <v>#N/A</v>
      </c>
      <c r="Z29"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9" s="375" t="e">
        <f>IF(INDEX(MATERIALES[Valor propiedad difusión de vapor],MATCH(SECCIONES_CAPAS[[#This Row],[Material nombre largo]],MATERIALES[Nombre largo],0))=Aux!$C$112,TRUE,FALSE)</f>
        <v>#N/A</v>
      </c>
      <c r="AB29" s="373" cm="1">
        <f t="array" ref="AB29">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9" s="47" cm="1">
        <f t="array" aca="1" ref="AC29" ca="1">IF(SECCIONES_CAPAS[[#This Row],[Capa]]=1,SECCIONES_CAPAS[[#This Row],[Sd]],SECCIONES_CAPAS[[#This Row],[Sd]]+INDIRECT(ADDRESS(ROW()-1,COLUMN(),4)))</f>
        <v>0</v>
      </c>
      <c r="AD29" s="47">
        <f>IF(ISERROR(SECCIONES_CAPAS[[#This Row],[Sd]]),1,0)</f>
        <v>0</v>
      </c>
      <c r="AF29" s="11" t="s">
        <v>1482</v>
      </c>
      <c r="AG29" s="2" t="s">
        <v>1476</v>
      </c>
      <c r="AH29">
        <v>0.5</v>
      </c>
      <c r="AI29" s="12" t="s">
        <v>391</v>
      </c>
      <c r="BY29" s="11" t="s">
        <v>336</v>
      </c>
      <c r="BZ29" cm="1">
        <f t="array" ref="BZ29">INDEX(DATOS_REQUERIMIENTOS_TÉRMICOS[tipo clima NCh1973],param_emplazamiento_1)</f>
        <v>2</v>
      </c>
      <c r="CA29" s="12"/>
      <c r="CD29" s="1">
        <v>10</v>
      </c>
      <c r="CE29" s="90" cm="1">
        <f t="array" ref="CE29">INDEX(CLIMA[Pi],COND_SUPERFICIAL_CONDICIONES[[#This Row],[Mes]])/ϕsicr</f>
        <v>1647.1134324241689</v>
      </c>
      <c r="CF29"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9" s="36" t="e" cm="1">
        <f t="array" ref="CG29">(COND_SUPERFICIAL_CONDICIONES[[#This Row],[ϴsi_mín]]-INDEX(CLIMA[ϴe],COND_SUPERFICIAL_CONDICIONES[[#This Row],[Mes]]))/(INDEX(CLIMA[ϴi],COND_SUPERFICIAL_CONDICIONES[[#This Row],[Mes]])-INDEX(CLIMA[ϴe],COND_SUPERFICIAL_CONDICIONES[[#This Row],[Mes]]))</f>
        <v>#N/A</v>
      </c>
      <c r="CH29" s="36" t="e">
        <f>Rsi_condensación/(1-COND_SUPERFICIAL_CONDICIONES[[#This Row],[fRsi_mín]])</f>
        <v>#N/A</v>
      </c>
      <c r="CI29" s="6" t="e">
        <f>1/COND_SUPERFICIAL_CONDICIONES[[#This Row],[Rt_mín]]</f>
        <v>#N/A</v>
      </c>
      <c r="CK29" s="1" cm="1">
        <f t="array" ref="CK29">ROUNDUP((ROW()-$CN$18)/(N_secciones),0)</f>
        <v>5</v>
      </c>
      <c r="CL29" cm="1">
        <f t="array" ref="CL29">ROW()-ROW(INDEX(COND_SUPERFICIAL[],1,1))+1-(COND_SUPERFICIAL[[#This Row],[Mes]]-1)*N_secciones</f>
        <v>2</v>
      </c>
      <c r="CM29" s="1" t="str">
        <f>COND_SUPERFICIAL[[#This Row],[Mes]]&amp;"-"&amp;COND_SUPERFICIAL[[#This Row],[Sección]]</f>
        <v>5-2</v>
      </c>
      <c r="CN29" t="e" cm="1">
        <f t="array" ref="CN29">IF(INDEX(SECCIONES[Rtsección_condensación],COND_SUPERFICIAL[[#This Row],[Sección]])&lt;=INDEX(COND_SUPERFICIAL_CONDICIONES[Rt_mín],COND_SUPERFICIAL[[#This Row],[Mes]]),TRUE,FALSE)</f>
        <v>#N/A</v>
      </c>
      <c r="CP29" s="1" cm="1">
        <f t="array" ref="CP29">ROUNDUP((ROW()-$CN$18)/(N_secciones),0)</f>
        <v>5</v>
      </c>
      <c r="CQ29" s="1" cm="1">
        <f t="array" ref="CQ29">ROUNDUP((ROW()-$CN$18+(Mes_inicial_de_análisis-1)*N_secciones)/(N_secciones),0)-12*IF(ROW()-$CN$18&gt;(12-Mes_inicial_de_análisis+1)*N_secciones,1,0)</f>
        <v>11</v>
      </c>
      <c r="CR29" s="1" cm="1">
        <f t="array" ref="CR29">ROW()-$CN$18-(ROUNDUP((ROW()-$CN$18)/(N_secciones),0)-1)*N_secciones</f>
        <v>2</v>
      </c>
      <c r="CS29" s="107" t="str">
        <f>COND_INTERSTICIAL_AGUA_ACUMULADA[[#This Row],[orden]]&amp;"-"&amp;COND_INTERSTICIAL_AGUA_ACUMULADA[[#This Row],[Sección]]</f>
        <v>5-2</v>
      </c>
      <c r="CT29">
        <f ca="1">COUNTIFS(COND_INTERSTICIAL[agua líquida],TRUE,COND_INTERSTICIAL[Mes],COND_INTERSTICIAL_AGUA_ACUMULADA[[#This Row],[Mes]],COND_INTERSTICIAL[Sección],COND_INTERSTICIAL_AGUA_ACUMULADA[[#This Row],[Sección]])</f>
        <v>0</v>
      </c>
      <c r="CU29" s="107" t="e">
        <f ca="1">SUMIFS(COND_INTERSTICIAL[Ma],COND_INTERSTICIAL[Mes],COND_INTERSTICIAL_AGUA_ACUMULADA[[#This Row],[Mes]],COND_INTERSTICIAL[Sección],COND_INTERSTICIAL_AGUA_ACUMULADA[[#This Row],[Sección]])</f>
        <v>#N/A</v>
      </c>
      <c r="CW29" s="1" cm="1">
        <f t="array" ref="CW29">ROUNDUP((ROW()-$CN$18+(Mes_inicial_de_análisis-1)*N_capas*N_secciones)/(N_capas*N_secciones),0)-12*IF(ROW()-$CN$18&gt;(12-Mes_inicial_de_análisis+1)*N_capas*N_secciones,1,0)</f>
        <v>7</v>
      </c>
      <c r="CX29" cm="1">
        <f t="array" ref="CX29">ROUNDUP((ROW()-$CN$18)/N_capas-(ROUNDUP((ROW()-$CN$18)/(N_capas*N_secciones),0)-1)*N_secciones,0)</f>
        <v>2</v>
      </c>
      <c r="CY29" cm="1">
        <f t="array" ref="CY29">(ROW()-$CN$18)-(COND_INTERSTICIAL[[#This Row],[Sección]]-1)*N_capas-(ROUNDUP((ROW()-$CN$18)/(N_capas*N_secciones),0)-1)*N_capas*N_secciones</f>
        <v>3</v>
      </c>
      <c r="CZ29" t="str">
        <f>COND_INTERSTICIAL[[#This Row],[Mes]]&amp;"-"&amp;COND_INTERSTICIAL[[#This Row],[Sección]]&amp;"-"&amp;COND_INTERSTICIAL[[#This Row],[Capa]]</f>
        <v>7-2-3</v>
      </c>
      <c r="DA29">
        <f ca="1">INDEX(SECCIONES_CAPAS[R''n],MATCH(COND_INTERSTICIAL[[#This Row],[Sección]]&amp;"-"&amp;COND_INTERSTICIAL[[#This Row],[Capa]],SECCIONES_CAPAS[llave],0))</f>
        <v>0.04</v>
      </c>
      <c r="DB29" s="172" cm="1">
        <f t="array" aca="1" ref="DB29" ca="1">INDEX(CLIMA[ϴe],COND_INTERSTICIAL[[#This Row],[Mes]])+COND_INTERSTICIAL[[#This Row],[Rn]]*(INDEX(CLIMA[ϴi],COND_INTERSTICIAL[[#This Row],[Mes]])-INDEX(CLIMA[ϴe],COND_INTERSTICIAL[[#This Row],[Mes]]))/(INDEX(SECCIONES[Rtsección_condensación],COND_INTERSTICIAL[[#This Row],[Sección]]))</f>
        <v>7.1470588235294112</v>
      </c>
      <c r="DC29">
        <f>INDEX(SECCIONES_CAPAS[Sd],MATCH(COND_INTERSTICIAL[[#This Row],[Sección]]&amp;"-"&amp;COND_INTERSTICIAL[[#This Row],[Capa]],SECCIONES_CAPAS[llave],0))</f>
        <v>0</v>
      </c>
      <c r="DD29">
        <f ca="1">INDEX(SECCIONES_CAPAS[S''d],MATCH(COND_INTERSTICIAL[[#This Row],[Sección]]&amp;"-"&amp;COND_INTERSTICIAL[[#This Row],[Capa]],SECCIONES_CAPAS[llave],0))</f>
        <v>0</v>
      </c>
      <c r="DE29" s="90">
        <f ca="1">IF(COND_INTERSTICIAL[[#This Row],[ϴn]]&gt;=0,610.5*EXP((17.269*COND_INTERSTICIAL[[#This Row],[ϴn]])/(237.3+COND_INTERSTICIAL[[#This Row],[ϴn]])),610.5*EXP((21.875*COND_INTERSTICIAL[[#This Row],[ϴn]])/(265.5+COND_INTERSTICIAL[[#This Row],[ϴn]])))</f>
        <v>1011.4936324284752</v>
      </c>
      <c r="DF29" s="90" t="e" cm="1">
        <f t="array" aca="1" ref="DF29" ca="1">COND_INTERSTICIAL[[#This Row],[S''d]]*((INDEX(CLIMA[Pi],COND_INTERSTICIAL[[#This Row],[Mes]])-INDEX(CLIMA[Pe],COND_INTERSTICIAL[[#This Row],[Mes]]))/INDEX(SECCIONES[SdT],COND_INTERSTICIAL[[#This Row],[Sección]]))+INDEX(CLIMA[Pe],COND_INTERSTICIAL[[#This Row],[Mes]])</f>
        <v>#DIV/0!</v>
      </c>
      <c r="DG29" s="108" t="e">
        <f ca="1">IF((COND_INTERSTICIAL[[#This Row],[Pn]]&gt;=COND_INTERSTICIAL[[#This Row],[Psat]]),TRUE,FALSE)</f>
        <v>#DIV/0!</v>
      </c>
      <c r="DH29" s="109" t="e" cm="1">
        <f t="array" aca="1" ref="DH29" ca="1">IF(COND_INTERSTICIAL[[#This Row],[Condensa]],COND_INTERSTICIAL[[#This Row],[Psat]],IF(COND_INTERSTICIAL[[#This Row],[Capa]]=N_capas,COND_INTERSTICIAL[[#This Row],[Pn]],""))</f>
        <v>#DIV/0!</v>
      </c>
      <c r="DI29" s="109" t="e">
        <f ca="1">COND_INTERSTICIAL[[#This Row],[Mes]]&amp;"-"&amp;COND_INTERSTICIAL[[#This Row],[Sección]]&amp;"-"&amp;COND_INTERSTICIAL[[#This Row],[tramo cond]]</f>
        <v>#DIV/0!</v>
      </c>
      <c r="DJ29" t="e" cm="1">
        <f t="array" aca="1" ref="DJ29" ca="1">IF(COND_INTERSTICIAL[[#This Row],[Capa]]=1,IF(COND_INTERSTICIAL[[#This Row],[Condensa]],2,1),IF(COND_INTERSTICIAL[[#This Row],[Condensa]],1,0)+INDIRECT(ADDRESS(ROW()-1,COLUMN(),4)))</f>
        <v>#DIV/0!</v>
      </c>
      <c r="DK29" s="108" t="e" cm="1">
        <f t="array" aca="1" ref="DK29" ca="1">IF(COND_INTERSTICIAL[[#This Row],[tramo cond]]=1,0,IF((COND_INTERSTICIAL[[#This Row],[tramo cond]]&gt;INDIRECT(ADDRESS(ROW()-1,COLUMN(COND_INTERSTICIAL[[#This Row],[tramo cond]]),4)))+COND_INTERSTICIAL[[#This Row],[Condensa]],COND_INTERSTICIAL[[#This Row],[Capa]],INDIRECT(ADDRESS(ROW()-1,COLUMN(),4))))</f>
        <v>#DIV/0!</v>
      </c>
      <c r="DL29" s="108" t="e" cm="1">
        <f t="array" aca="1" ref="DL29" ca="1">IF((COND_INTERSTICIAL[[#This Row],[Capa]]=N_capas)+(COND_INTERSTICIAL[[#This Row],[tramo cond]]=COUNTIFS(COND_INTERSTICIAL[Condensa],TRUE,COND_INTERSTICIAL[Mes],CW29,COND_INTERSTICIAL[Sección],CX29)+1),N_capas,INDEX(COND_INTERSTICIAL[capa lím inf cond],MATCH(COND_INTERSTICIAL[[#This Row],[Mes]]&amp;"-"&amp;COND_INTERSTICIAL[[#This Row],[Sección]]&amp;"-"&amp;(COND_INTERSTICIAL[[#This Row],[tramo cond]]+1),COND_INTERSTICIAL[llave tramo cond],0)))</f>
        <v>#DIV/0!</v>
      </c>
      <c r="DM29" s="108" cm="1">
        <f t="array" aca="1" ref="DM2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9" s="110" t="e" cm="1">
        <f t="array" aca="1" ref="DN2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9"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9" s="107" t="e">
        <f ca="1">COND_INTERSTICIAL[[#This Row],[gc]]+COND_INTERSTICIAL[[#This Row],[Ma_anterior cond]]</f>
        <v>#DIV/0!</v>
      </c>
      <c r="DQ29" s="113" t="e">
        <f ca="1">IF((COND_INTERSTICIAL[[#This Row],[Ma_anterior cond]]&gt;0)*NOT(COND_INTERSTICIAL[[#This Row],[Condensa]]),TRUE,FALSE)</f>
        <v>#DIV/0!</v>
      </c>
      <c r="DR29" s="112" t="e" cm="1">
        <f t="array" aca="1" ref="DR29" ca="1">IF(COND_INTERSTICIAL[[#This Row],[evapora]],COND_INTERSTICIAL[[#This Row],[Psat]],IF(COND_INTERSTICIAL[[#This Row],[Capa]]=N_capas,COND_INTERSTICIAL[[#This Row],[Pn]],""))</f>
        <v>#DIV/0!</v>
      </c>
      <c r="DS29" s="112" t="e">
        <f ca="1">COND_INTERSTICIAL[[#This Row],[Mes]]&amp;"-"&amp;COND_INTERSTICIAL[[#This Row],[Sección]]&amp;"-"&amp;COND_INTERSTICIAL[[#This Row],[tramo ev]]</f>
        <v>#DIV/0!</v>
      </c>
      <c r="DT29" s="111" t="e" cm="1">
        <f t="array" aca="1" ref="DT29" ca="1">IF(COND_INTERSTICIAL[[#This Row],[Capa]]=1,IF(COND_INTERSTICIAL[[#This Row],[evapora]],2,1),IF(COND_INTERSTICIAL[[#This Row],[evapora]],1,0)+INDIRECT(ADDRESS(ROW()-1,COLUMN(),4)))</f>
        <v>#DIV/0!</v>
      </c>
      <c r="DU29" s="111" t="e" cm="1">
        <f t="array" aca="1" ref="DU29" ca="1">IF(COND_INTERSTICIAL[[#This Row],[tramo ev]]=1,0,IF((COND_INTERSTICIAL[[#This Row],[tramo ev]]&gt;INDIRECT(ADDRESS(ROW()-1,COLUMN(COND_INTERSTICIAL[[#This Row],[tramo ev]]),4)))+COND_INTERSTICIAL[[#This Row],[evapora]],COND_INTERSTICIAL[[#This Row],[Capa]],INDIRECT(ADDRESS(ROW()-1,COLUMN(),4))))</f>
        <v>#DIV/0!</v>
      </c>
      <c r="DV29" s="111" t="e" cm="1">
        <f t="array" aca="1" ref="DV29" ca="1">IF((COND_INTERSTICIAL[[#This Row],[Capa]]=N_capas)+(COND_INTERSTICIAL[[#This Row],[tramo ev]]=COUNTIFS(COND_INTERSTICIAL[evapora],TRUE,COND_INTERSTICIAL[Mes],CW29,COND_INTERSTICIAL[Sección],CX29)+1),N_capas,INDEX(COND_INTERSTICIAL[capa lím inf ev],MATCH(COND_INTERSTICIAL[[#This Row],[Mes]]&amp;"-"&amp;COND_INTERSTICIAL[[#This Row],[Sección]]&amp;"-"&amp;(COND_INTERSTICIAL[[#This Row],[tramo ev]]+1),COND_INTERSTICIAL[llave tramo ev],0)))</f>
        <v>#DIV/0!</v>
      </c>
      <c r="DW29" s="111" cm="1">
        <f t="array" aca="1" ref="DW2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9" s="113" t="e" cm="1">
        <f t="array" aca="1" ref="DX2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9"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9" s="113" t="e">
        <f ca="1">COND_INTERSTICIAL[[#This Row],[gev]]+COND_INTERSTICIAL[[#This Row],[Ma anterior ev]]</f>
        <v>#DIV/0!</v>
      </c>
      <c r="EA29" s="115" t="e">
        <f ca="1">IF(COND_INTERSTICIAL[[#This Row],[Ma cond]]+COND_INTERSTICIAL[[#This Row],[Ma ev]]&lt;=0,0,COND_INTERSTICIAL[[#This Row],[Ma cond]]+COND_INTERSTICIAL[[#This Row],[Ma ev]])</f>
        <v>#DIV/0!</v>
      </c>
      <c r="EB29" s="115" t="e">
        <f ca="1">IF(COND_INTERSTICIAL[[#This Row],[Ma]]&gt;0,TRUE,FALSE)</f>
        <v>#DIV/0!</v>
      </c>
      <c r="EC29" s="115" t="e" cm="1">
        <f t="array" aca="1" ref="EC29" ca="1">IF(COND_INTERSTICIAL[[#This Row],[agua líquida]],IF(COND_INTERSTICIAL[[#This Row],[Condensa]],COND_INTERSTICIAL[[#This Row],[P límite cond]],COND_INTERSTICIAL[[#This Row],[P límite ev]]),IF(COND_INTERSTICIAL[[#This Row],[Capa]]=N_capas,COND_INTERSTICIAL[[#This Row],[Pn]],""))</f>
        <v>#DIV/0!</v>
      </c>
      <c r="ED29" s="115" t="e">
        <f ca="1">COND_INTERSTICIAL[[#This Row],[Mes]]&amp;"-"&amp;COND_INTERSTICIAL[[#This Row],[Sección]]&amp;"-"&amp;COND_INTERSTICIAL[[#This Row],[tramo gráf]]</f>
        <v>#DIV/0!</v>
      </c>
      <c r="EE29" s="114" t="e" cm="1">
        <f t="array" aca="1" ref="EE29" ca="1">IF(COND_INTERSTICIAL[[#This Row],[Capa]]=1,IF(COND_INTERSTICIAL[[#This Row],[agua líquida]],2,1),IF(COND_INTERSTICIAL[[#This Row],[agua líquida]],1,0)+INDIRECT(ADDRESS(ROW()-1,COLUMN(),4)))</f>
        <v>#DIV/0!</v>
      </c>
      <c r="EF29" s="114" t="e" cm="1">
        <f t="array" aca="1" ref="EF29" ca="1">IF(COND_INTERSTICIAL[[#This Row],[tramo gráf]]=1,0,IF((COND_INTERSTICIAL[[#This Row],[tramo gráf]]&gt;INDIRECT(ADDRESS(ROW()-1,COLUMN(COND_INTERSTICIAL[[#This Row],[tramo gráf]]),4)))+COND_INTERSTICIAL[[#This Row],[agua líquida]],COND_INTERSTICIAL[[#This Row],[Capa]],INDIRECT(ADDRESS(ROW()-1,COLUMN(),4))))</f>
        <v>#DIV/0!</v>
      </c>
      <c r="EG29" s="114" t="e" cm="1">
        <f t="array" aca="1" ref="EG29" ca="1">IF((COND_INTERSTICIAL[[#This Row],[Capa]]=N_capas)+(COND_INTERSTICIAL[[#This Row],[tramo gráf]]=COUNTIFS(COND_INTERSTICIAL[agua líquida],TRUE,COND_INTERSTICIAL[Mes],CW29,COND_INTERSTICIAL[Sección],CX29)+1),N_capas,INDEX(COND_INTERSTICIAL[capa lím inf gráf],MATCH(COND_INTERSTICIAL[[#This Row],[Mes]]&amp;"-"&amp;COND_INTERSTICIAL[[#This Row],[Sección]]&amp;"-"&amp;(COND_INTERSTICIAL[[#This Row],[tramo gráf]]+1),COND_INTERSTICIAL[llave tramo gráf],0)))</f>
        <v>#DIV/0!</v>
      </c>
      <c r="EH29" s="114" cm="1">
        <f t="array" aca="1" ref="EH2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9" s="116" t="e" cm="1">
        <f t="array" aca="1" ref="EI2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9">
        <f t="shared" si="0"/>
        <v>7</v>
      </c>
      <c r="EM29">
        <f t="shared" si="1"/>
        <v>1</v>
      </c>
      <c r="EN29">
        <f>ROW()-ROW(INDEX(COND_INTERSTICIAL_GRÁF[],1,1))</f>
        <v>4</v>
      </c>
      <c r="EO29" t="str">
        <f>COND_INTERSTICIAL_GRÁF[[#This Row],[Mes]]&amp;"-"&amp;COND_INTERSTICIAL_GRÁF[[#This Row],[Sección]]&amp;"-"&amp;COND_INTERSTICIAL_GRÁF[[#This Row],[Capa]]</f>
        <v>7-1-4</v>
      </c>
      <c r="EP29" t="str">
        <f>"Capa "&amp;COND_INTERSTICIAL_GRÁF[[#This Row],[Capa]]&amp;": "&amp;IFERROR(INDEX(SECCIONES_CAPAS[Abreviatura],MATCH(COND_INTERSTICIAL_GRÁF[[#This Row],[Sección]]&amp;"-"&amp;COND_INTERSTICIAL_GRÁF[[#This Row],[Capa]],SECCIONES_CAPAS[llave],0)),"")</f>
        <v>Capa 4: Capa 4</v>
      </c>
      <c r="EQ29">
        <f>IFERROR(IF(COND_INTERSTICIAL_GRÁF[[#This Row],[Capa]]=0,0,INDEX(SECCIONES_CAPAS[d],MATCH(COND_INTERSTICIAL_GRÁF[[#This Row],[Sección]]&amp;"-"&amp;COND_INTERSTICIAL_GRÁF[[#This Row],[Capa]],SECCIONES_CAPAS[llave],0))),NA())</f>
        <v>0</v>
      </c>
      <c r="ER29">
        <f>IFERROR(IF(COND_INTERSTICIAL_GRÁF[[#This Row],[Capa]]=0,0,INDEX(SECCIONES_CAPAS[d''],MATCH(COND_INTERSTICIAL_GRÁF[[#This Row],[Sección]]&amp;"-"&amp;COND_INTERSTICIAL_GRÁF[[#This Row],[Capa]],SECCIONES_CAPAS[llave],0))),NA())</f>
        <v>0</v>
      </c>
      <c r="ES29" s="377" t="e" cm="1">
        <f t="array" ref="ES29">COND_INTERSTICIAL_GRÁF[[#This Row],[d'']]/INDEX(SECCIONES[d''],COND_INTERSTICIAL_GRÁF[[#This Row],[Sección]])</f>
        <v>#DIV/0!</v>
      </c>
      <c r="ET29" cm="1">
        <f t="array" aca="1" ref="ET29" ca="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7.1470588235294112</v>
      </c>
      <c r="EU29" s="90" t="e" cm="1">
        <f t="array" aca="1" ref="EU29" ca="1">IFERROR(IF(capa_interior_μ_inf,NA(),6.54+14.526*LN(COND_INTERSTICIAL_GRÁF[[#This Row],[Pn]]/1000)+0.7389*LN(COND_INTERSTICIAL_GRÁF[[#This Row],[Pn]]/1000)^2+0.09486*LN(COND_INTERSTICIAL_GRÁF[[#This Row],[Pn]]/1000)^3+0.4569*(COND_INTERSTICIAL_GRÁF[[#This Row],[Pn]]/1000)^0.1984),NA())</f>
        <v>#N/A</v>
      </c>
      <c r="EV29">
        <f>IFERROR(IF(COND_INTERSTICIAL_GRÁF[[#This Row],[Capa]]=0,0,INDEX(COND_INTERSTICIAL[Sd],MATCH(COND_INTERSTICIAL_GRÁF[[#This Row],[llave capa]],COND_INTERSTICIAL[llave capa],0))),NA())</f>
        <v>0</v>
      </c>
      <c r="EW29" s="90">
        <f ca="1">IFERROR(IF(COND_INTERSTICIAL_GRÁF[[#This Row],[Capa]]=0,0,INDEX(COND_INTERSTICIAL[S''d],MATCH(COND_INTERSTICIAL_GRÁF[[#This Row],[llave capa]],COND_INTERSTICIAL[llave capa],0))),NA())</f>
        <v>0</v>
      </c>
      <c r="EX29" s="377" t="e" cm="1">
        <f t="array" aca="1" ref="EX29" ca="1">COND_INTERSTICIAL_GRÁF[[#This Row],[S''d]]/INDEX(SECCIONES[SdT],Gráf_sección)</f>
        <v>#DIV/0!</v>
      </c>
      <c r="EY29" s="90" cm="1">
        <f t="array" aca="1" ref="EY29" ca="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1011.4936324284752</v>
      </c>
      <c r="EZ29" s="107">
        <f ca="1">IFERROR(INDEX(COND_INTERSTICIAL[Ma],MATCH(COND_INTERSTICIAL_GRÁF[[#This Row],[llave capa]],COND_INTERSTICIAL[llave capa],0)),0)</f>
        <v>0</v>
      </c>
      <c r="FA29" s="90" t="b">
        <f ca="1">IF(COND_INTERSTICIAL_GRÁF[[#This Row],[Ma]]&gt;0,TRUE,FALSE)</f>
        <v>0</v>
      </c>
      <c r="FB29" s="90" t="str">
        <f>"Interfaz "&amp;COND_INTERSTICIAL_GRÁF[[#This Row],[Capa]]</f>
        <v>Interfaz 4</v>
      </c>
      <c r="FC29" s="90" t="e">
        <f ca="1">IF(COND_INTERSTICIAL_GRÁF[[#This Row],[agua líquida]],COND_INTERSTICIAL_GRÁF[[#This Row],[Psat]],NA())</f>
        <v>#N/A</v>
      </c>
      <c r="FD29" s="90" t="e" cm="1">
        <f t="array" aca="1" ref="FD29" ca="1">IFERROR(IF(COND_INTERSTICIAL_GRÁF[[#This Row],[Capa]]=0,INDEX(CLIMA[Pe],COND_INTERSTICIAL_GRÁF[[#This Row],[Mes]]),INDEX(COND_INTERSTICIAL[Pn],MATCH(COND_INTERSTICIAL_GRÁF[[#This Row],[llave capa]],COND_INTERSTICIAL[llave capa],0))),NA())</f>
        <v>#N/A</v>
      </c>
      <c r="FE29" s="90" t="e" cm="1">
        <f t="array" aca="1" ref="FE29" ca="1">IFERROR(IF(capa_interior_μ_inf,NA(),IF(COND_INTERSTICIAL_GRÁF[[#This Row],[Capa]]=0,INDEX(CLIMA[Pe],COND_INTERSTICIAL_GRÁF[[#This Row],[Mes]]),INDEX(COND_INTERSTICIAL[Pn gráf],MATCH(COND_INTERSTICIAL_GRÁF[[#This Row],[llave capa]],COND_INTERSTICIAL[llave capa],0)))),NA())</f>
        <v>#N/A</v>
      </c>
      <c r="FG29" s="89">
        <v>1</v>
      </c>
      <c r="FH29" s="89">
        <v>5</v>
      </c>
      <c r="FI29" s="89" t="str">
        <f>Tabla43[[#This Row],[Columna1]]&amp;"-"&amp;Tabla43[[#This Row],[Columna2]]</f>
        <v>1-5</v>
      </c>
      <c r="FJ29" s="89" t="e">
        <f ca="1">INDEX(COND_INTERSTICIAL[Ma],MATCH(FJ$24&amp;"-"&amp;Tabla43[[#This Row],[Columna15]],COND_INTERSTICIAL[llave capa],0))</f>
        <v>#DIV/0!</v>
      </c>
      <c r="FK29" s="89" t="e">
        <f ca="1">INDEX(COND_INTERSTICIAL[Ma],MATCH(FK$24&amp;"-"&amp;Tabla43[[#This Row],[Columna15]],COND_INTERSTICIAL[llave capa],0))</f>
        <v>#N/A</v>
      </c>
      <c r="FL29" s="89" t="e">
        <f ca="1">INDEX(COND_INTERSTICIAL[Ma],MATCH(FL$24&amp;"-"&amp;Tabla43[[#This Row],[Columna15]],COND_INTERSTICIAL[llave capa],0))</f>
        <v>#N/A</v>
      </c>
      <c r="FM29" s="89" t="e">
        <f ca="1">INDEX(COND_INTERSTICIAL[Ma],MATCH(FM$24&amp;"-"&amp;Tabla43[[#This Row],[Columna15]],COND_INTERSTICIAL[llave capa],0))</f>
        <v>#N/A</v>
      </c>
      <c r="FN29" s="89" t="e">
        <f ca="1">INDEX(COND_INTERSTICIAL[Ma],MATCH(FN$24&amp;"-"&amp;Tabla43[[#This Row],[Columna15]],COND_INTERSTICIAL[llave capa],0))</f>
        <v>#N/A</v>
      </c>
      <c r="FO29" s="89" t="e">
        <f ca="1">INDEX(COND_INTERSTICIAL[Ma],MATCH(FO$24&amp;"-"&amp;Tabla43[[#This Row],[Columna15]],COND_INTERSTICIAL[llave capa],0))</f>
        <v>#N/A</v>
      </c>
      <c r="FP29" s="89" t="e">
        <f ca="1">INDEX(COND_INTERSTICIAL[Ma],MATCH(FP$24&amp;"-"&amp;Tabla43[[#This Row],[Columna15]],COND_INTERSTICIAL[llave capa],0))</f>
        <v>#N/A</v>
      </c>
      <c r="FQ29" s="89" t="e">
        <f ca="1">INDEX(COND_INTERSTICIAL[Ma],MATCH(FQ$24&amp;"-"&amp;Tabla43[[#This Row],[Columna15]],COND_INTERSTICIAL[llave capa],0))</f>
        <v>#N/A</v>
      </c>
      <c r="FR29" s="89" t="e">
        <f ca="1">INDEX(COND_INTERSTICIAL[Ma],MATCH(FR$24&amp;"-"&amp;Tabla43[[#This Row],[Columna15]],COND_INTERSTICIAL[llave capa],0))</f>
        <v>#N/A</v>
      </c>
      <c r="FS29" s="89" t="e">
        <f ca="1">INDEX(COND_INTERSTICIAL[Ma],MATCH(FS$24&amp;"-"&amp;Tabla43[[#This Row],[Columna15]],COND_INTERSTICIAL[llave capa],0))</f>
        <v>#N/A</v>
      </c>
      <c r="FT29" s="89" t="e">
        <f ca="1">INDEX(COND_INTERSTICIAL[Ma],MATCH(FT$24&amp;"-"&amp;Tabla43[[#This Row],[Columna15]],COND_INTERSTICIAL[llave capa],0))</f>
        <v>#N/A</v>
      </c>
      <c r="FU29" s="89" t="e">
        <f ca="1">INDEX(COND_INTERSTICIAL[Ma],MATCH(FU$24&amp;"-"&amp;Tabla43[[#This Row],[Columna15]],COND_INTERSTICIAL[llave capa],0))</f>
        <v>#N/A</v>
      </c>
      <c r="FX29" t="s">
        <v>242</v>
      </c>
      <c r="FY29" s="47">
        <f>Método_hr_interior</f>
        <v>3</v>
      </c>
      <c r="GD29" s="11" t="s">
        <v>246</v>
      </c>
      <c r="GE29">
        <f>Anexo!$R$7</f>
        <v>2.4</v>
      </c>
      <c r="GF29" t="s">
        <v>135</v>
      </c>
      <c r="GH29" s="12"/>
    </row>
    <row r="30" spans="2:195" ht="14.65" thickBot="1" x14ac:dyDescent="0.5">
      <c r="AF30" s="11" t="s">
        <v>1479</v>
      </c>
      <c r="AG30" s="2" t="s">
        <v>1478</v>
      </c>
      <c r="AH30">
        <v>0</v>
      </c>
      <c r="AI30" s="12" t="s">
        <v>100</v>
      </c>
      <c r="BY30" s="11" t="s">
        <v>338</v>
      </c>
      <c r="BZ30">
        <v>2</v>
      </c>
      <c r="CA30" s="12"/>
      <c r="CD30" s="191">
        <v>11</v>
      </c>
      <c r="CE30" s="90" cm="1">
        <f t="array" ref="CE30">INDEX(CLIMA[Pi],COND_SUPERFICIAL_CONDICIONES[[#This Row],[Mes]])/ϕsicr</f>
        <v>1647.1134324241689</v>
      </c>
      <c r="CF30"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30" s="36" t="e" cm="1">
        <f t="array" ref="CG30">(COND_SUPERFICIAL_CONDICIONES[[#This Row],[ϴsi_mín]]-INDEX(CLIMA[ϴe],COND_SUPERFICIAL_CONDICIONES[[#This Row],[Mes]]))/(INDEX(CLIMA[ϴi],COND_SUPERFICIAL_CONDICIONES[[#This Row],[Mes]])-INDEX(CLIMA[ϴe],COND_SUPERFICIAL_CONDICIONES[[#This Row],[Mes]]))</f>
        <v>#N/A</v>
      </c>
      <c r="CH30" s="36" t="e">
        <f>Rsi_condensación/(1-COND_SUPERFICIAL_CONDICIONES[[#This Row],[fRsi_mín]])</f>
        <v>#N/A</v>
      </c>
      <c r="CI30" s="6" t="e">
        <f>1/COND_SUPERFICIAL_CONDICIONES[[#This Row],[Rt_mín]]</f>
        <v>#N/A</v>
      </c>
      <c r="CK30" s="1" cm="1">
        <f t="array" ref="CK30">ROUNDUP((ROW()-$CN$18)/(N_secciones),0)</f>
        <v>6</v>
      </c>
      <c r="CL30" cm="1">
        <f t="array" ref="CL30">ROW()-ROW(INDEX(COND_SUPERFICIAL[],1,1))+1-(COND_SUPERFICIAL[[#This Row],[Mes]]-1)*N_secciones</f>
        <v>1</v>
      </c>
      <c r="CM30" s="1" t="str">
        <f>COND_SUPERFICIAL[[#This Row],[Mes]]&amp;"-"&amp;COND_SUPERFICIAL[[#This Row],[Sección]]</f>
        <v>6-1</v>
      </c>
      <c r="CN30" t="e" cm="1">
        <f t="array" ref="CN30">IF(INDEX(SECCIONES[Rtsección_condensación],COND_SUPERFICIAL[[#This Row],[Sección]])&lt;=INDEX(COND_SUPERFICIAL_CONDICIONES[Rt_mín],COND_SUPERFICIAL[[#This Row],[Mes]]),TRUE,FALSE)</f>
        <v>#N/A</v>
      </c>
      <c r="CP30" s="1" cm="1">
        <f t="array" ref="CP30">ROUNDUP((ROW()-$CN$18)/(N_secciones),0)</f>
        <v>6</v>
      </c>
      <c r="CQ30" s="1" cm="1">
        <f t="array" ref="CQ30">ROUNDUP((ROW()-$CN$18+(Mes_inicial_de_análisis-1)*N_secciones)/(N_secciones),0)-12*IF(ROW()-$CN$18&gt;(12-Mes_inicial_de_análisis+1)*N_secciones,1,0)</f>
        <v>12</v>
      </c>
      <c r="CR30" s="1" cm="1">
        <f t="array" ref="CR30">ROW()-$CN$18-(ROUNDUP((ROW()-$CN$18)/(N_secciones),0)-1)*N_secciones</f>
        <v>1</v>
      </c>
      <c r="CS30" s="107" t="str">
        <f>COND_INTERSTICIAL_AGUA_ACUMULADA[[#This Row],[orden]]&amp;"-"&amp;COND_INTERSTICIAL_AGUA_ACUMULADA[[#This Row],[Sección]]</f>
        <v>6-1</v>
      </c>
      <c r="CT30">
        <f ca="1">COUNTIFS(COND_INTERSTICIAL[agua líquida],TRUE,COND_INTERSTICIAL[Mes],COND_INTERSTICIAL_AGUA_ACUMULADA[[#This Row],[Mes]],COND_INTERSTICIAL[Sección],COND_INTERSTICIAL_AGUA_ACUMULADA[[#This Row],[Sección]])</f>
        <v>0</v>
      </c>
      <c r="CU30" s="107" t="e">
        <f ca="1">SUMIFS(COND_INTERSTICIAL[Ma],COND_INTERSTICIAL[Mes],COND_INTERSTICIAL_AGUA_ACUMULADA[[#This Row],[Mes]],COND_INTERSTICIAL[Sección],COND_INTERSTICIAL_AGUA_ACUMULADA[[#This Row],[Sección]])</f>
        <v>#N/A</v>
      </c>
      <c r="CW30" s="1" cm="1">
        <f t="array" ref="CW30">ROUNDUP((ROW()-$CN$18+(Mes_inicial_de_análisis-1)*N_capas*N_secciones)/(N_capas*N_secciones),0)-12*IF(ROW()-$CN$18&gt;(12-Mes_inicial_de_análisis+1)*N_capas*N_secciones,1,0)</f>
        <v>7</v>
      </c>
      <c r="CX30" cm="1">
        <f t="array" ref="CX30">ROUNDUP((ROW()-$CN$18)/N_capas-(ROUNDUP((ROW()-$CN$18)/(N_capas*N_secciones),0)-1)*N_secciones,0)</f>
        <v>2</v>
      </c>
      <c r="CY30" cm="1">
        <f t="array" ref="CY30">(ROW()-$CN$18)-(COND_INTERSTICIAL[[#This Row],[Sección]]-1)*N_capas-(ROUNDUP((ROW()-$CN$18)/(N_capas*N_secciones),0)-1)*N_capas*N_secciones</f>
        <v>4</v>
      </c>
      <c r="CZ30" t="str">
        <f>COND_INTERSTICIAL[[#This Row],[Mes]]&amp;"-"&amp;COND_INTERSTICIAL[[#This Row],[Sección]]&amp;"-"&amp;COND_INTERSTICIAL[[#This Row],[Capa]]</f>
        <v>7-2-4</v>
      </c>
      <c r="DA30">
        <f ca="1">INDEX(SECCIONES_CAPAS[R''n],MATCH(COND_INTERSTICIAL[[#This Row],[Sección]]&amp;"-"&amp;COND_INTERSTICIAL[[#This Row],[Capa]],SECCIONES_CAPAS[llave],0))</f>
        <v>0.04</v>
      </c>
      <c r="DB30" s="172" cm="1">
        <f t="array" aca="1" ref="DB30" ca="1">INDEX(CLIMA[ϴe],COND_INTERSTICIAL[[#This Row],[Mes]])+COND_INTERSTICIAL[[#This Row],[Rn]]*(INDEX(CLIMA[ϴi],COND_INTERSTICIAL[[#This Row],[Mes]])-INDEX(CLIMA[ϴe],COND_INTERSTICIAL[[#This Row],[Mes]]))/(INDEX(SECCIONES[Rtsección_condensación],COND_INTERSTICIAL[[#This Row],[Sección]]))</f>
        <v>7.1470588235294112</v>
      </c>
      <c r="DC30">
        <f>INDEX(SECCIONES_CAPAS[Sd],MATCH(COND_INTERSTICIAL[[#This Row],[Sección]]&amp;"-"&amp;COND_INTERSTICIAL[[#This Row],[Capa]],SECCIONES_CAPAS[llave],0))</f>
        <v>0</v>
      </c>
      <c r="DD30">
        <f ca="1">INDEX(SECCIONES_CAPAS[S''d],MATCH(COND_INTERSTICIAL[[#This Row],[Sección]]&amp;"-"&amp;COND_INTERSTICIAL[[#This Row],[Capa]],SECCIONES_CAPAS[llave],0))</f>
        <v>0</v>
      </c>
      <c r="DE30" s="90">
        <f ca="1">IF(COND_INTERSTICIAL[[#This Row],[ϴn]]&gt;=0,610.5*EXP((17.269*COND_INTERSTICIAL[[#This Row],[ϴn]])/(237.3+COND_INTERSTICIAL[[#This Row],[ϴn]])),610.5*EXP((21.875*COND_INTERSTICIAL[[#This Row],[ϴn]])/(265.5+COND_INTERSTICIAL[[#This Row],[ϴn]])))</f>
        <v>1011.4936324284752</v>
      </c>
      <c r="DF30" s="90" t="e" cm="1">
        <f t="array" aca="1" ref="DF30" ca="1">COND_INTERSTICIAL[[#This Row],[S''d]]*((INDEX(CLIMA[Pi],COND_INTERSTICIAL[[#This Row],[Mes]])-INDEX(CLIMA[Pe],COND_INTERSTICIAL[[#This Row],[Mes]]))/INDEX(SECCIONES[SdT],COND_INTERSTICIAL[[#This Row],[Sección]]))+INDEX(CLIMA[Pe],COND_INTERSTICIAL[[#This Row],[Mes]])</f>
        <v>#DIV/0!</v>
      </c>
      <c r="DG30" s="108" t="e">
        <f ca="1">IF((COND_INTERSTICIAL[[#This Row],[Pn]]&gt;=COND_INTERSTICIAL[[#This Row],[Psat]]),TRUE,FALSE)</f>
        <v>#DIV/0!</v>
      </c>
      <c r="DH30" s="109" t="e" cm="1">
        <f t="array" aca="1" ref="DH30" ca="1">IF(COND_INTERSTICIAL[[#This Row],[Condensa]],COND_INTERSTICIAL[[#This Row],[Psat]],IF(COND_INTERSTICIAL[[#This Row],[Capa]]=N_capas,COND_INTERSTICIAL[[#This Row],[Pn]],""))</f>
        <v>#DIV/0!</v>
      </c>
      <c r="DI30" s="109" t="e">
        <f ca="1">COND_INTERSTICIAL[[#This Row],[Mes]]&amp;"-"&amp;COND_INTERSTICIAL[[#This Row],[Sección]]&amp;"-"&amp;COND_INTERSTICIAL[[#This Row],[tramo cond]]</f>
        <v>#DIV/0!</v>
      </c>
      <c r="DJ30" t="e" cm="1">
        <f t="array" aca="1" ref="DJ30" ca="1">IF(COND_INTERSTICIAL[[#This Row],[Capa]]=1,IF(COND_INTERSTICIAL[[#This Row],[Condensa]],2,1),IF(COND_INTERSTICIAL[[#This Row],[Condensa]],1,0)+INDIRECT(ADDRESS(ROW()-1,COLUMN(),4)))</f>
        <v>#DIV/0!</v>
      </c>
      <c r="DK30" s="108" t="e" cm="1">
        <f t="array" aca="1" ref="DK30" ca="1">IF(COND_INTERSTICIAL[[#This Row],[tramo cond]]=1,0,IF((COND_INTERSTICIAL[[#This Row],[tramo cond]]&gt;INDIRECT(ADDRESS(ROW()-1,COLUMN(COND_INTERSTICIAL[[#This Row],[tramo cond]]),4)))+COND_INTERSTICIAL[[#This Row],[Condensa]],COND_INTERSTICIAL[[#This Row],[Capa]],INDIRECT(ADDRESS(ROW()-1,COLUMN(),4))))</f>
        <v>#DIV/0!</v>
      </c>
      <c r="DL30" s="108" t="e" cm="1">
        <f t="array" aca="1" ref="DL30" ca="1">IF((COND_INTERSTICIAL[[#This Row],[Capa]]=N_capas)+(COND_INTERSTICIAL[[#This Row],[tramo cond]]=COUNTIFS(COND_INTERSTICIAL[Condensa],TRUE,COND_INTERSTICIAL[Mes],CW30,COND_INTERSTICIAL[Sección],CX30)+1),N_capas,INDEX(COND_INTERSTICIAL[capa lím inf cond],MATCH(COND_INTERSTICIAL[[#This Row],[Mes]]&amp;"-"&amp;COND_INTERSTICIAL[[#This Row],[Sección]]&amp;"-"&amp;(COND_INTERSTICIAL[[#This Row],[tramo cond]]+1),COND_INTERSTICIAL[llave tramo cond],0)))</f>
        <v>#DIV/0!</v>
      </c>
      <c r="DM30" s="108" cm="1">
        <f t="array" aca="1" ref="DM3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0" s="110" t="e" cm="1">
        <f t="array" aca="1" ref="DN3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30"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30" s="107" t="e">
        <f ca="1">COND_INTERSTICIAL[[#This Row],[gc]]+COND_INTERSTICIAL[[#This Row],[Ma_anterior cond]]</f>
        <v>#DIV/0!</v>
      </c>
      <c r="DQ30" s="113" t="e">
        <f ca="1">IF((COND_INTERSTICIAL[[#This Row],[Ma_anterior cond]]&gt;0)*NOT(COND_INTERSTICIAL[[#This Row],[Condensa]]),TRUE,FALSE)</f>
        <v>#DIV/0!</v>
      </c>
      <c r="DR30" s="112" t="e" cm="1">
        <f t="array" aca="1" ref="DR30" ca="1">IF(COND_INTERSTICIAL[[#This Row],[evapora]],COND_INTERSTICIAL[[#This Row],[Psat]],IF(COND_INTERSTICIAL[[#This Row],[Capa]]=N_capas,COND_INTERSTICIAL[[#This Row],[Pn]],""))</f>
        <v>#DIV/0!</v>
      </c>
      <c r="DS30" s="112" t="e">
        <f ca="1">COND_INTERSTICIAL[[#This Row],[Mes]]&amp;"-"&amp;COND_INTERSTICIAL[[#This Row],[Sección]]&amp;"-"&amp;COND_INTERSTICIAL[[#This Row],[tramo ev]]</f>
        <v>#DIV/0!</v>
      </c>
      <c r="DT30" s="111" t="e" cm="1">
        <f t="array" aca="1" ref="DT30" ca="1">IF(COND_INTERSTICIAL[[#This Row],[Capa]]=1,IF(COND_INTERSTICIAL[[#This Row],[evapora]],2,1),IF(COND_INTERSTICIAL[[#This Row],[evapora]],1,0)+INDIRECT(ADDRESS(ROW()-1,COLUMN(),4)))</f>
        <v>#DIV/0!</v>
      </c>
      <c r="DU30" s="111" t="e" cm="1">
        <f t="array" aca="1" ref="DU30" ca="1">IF(COND_INTERSTICIAL[[#This Row],[tramo ev]]=1,0,IF((COND_INTERSTICIAL[[#This Row],[tramo ev]]&gt;INDIRECT(ADDRESS(ROW()-1,COLUMN(COND_INTERSTICIAL[[#This Row],[tramo ev]]),4)))+COND_INTERSTICIAL[[#This Row],[evapora]],COND_INTERSTICIAL[[#This Row],[Capa]],INDIRECT(ADDRESS(ROW()-1,COLUMN(),4))))</f>
        <v>#DIV/0!</v>
      </c>
      <c r="DV30" s="111" t="e" cm="1">
        <f t="array" aca="1" ref="DV30" ca="1">IF((COND_INTERSTICIAL[[#This Row],[Capa]]=N_capas)+(COND_INTERSTICIAL[[#This Row],[tramo ev]]=COUNTIFS(COND_INTERSTICIAL[evapora],TRUE,COND_INTERSTICIAL[Mes],CW30,COND_INTERSTICIAL[Sección],CX30)+1),N_capas,INDEX(COND_INTERSTICIAL[capa lím inf ev],MATCH(COND_INTERSTICIAL[[#This Row],[Mes]]&amp;"-"&amp;COND_INTERSTICIAL[[#This Row],[Sección]]&amp;"-"&amp;(COND_INTERSTICIAL[[#This Row],[tramo ev]]+1),COND_INTERSTICIAL[llave tramo ev],0)))</f>
        <v>#DIV/0!</v>
      </c>
      <c r="DW30" s="111" cm="1">
        <f t="array" aca="1" ref="DW3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0" s="113" t="e" cm="1">
        <f t="array" aca="1" ref="DX3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0"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30" s="113" t="e">
        <f ca="1">COND_INTERSTICIAL[[#This Row],[gev]]+COND_INTERSTICIAL[[#This Row],[Ma anterior ev]]</f>
        <v>#DIV/0!</v>
      </c>
      <c r="EA30" s="115" t="e">
        <f ca="1">IF(COND_INTERSTICIAL[[#This Row],[Ma cond]]+COND_INTERSTICIAL[[#This Row],[Ma ev]]&lt;=0,0,COND_INTERSTICIAL[[#This Row],[Ma cond]]+COND_INTERSTICIAL[[#This Row],[Ma ev]])</f>
        <v>#DIV/0!</v>
      </c>
      <c r="EB30" s="115" t="e">
        <f ca="1">IF(COND_INTERSTICIAL[[#This Row],[Ma]]&gt;0,TRUE,FALSE)</f>
        <v>#DIV/0!</v>
      </c>
      <c r="EC30" s="115" t="e" cm="1">
        <f t="array" aca="1" ref="EC30" ca="1">IF(COND_INTERSTICIAL[[#This Row],[agua líquida]],IF(COND_INTERSTICIAL[[#This Row],[Condensa]],COND_INTERSTICIAL[[#This Row],[P límite cond]],COND_INTERSTICIAL[[#This Row],[P límite ev]]),IF(COND_INTERSTICIAL[[#This Row],[Capa]]=N_capas,COND_INTERSTICIAL[[#This Row],[Pn]],""))</f>
        <v>#DIV/0!</v>
      </c>
      <c r="ED30" s="115" t="e">
        <f ca="1">COND_INTERSTICIAL[[#This Row],[Mes]]&amp;"-"&amp;COND_INTERSTICIAL[[#This Row],[Sección]]&amp;"-"&amp;COND_INTERSTICIAL[[#This Row],[tramo gráf]]</f>
        <v>#DIV/0!</v>
      </c>
      <c r="EE30" s="114" t="e" cm="1">
        <f t="array" aca="1" ref="EE30" ca="1">IF(COND_INTERSTICIAL[[#This Row],[Capa]]=1,IF(COND_INTERSTICIAL[[#This Row],[agua líquida]],2,1),IF(COND_INTERSTICIAL[[#This Row],[agua líquida]],1,0)+INDIRECT(ADDRESS(ROW()-1,COLUMN(),4)))</f>
        <v>#DIV/0!</v>
      </c>
      <c r="EF30" s="114" t="e" cm="1">
        <f t="array" aca="1" ref="EF30" ca="1">IF(COND_INTERSTICIAL[[#This Row],[tramo gráf]]=1,0,IF((COND_INTERSTICIAL[[#This Row],[tramo gráf]]&gt;INDIRECT(ADDRESS(ROW()-1,COLUMN(COND_INTERSTICIAL[[#This Row],[tramo gráf]]),4)))+COND_INTERSTICIAL[[#This Row],[agua líquida]],COND_INTERSTICIAL[[#This Row],[Capa]],INDIRECT(ADDRESS(ROW()-1,COLUMN(),4))))</f>
        <v>#DIV/0!</v>
      </c>
      <c r="EG30" s="114" t="e" cm="1">
        <f t="array" aca="1" ref="EG30" ca="1">IF((COND_INTERSTICIAL[[#This Row],[Capa]]=N_capas)+(COND_INTERSTICIAL[[#This Row],[tramo gráf]]=COUNTIFS(COND_INTERSTICIAL[agua líquida],TRUE,COND_INTERSTICIAL[Mes],CW30,COND_INTERSTICIAL[Sección],CX30)+1),N_capas,INDEX(COND_INTERSTICIAL[capa lím inf gráf],MATCH(COND_INTERSTICIAL[[#This Row],[Mes]]&amp;"-"&amp;COND_INTERSTICIAL[[#This Row],[Sección]]&amp;"-"&amp;(COND_INTERSTICIAL[[#This Row],[tramo gráf]]+1),COND_INTERSTICIAL[llave tramo gráf],0)))</f>
        <v>#DIV/0!</v>
      </c>
      <c r="EH30" s="114" cm="1">
        <f t="array" aca="1" ref="EH3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0" s="116" t="e" cm="1">
        <f t="array" aca="1" ref="EI3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30">
        <f t="shared" si="0"/>
        <v>7</v>
      </c>
      <c r="EM30">
        <f t="shared" si="1"/>
        <v>1</v>
      </c>
      <c r="EN30">
        <f>ROW()-ROW(INDEX(COND_INTERSTICIAL_GRÁF[],1,1))</f>
        <v>5</v>
      </c>
      <c r="EO30" t="str">
        <f>COND_INTERSTICIAL_GRÁF[[#This Row],[Mes]]&amp;"-"&amp;COND_INTERSTICIAL_GRÁF[[#This Row],[Sección]]&amp;"-"&amp;COND_INTERSTICIAL_GRÁF[[#This Row],[Capa]]</f>
        <v>7-1-5</v>
      </c>
      <c r="EP30" t="str">
        <f>"Capa "&amp;COND_INTERSTICIAL_GRÁF[[#This Row],[Capa]]&amp;": "&amp;IFERROR(INDEX(SECCIONES_CAPAS[Abreviatura],MATCH(COND_INTERSTICIAL_GRÁF[[#This Row],[Sección]]&amp;"-"&amp;COND_INTERSTICIAL_GRÁF[[#This Row],[Capa]],SECCIONES_CAPAS[llave],0)),"")</f>
        <v>Capa 5: Capa 5</v>
      </c>
      <c r="EQ30">
        <f>IFERROR(IF(COND_INTERSTICIAL_GRÁF[[#This Row],[Capa]]=0,0,INDEX(SECCIONES_CAPAS[d],MATCH(COND_INTERSTICIAL_GRÁF[[#This Row],[Sección]]&amp;"-"&amp;COND_INTERSTICIAL_GRÁF[[#This Row],[Capa]],SECCIONES_CAPAS[llave],0))),NA())</f>
        <v>0</v>
      </c>
      <c r="ER30">
        <f>IFERROR(IF(COND_INTERSTICIAL_GRÁF[[#This Row],[Capa]]=0,0,INDEX(SECCIONES_CAPAS[d''],MATCH(COND_INTERSTICIAL_GRÁF[[#This Row],[Sección]]&amp;"-"&amp;COND_INTERSTICIAL_GRÁF[[#This Row],[Capa]],SECCIONES_CAPAS[llave],0))),NA())</f>
        <v>0</v>
      </c>
      <c r="ES30" s="377" t="e" cm="1">
        <f t="array" ref="ES30">COND_INTERSTICIAL_GRÁF[[#This Row],[d'']]/INDEX(SECCIONES[d''],COND_INTERSTICIAL_GRÁF[[#This Row],[Sección]])</f>
        <v>#DIV/0!</v>
      </c>
      <c r="ET30" cm="1">
        <f t="array" aca="1" ref="ET30" ca="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7.1470588235294112</v>
      </c>
      <c r="EU30" s="90" t="e" cm="1">
        <f t="array" aca="1" ref="EU30" ca="1">IFERROR(IF(capa_interior_μ_inf,NA(),6.54+14.526*LN(COND_INTERSTICIAL_GRÁF[[#This Row],[Pn]]/1000)+0.7389*LN(COND_INTERSTICIAL_GRÁF[[#This Row],[Pn]]/1000)^2+0.09486*LN(COND_INTERSTICIAL_GRÁF[[#This Row],[Pn]]/1000)^3+0.4569*(COND_INTERSTICIAL_GRÁF[[#This Row],[Pn]]/1000)^0.1984),NA())</f>
        <v>#N/A</v>
      </c>
      <c r="EV30">
        <f>IFERROR(IF(COND_INTERSTICIAL_GRÁF[[#This Row],[Capa]]=0,0,INDEX(COND_INTERSTICIAL[Sd],MATCH(COND_INTERSTICIAL_GRÁF[[#This Row],[llave capa]],COND_INTERSTICIAL[llave capa],0))),NA())</f>
        <v>0</v>
      </c>
      <c r="EW30" s="90">
        <f ca="1">IFERROR(IF(COND_INTERSTICIAL_GRÁF[[#This Row],[Capa]]=0,0,INDEX(COND_INTERSTICIAL[S''d],MATCH(COND_INTERSTICIAL_GRÁF[[#This Row],[llave capa]],COND_INTERSTICIAL[llave capa],0))),NA())</f>
        <v>0</v>
      </c>
      <c r="EX30" s="377" t="e" cm="1">
        <f t="array" aca="1" ref="EX30" ca="1">COND_INTERSTICIAL_GRÁF[[#This Row],[S''d]]/INDEX(SECCIONES[SdT],Gráf_sección)</f>
        <v>#DIV/0!</v>
      </c>
      <c r="EY30" s="90" cm="1">
        <f t="array" aca="1" ref="EY30" ca="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1011.4936324284752</v>
      </c>
      <c r="EZ30" s="107">
        <f ca="1">IFERROR(INDEX(COND_INTERSTICIAL[Ma],MATCH(COND_INTERSTICIAL_GRÁF[[#This Row],[llave capa]],COND_INTERSTICIAL[llave capa],0)),0)</f>
        <v>0</v>
      </c>
      <c r="FA30" s="90" t="b">
        <f ca="1">IF(COND_INTERSTICIAL_GRÁF[[#This Row],[Ma]]&gt;0,TRUE,FALSE)</f>
        <v>0</v>
      </c>
      <c r="FB30" s="90" t="str">
        <f>"Interfaz "&amp;COND_INTERSTICIAL_GRÁF[[#This Row],[Capa]]</f>
        <v>Interfaz 5</v>
      </c>
      <c r="FC30" s="90" t="e">
        <f ca="1">IF(COND_INTERSTICIAL_GRÁF[[#This Row],[agua líquida]],COND_INTERSTICIAL_GRÁF[[#This Row],[Psat]],NA())</f>
        <v>#N/A</v>
      </c>
      <c r="FD30" s="90" t="e" cm="1">
        <f t="array" aca="1" ref="FD30" ca="1">IFERROR(IF(COND_INTERSTICIAL_GRÁF[[#This Row],[Capa]]=0,INDEX(CLIMA[Pe],COND_INTERSTICIAL_GRÁF[[#This Row],[Mes]]),INDEX(COND_INTERSTICIAL[Pn],MATCH(COND_INTERSTICIAL_GRÁF[[#This Row],[llave capa]],COND_INTERSTICIAL[llave capa],0))),NA())</f>
        <v>#N/A</v>
      </c>
      <c r="FE30" s="90" t="e" cm="1">
        <f t="array" aca="1" ref="FE30" ca="1">IFERROR(IF(capa_interior_μ_inf,NA(),IF(COND_INTERSTICIAL_GRÁF[[#This Row],[Capa]]=0,INDEX(CLIMA[Pe],COND_INTERSTICIAL_GRÁF[[#This Row],[Mes]]),INDEX(COND_INTERSTICIAL[Pn gráf],MATCH(COND_INTERSTICIAL_GRÁF[[#This Row],[llave capa]],COND_INTERSTICIAL[llave capa],0)))),NA())</f>
        <v>#N/A</v>
      </c>
      <c r="FX30" t="s">
        <v>245</v>
      </c>
      <c r="FY30" s="47">
        <f>ϕsicr</f>
        <v>1</v>
      </c>
      <c r="GD30" s="11" t="s">
        <v>1441</v>
      </c>
      <c r="GH30" s="12"/>
    </row>
    <row r="31" spans="2:195" ht="14.65" thickBot="1" x14ac:dyDescent="0.5">
      <c r="AF31" s="11" t="s">
        <v>1480</v>
      </c>
      <c r="AG31" s="2" t="s">
        <v>1477</v>
      </c>
      <c r="AH31" s="6">
        <f>CAPAS[[#Totals],[d]]</f>
        <v>0</v>
      </c>
      <c r="AI31" s="12" t="s">
        <v>391</v>
      </c>
      <c r="BY31" s="11" t="s">
        <v>341</v>
      </c>
      <c r="BZ31">
        <v>3</v>
      </c>
      <c r="CA31" s="12"/>
      <c r="CD31" s="1">
        <v>12</v>
      </c>
      <c r="CE31" s="90" cm="1">
        <f t="array" ref="CE31">INDEX(CLIMA[Pi],COND_SUPERFICIAL_CONDICIONES[[#This Row],[Mes]])/ϕsicr</f>
        <v>1647.1134324241689</v>
      </c>
      <c r="CF31"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31" s="36" t="e" cm="1">
        <f t="array" ref="CG31">(COND_SUPERFICIAL_CONDICIONES[[#This Row],[ϴsi_mín]]-INDEX(CLIMA[ϴe],COND_SUPERFICIAL_CONDICIONES[[#This Row],[Mes]]))/(INDEX(CLIMA[ϴi],COND_SUPERFICIAL_CONDICIONES[[#This Row],[Mes]])-INDEX(CLIMA[ϴe],COND_SUPERFICIAL_CONDICIONES[[#This Row],[Mes]]))</f>
        <v>#N/A</v>
      </c>
      <c r="CH31" s="36" t="e">
        <f>Rsi_condensación/(1-COND_SUPERFICIAL_CONDICIONES[[#This Row],[fRsi_mín]])</f>
        <v>#N/A</v>
      </c>
      <c r="CI31" s="6" t="e">
        <f>1/COND_SUPERFICIAL_CONDICIONES[[#This Row],[Rt_mín]]</f>
        <v>#N/A</v>
      </c>
      <c r="CK31" s="1" cm="1">
        <f t="array" ref="CK31">ROUNDUP((ROW()-$CN$18)/(N_secciones),0)</f>
        <v>6</v>
      </c>
      <c r="CL31" cm="1">
        <f t="array" ref="CL31">ROW()-ROW(INDEX(COND_SUPERFICIAL[],1,1))+1-(COND_SUPERFICIAL[[#This Row],[Mes]]-1)*N_secciones</f>
        <v>2</v>
      </c>
      <c r="CM31" s="1" t="str">
        <f>COND_SUPERFICIAL[[#This Row],[Mes]]&amp;"-"&amp;COND_SUPERFICIAL[[#This Row],[Sección]]</f>
        <v>6-2</v>
      </c>
      <c r="CN31" t="e" cm="1">
        <f t="array" ref="CN31">IF(INDEX(SECCIONES[Rtsección_condensación],COND_SUPERFICIAL[[#This Row],[Sección]])&lt;=INDEX(COND_SUPERFICIAL_CONDICIONES[Rt_mín],COND_SUPERFICIAL[[#This Row],[Mes]]),TRUE,FALSE)</f>
        <v>#N/A</v>
      </c>
      <c r="CP31" s="1" cm="1">
        <f t="array" ref="CP31">ROUNDUP((ROW()-$CN$18)/(N_secciones),0)</f>
        <v>6</v>
      </c>
      <c r="CQ31" s="1" cm="1">
        <f t="array" ref="CQ31">ROUNDUP((ROW()-$CN$18+(Mes_inicial_de_análisis-1)*N_secciones)/(N_secciones),0)-12*IF(ROW()-$CN$18&gt;(12-Mes_inicial_de_análisis+1)*N_secciones,1,0)</f>
        <v>12</v>
      </c>
      <c r="CR31" s="1" cm="1">
        <f t="array" ref="CR31">ROW()-$CN$18-(ROUNDUP((ROW()-$CN$18)/(N_secciones),0)-1)*N_secciones</f>
        <v>2</v>
      </c>
      <c r="CS31" s="107" t="str">
        <f>COND_INTERSTICIAL_AGUA_ACUMULADA[[#This Row],[orden]]&amp;"-"&amp;COND_INTERSTICIAL_AGUA_ACUMULADA[[#This Row],[Sección]]</f>
        <v>6-2</v>
      </c>
      <c r="CT31">
        <f ca="1">COUNTIFS(COND_INTERSTICIAL[agua líquida],TRUE,COND_INTERSTICIAL[Mes],COND_INTERSTICIAL_AGUA_ACUMULADA[[#This Row],[Mes]],COND_INTERSTICIAL[Sección],COND_INTERSTICIAL_AGUA_ACUMULADA[[#This Row],[Sección]])</f>
        <v>0</v>
      </c>
      <c r="CU31" s="107" t="e">
        <f ca="1">SUMIFS(COND_INTERSTICIAL[Ma],COND_INTERSTICIAL[Mes],COND_INTERSTICIAL_AGUA_ACUMULADA[[#This Row],[Mes]],COND_INTERSTICIAL[Sección],COND_INTERSTICIAL_AGUA_ACUMULADA[[#This Row],[Sección]])</f>
        <v>#N/A</v>
      </c>
      <c r="CW31" s="1" cm="1">
        <f t="array" ref="CW31">ROUNDUP((ROW()-$CN$18+(Mes_inicial_de_análisis-1)*N_capas*N_secciones)/(N_capas*N_secciones),0)-12*IF(ROW()-$CN$18&gt;(12-Mes_inicial_de_análisis+1)*N_capas*N_secciones,1,0)</f>
        <v>7</v>
      </c>
      <c r="CX31" cm="1">
        <f t="array" ref="CX31">ROUNDUP((ROW()-$CN$18)/N_capas-(ROUNDUP((ROW()-$CN$18)/(N_capas*N_secciones),0)-1)*N_secciones,0)</f>
        <v>2</v>
      </c>
      <c r="CY31" cm="1">
        <f t="array" ref="CY31">(ROW()-$CN$18)-(COND_INTERSTICIAL[[#This Row],[Sección]]-1)*N_capas-(ROUNDUP((ROW()-$CN$18)/(N_capas*N_secciones),0)-1)*N_capas*N_secciones</f>
        <v>5</v>
      </c>
      <c r="CZ31" t="str">
        <f>COND_INTERSTICIAL[[#This Row],[Mes]]&amp;"-"&amp;COND_INTERSTICIAL[[#This Row],[Sección]]&amp;"-"&amp;COND_INTERSTICIAL[[#This Row],[Capa]]</f>
        <v>7-2-5</v>
      </c>
      <c r="DA31">
        <f ca="1">INDEX(SECCIONES_CAPAS[R''n],MATCH(COND_INTERSTICIAL[[#This Row],[Sección]]&amp;"-"&amp;COND_INTERSTICIAL[[#This Row],[Capa]],SECCIONES_CAPAS[llave],0))</f>
        <v>0.04</v>
      </c>
      <c r="DB31" s="172" cm="1">
        <f t="array" aca="1" ref="DB31" ca="1">INDEX(CLIMA[ϴe],COND_INTERSTICIAL[[#This Row],[Mes]])+COND_INTERSTICIAL[[#This Row],[Rn]]*(INDEX(CLIMA[ϴi],COND_INTERSTICIAL[[#This Row],[Mes]])-INDEX(CLIMA[ϴe],COND_INTERSTICIAL[[#This Row],[Mes]]))/(INDEX(SECCIONES[Rtsección_condensación],COND_INTERSTICIAL[[#This Row],[Sección]]))</f>
        <v>7.1470588235294112</v>
      </c>
      <c r="DC31">
        <f>INDEX(SECCIONES_CAPAS[Sd],MATCH(COND_INTERSTICIAL[[#This Row],[Sección]]&amp;"-"&amp;COND_INTERSTICIAL[[#This Row],[Capa]],SECCIONES_CAPAS[llave],0))</f>
        <v>0</v>
      </c>
      <c r="DD31">
        <f ca="1">INDEX(SECCIONES_CAPAS[S''d],MATCH(COND_INTERSTICIAL[[#This Row],[Sección]]&amp;"-"&amp;COND_INTERSTICIAL[[#This Row],[Capa]],SECCIONES_CAPAS[llave],0))</f>
        <v>0</v>
      </c>
      <c r="DE31" s="90">
        <f ca="1">IF(COND_INTERSTICIAL[[#This Row],[ϴn]]&gt;=0,610.5*EXP((17.269*COND_INTERSTICIAL[[#This Row],[ϴn]])/(237.3+COND_INTERSTICIAL[[#This Row],[ϴn]])),610.5*EXP((21.875*COND_INTERSTICIAL[[#This Row],[ϴn]])/(265.5+COND_INTERSTICIAL[[#This Row],[ϴn]])))</f>
        <v>1011.4936324284752</v>
      </c>
      <c r="DF31" s="90" t="e" cm="1">
        <f t="array" aca="1" ref="DF31" ca="1">COND_INTERSTICIAL[[#This Row],[S''d]]*((INDEX(CLIMA[Pi],COND_INTERSTICIAL[[#This Row],[Mes]])-INDEX(CLIMA[Pe],COND_INTERSTICIAL[[#This Row],[Mes]]))/INDEX(SECCIONES[SdT],COND_INTERSTICIAL[[#This Row],[Sección]]))+INDEX(CLIMA[Pe],COND_INTERSTICIAL[[#This Row],[Mes]])</f>
        <v>#DIV/0!</v>
      </c>
      <c r="DG31" s="108" t="e">
        <f ca="1">IF((COND_INTERSTICIAL[[#This Row],[Pn]]&gt;=COND_INTERSTICIAL[[#This Row],[Psat]]),TRUE,FALSE)</f>
        <v>#DIV/0!</v>
      </c>
      <c r="DH31" s="109" t="e" cm="1">
        <f t="array" aca="1" ref="DH31" ca="1">IF(COND_INTERSTICIAL[[#This Row],[Condensa]],COND_INTERSTICIAL[[#This Row],[Psat]],IF(COND_INTERSTICIAL[[#This Row],[Capa]]=N_capas,COND_INTERSTICIAL[[#This Row],[Pn]],""))</f>
        <v>#DIV/0!</v>
      </c>
      <c r="DI31" s="109" t="e">
        <f ca="1">COND_INTERSTICIAL[[#This Row],[Mes]]&amp;"-"&amp;COND_INTERSTICIAL[[#This Row],[Sección]]&amp;"-"&amp;COND_INTERSTICIAL[[#This Row],[tramo cond]]</f>
        <v>#DIV/0!</v>
      </c>
      <c r="DJ31" t="e" cm="1">
        <f t="array" aca="1" ref="DJ31" ca="1">IF(COND_INTERSTICIAL[[#This Row],[Capa]]=1,IF(COND_INTERSTICIAL[[#This Row],[Condensa]],2,1),IF(COND_INTERSTICIAL[[#This Row],[Condensa]],1,0)+INDIRECT(ADDRESS(ROW()-1,COLUMN(),4)))</f>
        <v>#DIV/0!</v>
      </c>
      <c r="DK31" s="108" t="e" cm="1">
        <f t="array" aca="1" ref="DK31" ca="1">IF(COND_INTERSTICIAL[[#This Row],[tramo cond]]=1,0,IF((COND_INTERSTICIAL[[#This Row],[tramo cond]]&gt;INDIRECT(ADDRESS(ROW()-1,COLUMN(COND_INTERSTICIAL[[#This Row],[tramo cond]]),4)))+COND_INTERSTICIAL[[#This Row],[Condensa]],COND_INTERSTICIAL[[#This Row],[Capa]],INDIRECT(ADDRESS(ROW()-1,COLUMN(),4))))</f>
        <v>#DIV/0!</v>
      </c>
      <c r="DL31" s="108" t="e" cm="1">
        <f t="array" aca="1" ref="DL31" ca="1">IF((COND_INTERSTICIAL[[#This Row],[Capa]]=N_capas)+(COND_INTERSTICIAL[[#This Row],[tramo cond]]=COUNTIFS(COND_INTERSTICIAL[Condensa],TRUE,COND_INTERSTICIAL[Mes],CW31,COND_INTERSTICIAL[Sección],CX31)+1),N_capas,INDEX(COND_INTERSTICIAL[capa lím inf cond],MATCH(COND_INTERSTICIAL[[#This Row],[Mes]]&amp;"-"&amp;COND_INTERSTICIAL[[#This Row],[Sección]]&amp;"-"&amp;(COND_INTERSTICIAL[[#This Row],[tramo cond]]+1),COND_INTERSTICIAL[llave tramo cond],0)))</f>
        <v>#DIV/0!</v>
      </c>
      <c r="DM31" s="108" cm="1">
        <f t="array" aca="1" ref="DM3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1" s="110" t="e" cm="1">
        <f t="array" aca="1" ref="DN3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31"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31" s="107" t="e">
        <f ca="1">COND_INTERSTICIAL[[#This Row],[gc]]+COND_INTERSTICIAL[[#This Row],[Ma_anterior cond]]</f>
        <v>#DIV/0!</v>
      </c>
      <c r="DQ31" s="113" t="e">
        <f ca="1">IF((COND_INTERSTICIAL[[#This Row],[Ma_anterior cond]]&gt;0)*NOT(COND_INTERSTICIAL[[#This Row],[Condensa]]),TRUE,FALSE)</f>
        <v>#DIV/0!</v>
      </c>
      <c r="DR31" s="112" t="e" cm="1">
        <f t="array" aca="1" ref="DR31" ca="1">IF(COND_INTERSTICIAL[[#This Row],[evapora]],COND_INTERSTICIAL[[#This Row],[Psat]],IF(COND_INTERSTICIAL[[#This Row],[Capa]]=N_capas,COND_INTERSTICIAL[[#This Row],[Pn]],""))</f>
        <v>#DIV/0!</v>
      </c>
      <c r="DS31" s="112" t="e">
        <f ca="1">COND_INTERSTICIAL[[#This Row],[Mes]]&amp;"-"&amp;COND_INTERSTICIAL[[#This Row],[Sección]]&amp;"-"&amp;COND_INTERSTICIAL[[#This Row],[tramo ev]]</f>
        <v>#DIV/0!</v>
      </c>
      <c r="DT31" s="111" t="e" cm="1">
        <f t="array" aca="1" ref="DT31" ca="1">IF(COND_INTERSTICIAL[[#This Row],[Capa]]=1,IF(COND_INTERSTICIAL[[#This Row],[evapora]],2,1),IF(COND_INTERSTICIAL[[#This Row],[evapora]],1,0)+INDIRECT(ADDRESS(ROW()-1,COLUMN(),4)))</f>
        <v>#DIV/0!</v>
      </c>
      <c r="DU31" s="111" t="e" cm="1">
        <f t="array" aca="1" ref="DU31" ca="1">IF(COND_INTERSTICIAL[[#This Row],[tramo ev]]=1,0,IF((COND_INTERSTICIAL[[#This Row],[tramo ev]]&gt;INDIRECT(ADDRESS(ROW()-1,COLUMN(COND_INTERSTICIAL[[#This Row],[tramo ev]]),4)))+COND_INTERSTICIAL[[#This Row],[evapora]],COND_INTERSTICIAL[[#This Row],[Capa]],INDIRECT(ADDRESS(ROW()-1,COLUMN(),4))))</f>
        <v>#DIV/0!</v>
      </c>
      <c r="DV31" s="111" t="e" cm="1">
        <f t="array" aca="1" ref="DV31" ca="1">IF((COND_INTERSTICIAL[[#This Row],[Capa]]=N_capas)+(COND_INTERSTICIAL[[#This Row],[tramo ev]]=COUNTIFS(COND_INTERSTICIAL[evapora],TRUE,COND_INTERSTICIAL[Mes],CW31,COND_INTERSTICIAL[Sección],CX31)+1),N_capas,INDEX(COND_INTERSTICIAL[capa lím inf ev],MATCH(COND_INTERSTICIAL[[#This Row],[Mes]]&amp;"-"&amp;COND_INTERSTICIAL[[#This Row],[Sección]]&amp;"-"&amp;(COND_INTERSTICIAL[[#This Row],[tramo ev]]+1),COND_INTERSTICIAL[llave tramo ev],0)))</f>
        <v>#DIV/0!</v>
      </c>
      <c r="DW31" s="111" cm="1">
        <f t="array" aca="1" ref="DW3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1" s="113" t="e" cm="1">
        <f t="array" aca="1" ref="DX3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1"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31" s="113" t="e">
        <f ca="1">COND_INTERSTICIAL[[#This Row],[gev]]+COND_INTERSTICIAL[[#This Row],[Ma anterior ev]]</f>
        <v>#DIV/0!</v>
      </c>
      <c r="EA31" s="115" t="e">
        <f ca="1">IF(COND_INTERSTICIAL[[#This Row],[Ma cond]]+COND_INTERSTICIAL[[#This Row],[Ma ev]]&lt;=0,0,COND_INTERSTICIAL[[#This Row],[Ma cond]]+COND_INTERSTICIAL[[#This Row],[Ma ev]])</f>
        <v>#DIV/0!</v>
      </c>
      <c r="EB31" s="115" t="e">
        <f ca="1">IF(COND_INTERSTICIAL[[#This Row],[Ma]]&gt;0,TRUE,FALSE)</f>
        <v>#DIV/0!</v>
      </c>
      <c r="EC31" s="115" t="e" cm="1">
        <f t="array" aca="1" ref="EC31" ca="1">IF(COND_INTERSTICIAL[[#This Row],[agua líquida]],IF(COND_INTERSTICIAL[[#This Row],[Condensa]],COND_INTERSTICIAL[[#This Row],[P límite cond]],COND_INTERSTICIAL[[#This Row],[P límite ev]]),IF(COND_INTERSTICIAL[[#This Row],[Capa]]=N_capas,COND_INTERSTICIAL[[#This Row],[Pn]],""))</f>
        <v>#DIV/0!</v>
      </c>
      <c r="ED31" s="115" t="e">
        <f ca="1">COND_INTERSTICIAL[[#This Row],[Mes]]&amp;"-"&amp;COND_INTERSTICIAL[[#This Row],[Sección]]&amp;"-"&amp;COND_INTERSTICIAL[[#This Row],[tramo gráf]]</f>
        <v>#DIV/0!</v>
      </c>
      <c r="EE31" s="114" t="e" cm="1">
        <f t="array" aca="1" ref="EE31" ca="1">IF(COND_INTERSTICIAL[[#This Row],[Capa]]=1,IF(COND_INTERSTICIAL[[#This Row],[agua líquida]],2,1),IF(COND_INTERSTICIAL[[#This Row],[agua líquida]],1,0)+INDIRECT(ADDRESS(ROW()-1,COLUMN(),4)))</f>
        <v>#DIV/0!</v>
      </c>
      <c r="EF31" s="114" t="e" cm="1">
        <f t="array" aca="1" ref="EF31" ca="1">IF(COND_INTERSTICIAL[[#This Row],[tramo gráf]]=1,0,IF((COND_INTERSTICIAL[[#This Row],[tramo gráf]]&gt;INDIRECT(ADDRESS(ROW()-1,COLUMN(COND_INTERSTICIAL[[#This Row],[tramo gráf]]),4)))+COND_INTERSTICIAL[[#This Row],[agua líquida]],COND_INTERSTICIAL[[#This Row],[Capa]],INDIRECT(ADDRESS(ROW()-1,COLUMN(),4))))</f>
        <v>#DIV/0!</v>
      </c>
      <c r="EG31" s="114" t="e" cm="1">
        <f t="array" aca="1" ref="EG31" ca="1">IF((COND_INTERSTICIAL[[#This Row],[Capa]]=N_capas)+(COND_INTERSTICIAL[[#This Row],[tramo gráf]]=COUNTIFS(COND_INTERSTICIAL[agua líquida],TRUE,COND_INTERSTICIAL[Mes],CW31,COND_INTERSTICIAL[Sección],CX31)+1),N_capas,INDEX(COND_INTERSTICIAL[capa lím inf gráf],MATCH(COND_INTERSTICIAL[[#This Row],[Mes]]&amp;"-"&amp;COND_INTERSTICIAL[[#This Row],[Sección]]&amp;"-"&amp;(COND_INTERSTICIAL[[#This Row],[tramo gráf]]+1),COND_INTERSTICIAL[llave tramo gráf],0)))</f>
        <v>#DIV/0!</v>
      </c>
      <c r="EH31" s="114" cm="1">
        <f t="array" aca="1" ref="EH3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1" s="116" t="e" cm="1">
        <f t="array" aca="1" ref="EI3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31">
        <f t="shared" si="0"/>
        <v>7</v>
      </c>
      <c r="EM31">
        <f t="shared" si="1"/>
        <v>1</v>
      </c>
      <c r="EN31">
        <f>ROW()-ROW(INDEX(COND_INTERSTICIAL_GRÁF[],1,1))</f>
        <v>6</v>
      </c>
      <c r="EO31" t="str">
        <f>COND_INTERSTICIAL_GRÁF[[#This Row],[Mes]]&amp;"-"&amp;COND_INTERSTICIAL_GRÁF[[#This Row],[Sección]]&amp;"-"&amp;COND_INTERSTICIAL_GRÁF[[#This Row],[Capa]]</f>
        <v>7-1-6</v>
      </c>
      <c r="EP31" t="str">
        <f>"Capa "&amp;COND_INTERSTICIAL_GRÁF[[#This Row],[Capa]]&amp;": "&amp;IFERROR(INDEX(SECCIONES_CAPAS[Abreviatura],MATCH(COND_INTERSTICIAL_GRÁF[[#This Row],[Sección]]&amp;"-"&amp;COND_INTERSTICIAL_GRÁF[[#This Row],[Capa]],SECCIONES_CAPAS[llave],0)),"")</f>
        <v>Capa 6: Capa 6</v>
      </c>
      <c r="EQ31">
        <f>IFERROR(IF(COND_INTERSTICIAL_GRÁF[[#This Row],[Capa]]=0,0,INDEX(SECCIONES_CAPAS[d],MATCH(COND_INTERSTICIAL_GRÁF[[#This Row],[Sección]]&amp;"-"&amp;COND_INTERSTICIAL_GRÁF[[#This Row],[Capa]],SECCIONES_CAPAS[llave],0))),NA())</f>
        <v>0</v>
      </c>
      <c r="ER31">
        <f>IFERROR(IF(COND_INTERSTICIAL_GRÁF[[#This Row],[Capa]]=0,0,INDEX(SECCIONES_CAPAS[d''],MATCH(COND_INTERSTICIAL_GRÁF[[#This Row],[Sección]]&amp;"-"&amp;COND_INTERSTICIAL_GRÁF[[#This Row],[Capa]],SECCIONES_CAPAS[llave],0))),NA())</f>
        <v>0</v>
      </c>
      <c r="ES31" s="377" t="e" cm="1">
        <f t="array" ref="ES31">COND_INTERSTICIAL_GRÁF[[#This Row],[d'']]/INDEX(SECCIONES[d''],COND_INTERSTICIAL_GRÁF[[#This Row],[Sección]])</f>
        <v>#DIV/0!</v>
      </c>
      <c r="ET31" cm="1">
        <f t="array" aca="1" ref="ET31" ca="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7.1470588235294112</v>
      </c>
      <c r="EU31" s="90" t="e" cm="1">
        <f t="array" aca="1" ref="EU31" ca="1">IFERROR(IF(capa_interior_μ_inf,NA(),6.54+14.526*LN(COND_INTERSTICIAL_GRÁF[[#This Row],[Pn]]/1000)+0.7389*LN(COND_INTERSTICIAL_GRÁF[[#This Row],[Pn]]/1000)^2+0.09486*LN(COND_INTERSTICIAL_GRÁF[[#This Row],[Pn]]/1000)^3+0.4569*(COND_INTERSTICIAL_GRÁF[[#This Row],[Pn]]/1000)^0.1984),NA())</f>
        <v>#N/A</v>
      </c>
      <c r="EV31">
        <f>IFERROR(IF(COND_INTERSTICIAL_GRÁF[[#This Row],[Capa]]=0,0,INDEX(COND_INTERSTICIAL[Sd],MATCH(COND_INTERSTICIAL_GRÁF[[#This Row],[llave capa]],COND_INTERSTICIAL[llave capa],0))),NA())</f>
        <v>0</v>
      </c>
      <c r="EW31" s="90">
        <f ca="1">IFERROR(IF(COND_INTERSTICIAL_GRÁF[[#This Row],[Capa]]=0,0,INDEX(COND_INTERSTICIAL[S''d],MATCH(COND_INTERSTICIAL_GRÁF[[#This Row],[llave capa]],COND_INTERSTICIAL[llave capa],0))),NA())</f>
        <v>0</v>
      </c>
      <c r="EX31" s="377" t="e" cm="1">
        <f t="array" aca="1" ref="EX31" ca="1">COND_INTERSTICIAL_GRÁF[[#This Row],[S''d]]/INDEX(SECCIONES[SdT],Gráf_sección)</f>
        <v>#DIV/0!</v>
      </c>
      <c r="EY31" s="90" cm="1">
        <f t="array" aca="1" ref="EY31" ca="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1011.4936324284752</v>
      </c>
      <c r="EZ31" s="107">
        <f ca="1">IFERROR(INDEX(COND_INTERSTICIAL[Ma],MATCH(COND_INTERSTICIAL_GRÁF[[#This Row],[llave capa]],COND_INTERSTICIAL[llave capa],0)),0)</f>
        <v>0</v>
      </c>
      <c r="FA31" s="90" t="b">
        <f ca="1">IF(COND_INTERSTICIAL_GRÁF[[#This Row],[Ma]]&gt;0,TRUE,FALSE)</f>
        <v>0</v>
      </c>
      <c r="FB31" s="90" t="str">
        <f>"Interfaz "&amp;COND_INTERSTICIAL_GRÁF[[#This Row],[Capa]]</f>
        <v>Interfaz 6</v>
      </c>
      <c r="FC31" s="90" t="e">
        <f ca="1">IF(COND_INTERSTICIAL_GRÁF[[#This Row],[agua líquida]],COND_INTERSTICIAL_GRÁF[[#This Row],[Psat]],NA())</f>
        <v>#N/A</v>
      </c>
      <c r="FD31" s="90" t="e" cm="1">
        <f t="array" aca="1" ref="FD31" ca="1">IFERROR(IF(COND_INTERSTICIAL_GRÁF[[#This Row],[Capa]]=0,INDEX(CLIMA[Pe],COND_INTERSTICIAL_GRÁF[[#This Row],[Mes]]),INDEX(COND_INTERSTICIAL[Pn],MATCH(COND_INTERSTICIAL_GRÁF[[#This Row],[llave capa]],COND_INTERSTICIAL[llave capa],0))),NA())</f>
        <v>#N/A</v>
      </c>
      <c r="FE31" s="90" t="e" cm="1">
        <f t="array" aca="1" ref="FE31" ca="1">IFERROR(IF(capa_interior_μ_inf,NA(),IF(COND_INTERSTICIAL_GRÁF[[#This Row],[Capa]]=0,INDEX(CLIMA[Pe],COND_INTERSTICIAL_GRÁF[[#This Row],[Mes]]),INDEX(COND_INTERSTICIAL[Pn gráf],MATCH(COND_INTERSTICIAL_GRÁF[[#This Row],[llave capa]],COND_INTERSTICIAL[llave capa],0)))),NA())</f>
        <v>#N/A</v>
      </c>
      <c r="FW31" s="60" t="s">
        <v>1501</v>
      </c>
      <c r="FX31" s="311" t="s">
        <v>1517</v>
      </c>
      <c r="FZ31" s="301" t="str">
        <f>IF(ISBLANK(FZ18)+ISBLANK(GA18),"",IF((FZ18&gt;FZ17)*(FZ18&gt;GA17)+(FZ18&gt;=GA18),1,0))</f>
        <v/>
      </c>
      <c r="GB31" s="12"/>
      <c r="GD31" s="11" t="s">
        <v>1436</v>
      </c>
      <c r="GE31" t="s">
        <v>1452</v>
      </c>
      <c r="GH31" s="12"/>
    </row>
    <row r="32" spans="2:195" ht="14.65" thickBot="1" x14ac:dyDescent="0.5">
      <c r="AF32" t="s">
        <v>1484</v>
      </c>
      <c r="AG32" s="2" t="s">
        <v>1483</v>
      </c>
      <c r="AH32" s="90">
        <f>d_w_e+λ_terreno_defecto*(Aux!$E$4+R_f_b)</f>
        <v>0.34</v>
      </c>
      <c r="AI32" s="12" t="s">
        <v>391</v>
      </c>
      <c r="BY32" s="187" t="s">
        <v>349</v>
      </c>
      <c r="BZ32" cm="1">
        <f t="array" ref="BZ32">INDEX(clase_humedad_clima_marítimo[m Δp],Clase_humedad)</f>
        <v>-35.5</v>
      </c>
      <c r="CA32" s="12"/>
      <c r="CK32" s="1" cm="1">
        <f t="array" ref="CK32">ROUNDUP((ROW()-$CN$18)/(N_secciones),0)</f>
        <v>7</v>
      </c>
      <c r="CL32" cm="1">
        <f t="array" ref="CL32">ROW()-ROW(INDEX(COND_SUPERFICIAL[],1,1))+1-(COND_SUPERFICIAL[[#This Row],[Mes]]-1)*N_secciones</f>
        <v>1</v>
      </c>
      <c r="CM32" s="1" t="str">
        <f>COND_SUPERFICIAL[[#This Row],[Mes]]&amp;"-"&amp;COND_SUPERFICIAL[[#This Row],[Sección]]</f>
        <v>7-1</v>
      </c>
      <c r="CN32" t="b" cm="1">
        <f t="array" aca="1" ref="CN32" ca="1">IF(INDEX(SECCIONES[Rtsección_condensación],COND_SUPERFICIAL[[#This Row],[Sección]])&lt;=INDEX(COND_SUPERFICIAL_CONDICIONES[Rt_mín],COND_SUPERFICIAL[[#This Row],[Mes]]),TRUE,FALSE)</f>
        <v>1</v>
      </c>
      <c r="CP32" s="1" cm="1">
        <f t="array" ref="CP32">ROUNDUP((ROW()-$CN$18)/(N_secciones),0)</f>
        <v>7</v>
      </c>
      <c r="CQ32" s="1" cm="1">
        <f t="array" ref="CQ32">ROUNDUP((ROW()-$CN$18+(Mes_inicial_de_análisis-1)*N_secciones)/(N_secciones),0)-12*IF(ROW()-$CN$18&gt;(12-Mes_inicial_de_análisis+1)*N_secciones,1,0)</f>
        <v>1</v>
      </c>
      <c r="CR32" s="1" cm="1">
        <f t="array" ref="CR32">ROW()-$CN$18-(ROUNDUP((ROW()-$CN$18)/(N_secciones),0)-1)*N_secciones</f>
        <v>1</v>
      </c>
      <c r="CS32" s="107" t="str">
        <f>COND_INTERSTICIAL_AGUA_ACUMULADA[[#This Row],[orden]]&amp;"-"&amp;COND_INTERSTICIAL_AGUA_ACUMULADA[[#This Row],[Sección]]</f>
        <v>7-1</v>
      </c>
      <c r="CT32">
        <f ca="1">COUNTIFS(COND_INTERSTICIAL[agua líquida],TRUE,COND_INTERSTICIAL[Mes],COND_INTERSTICIAL_AGUA_ACUMULADA[[#This Row],[Mes]],COND_INTERSTICIAL[Sección],COND_INTERSTICIAL_AGUA_ACUMULADA[[#This Row],[Sección]])</f>
        <v>0</v>
      </c>
      <c r="CU32" s="107" t="e">
        <f ca="1">SUMIFS(COND_INTERSTICIAL[Ma],COND_INTERSTICIAL[Mes],COND_INTERSTICIAL_AGUA_ACUMULADA[[#This Row],[Mes]],COND_INTERSTICIAL[Sección],COND_INTERSTICIAL_AGUA_ACUMULADA[[#This Row],[Sección]])</f>
        <v>#N/A</v>
      </c>
      <c r="CW32" s="1" cm="1">
        <f t="array" ref="CW32">ROUNDUP((ROW()-$CN$18+(Mes_inicial_de_análisis-1)*N_capas*N_secciones)/(N_capas*N_secciones),0)-12*IF(ROW()-$CN$18&gt;(12-Mes_inicial_de_análisis+1)*N_capas*N_secciones,1,0)</f>
        <v>7</v>
      </c>
      <c r="CX32" cm="1">
        <f t="array" ref="CX32">ROUNDUP((ROW()-$CN$18)/N_capas-(ROUNDUP((ROW()-$CN$18)/(N_capas*N_secciones),0)-1)*N_secciones,0)</f>
        <v>2</v>
      </c>
      <c r="CY32" cm="1">
        <f t="array" ref="CY32">(ROW()-$CN$18)-(COND_INTERSTICIAL[[#This Row],[Sección]]-1)*N_capas-(ROUNDUP((ROW()-$CN$18)/(N_capas*N_secciones),0)-1)*N_capas*N_secciones</f>
        <v>6</v>
      </c>
      <c r="CZ32" t="str">
        <f>COND_INTERSTICIAL[[#This Row],[Mes]]&amp;"-"&amp;COND_INTERSTICIAL[[#This Row],[Sección]]&amp;"-"&amp;COND_INTERSTICIAL[[#This Row],[Capa]]</f>
        <v>7-2-6</v>
      </c>
      <c r="DA32">
        <f ca="1">INDEX(SECCIONES_CAPAS[R''n],MATCH(COND_INTERSTICIAL[[#This Row],[Sección]]&amp;"-"&amp;COND_INTERSTICIAL[[#This Row],[Capa]],SECCIONES_CAPAS[llave],0))</f>
        <v>0.04</v>
      </c>
      <c r="DB32" s="172" cm="1">
        <f t="array" aca="1" ref="DB32" ca="1">INDEX(CLIMA[ϴe],COND_INTERSTICIAL[[#This Row],[Mes]])+COND_INTERSTICIAL[[#This Row],[Rn]]*(INDEX(CLIMA[ϴi],COND_INTERSTICIAL[[#This Row],[Mes]])-INDEX(CLIMA[ϴe],COND_INTERSTICIAL[[#This Row],[Mes]]))/(INDEX(SECCIONES[Rtsección_condensación],COND_INTERSTICIAL[[#This Row],[Sección]]))</f>
        <v>7.1470588235294112</v>
      </c>
      <c r="DC32">
        <f>INDEX(SECCIONES_CAPAS[Sd],MATCH(COND_INTERSTICIAL[[#This Row],[Sección]]&amp;"-"&amp;COND_INTERSTICIAL[[#This Row],[Capa]],SECCIONES_CAPAS[llave],0))</f>
        <v>0</v>
      </c>
      <c r="DD32">
        <f ca="1">INDEX(SECCIONES_CAPAS[S''d],MATCH(COND_INTERSTICIAL[[#This Row],[Sección]]&amp;"-"&amp;COND_INTERSTICIAL[[#This Row],[Capa]],SECCIONES_CAPAS[llave],0))</f>
        <v>0</v>
      </c>
      <c r="DE32" s="90">
        <f ca="1">IF(COND_INTERSTICIAL[[#This Row],[ϴn]]&gt;=0,610.5*EXP((17.269*COND_INTERSTICIAL[[#This Row],[ϴn]])/(237.3+COND_INTERSTICIAL[[#This Row],[ϴn]])),610.5*EXP((21.875*COND_INTERSTICIAL[[#This Row],[ϴn]])/(265.5+COND_INTERSTICIAL[[#This Row],[ϴn]])))</f>
        <v>1011.4936324284752</v>
      </c>
      <c r="DF32" s="90" t="e" cm="1">
        <f t="array" aca="1" ref="DF32" ca="1">COND_INTERSTICIAL[[#This Row],[S''d]]*((INDEX(CLIMA[Pi],COND_INTERSTICIAL[[#This Row],[Mes]])-INDEX(CLIMA[Pe],COND_INTERSTICIAL[[#This Row],[Mes]]))/INDEX(SECCIONES[SdT],COND_INTERSTICIAL[[#This Row],[Sección]]))+INDEX(CLIMA[Pe],COND_INTERSTICIAL[[#This Row],[Mes]])</f>
        <v>#DIV/0!</v>
      </c>
      <c r="DG32" s="108" t="e">
        <f ca="1">IF((COND_INTERSTICIAL[[#This Row],[Pn]]&gt;=COND_INTERSTICIAL[[#This Row],[Psat]]),TRUE,FALSE)</f>
        <v>#DIV/0!</v>
      </c>
      <c r="DH32" s="109" t="e" cm="1">
        <f t="array" aca="1" ref="DH32" ca="1">IF(COND_INTERSTICIAL[[#This Row],[Condensa]],COND_INTERSTICIAL[[#This Row],[Psat]],IF(COND_INTERSTICIAL[[#This Row],[Capa]]=N_capas,COND_INTERSTICIAL[[#This Row],[Pn]],""))</f>
        <v>#DIV/0!</v>
      </c>
      <c r="DI32" s="109" t="e">
        <f ca="1">COND_INTERSTICIAL[[#This Row],[Mes]]&amp;"-"&amp;COND_INTERSTICIAL[[#This Row],[Sección]]&amp;"-"&amp;COND_INTERSTICIAL[[#This Row],[tramo cond]]</f>
        <v>#DIV/0!</v>
      </c>
      <c r="DJ32" t="e" cm="1">
        <f t="array" aca="1" ref="DJ32" ca="1">IF(COND_INTERSTICIAL[[#This Row],[Capa]]=1,IF(COND_INTERSTICIAL[[#This Row],[Condensa]],2,1),IF(COND_INTERSTICIAL[[#This Row],[Condensa]],1,0)+INDIRECT(ADDRESS(ROW()-1,COLUMN(),4)))</f>
        <v>#DIV/0!</v>
      </c>
      <c r="DK32" s="108" t="e" cm="1">
        <f t="array" aca="1" ref="DK32" ca="1">IF(COND_INTERSTICIAL[[#This Row],[tramo cond]]=1,0,IF((COND_INTERSTICIAL[[#This Row],[tramo cond]]&gt;INDIRECT(ADDRESS(ROW()-1,COLUMN(COND_INTERSTICIAL[[#This Row],[tramo cond]]),4)))+COND_INTERSTICIAL[[#This Row],[Condensa]],COND_INTERSTICIAL[[#This Row],[Capa]],INDIRECT(ADDRESS(ROW()-1,COLUMN(),4))))</f>
        <v>#DIV/0!</v>
      </c>
      <c r="DL32" s="108" t="e" cm="1">
        <f t="array" aca="1" ref="DL32" ca="1">IF((COND_INTERSTICIAL[[#This Row],[Capa]]=N_capas)+(COND_INTERSTICIAL[[#This Row],[tramo cond]]=COUNTIFS(COND_INTERSTICIAL[Condensa],TRUE,COND_INTERSTICIAL[Mes],CW32,COND_INTERSTICIAL[Sección],CX32)+1),N_capas,INDEX(COND_INTERSTICIAL[capa lím inf cond],MATCH(COND_INTERSTICIAL[[#This Row],[Mes]]&amp;"-"&amp;COND_INTERSTICIAL[[#This Row],[Sección]]&amp;"-"&amp;(COND_INTERSTICIAL[[#This Row],[tramo cond]]+1),COND_INTERSTICIAL[llave tramo cond],0)))</f>
        <v>#DIV/0!</v>
      </c>
      <c r="DM32" s="108" cm="1">
        <f t="array" aca="1" ref="DM3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2" s="110" t="e" cm="1">
        <f t="array" aca="1" ref="DN3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32"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32" s="107" t="e">
        <f ca="1">COND_INTERSTICIAL[[#This Row],[gc]]+COND_INTERSTICIAL[[#This Row],[Ma_anterior cond]]</f>
        <v>#DIV/0!</v>
      </c>
      <c r="DQ32" s="113" t="e">
        <f ca="1">IF((COND_INTERSTICIAL[[#This Row],[Ma_anterior cond]]&gt;0)*NOT(COND_INTERSTICIAL[[#This Row],[Condensa]]),TRUE,FALSE)</f>
        <v>#DIV/0!</v>
      </c>
      <c r="DR32" s="112" t="e" cm="1">
        <f t="array" aca="1" ref="DR32" ca="1">IF(COND_INTERSTICIAL[[#This Row],[evapora]],COND_INTERSTICIAL[[#This Row],[Psat]],IF(COND_INTERSTICIAL[[#This Row],[Capa]]=N_capas,COND_INTERSTICIAL[[#This Row],[Pn]],""))</f>
        <v>#DIV/0!</v>
      </c>
      <c r="DS32" s="112" t="e">
        <f ca="1">COND_INTERSTICIAL[[#This Row],[Mes]]&amp;"-"&amp;COND_INTERSTICIAL[[#This Row],[Sección]]&amp;"-"&amp;COND_INTERSTICIAL[[#This Row],[tramo ev]]</f>
        <v>#DIV/0!</v>
      </c>
      <c r="DT32" s="111" t="e" cm="1">
        <f t="array" aca="1" ref="DT32" ca="1">IF(COND_INTERSTICIAL[[#This Row],[Capa]]=1,IF(COND_INTERSTICIAL[[#This Row],[evapora]],2,1),IF(COND_INTERSTICIAL[[#This Row],[evapora]],1,0)+INDIRECT(ADDRESS(ROW()-1,COLUMN(),4)))</f>
        <v>#DIV/0!</v>
      </c>
      <c r="DU32" s="111" t="e" cm="1">
        <f t="array" aca="1" ref="DU32" ca="1">IF(COND_INTERSTICIAL[[#This Row],[tramo ev]]=1,0,IF((COND_INTERSTICIAL[[#This Row],[tramo ev]]&gt;INDIRECT(ADDRESS(ROW()-1,COLUMN(COND_INTERSTICIAL[[#This Row],[tramo ev]]),4)))+COND_INTERSTICIAL[[#This Row],[evapora]],COND_INTERSTICIAL[[#This Row],[Capa]],INDIRECT(ADDRESS(ROW()-1,COLUMN(),4))))</f>
        <v>#DIV/0!</v>
      </c>
      <c r="DV32" s="111" t="e" cm="1">
        <f t="array" aca="1" ref="DV32" ca="1">IF((COND_INTERSTICIAL[[#This Row],[Capa]]=N_capas)+(COND_INTERSTICIAL[[#This Row],[tramo ev]]=COUNTIFS(COND_INTERSTICIAL[evapora],TRUE,COND_INTERSTICIAL[Mes],CW32,COND_INTERSTICIAL[Sección],CX32)+1),N_capas,INDEX(COND_INTERSTICIAL[capa lím inf ev],MATCH(COND_INTERSTICIAL[[#This Row],[Mes]]&amp;"-"&amp;COND_INTERSTICIAL[[#This Row],[Sección]]&amp;"-"&amp;(COND_INTERSTICIAL[[#This Row],[tramo ev]]+1),COND_INTERSTICIAL[llave tramo ev],0)))</f>
        <v>#DIV/0!</v>
      </c>
      <c r="DW32" s="111" cm="1">
        <f t="array" aca="1" ref="DW3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2" s="113" t="e" cm="1">
        <f t="array" aca="1" ref="DX3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2"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32" s="113" t="e">
        <f ca="1">COND_INTERSTICIAL[[#This Row],[gev]]+COND_INTERSTICIAL[[#This Row],[Ma anterior ev]]</f>
        <v>#DIV/0!</v>
      </c>
      <c r="EA32" s="115" t="e">
        <f ca="1">IF(COND_INTERSTICIAL[[#This Row],[Ma cond]]+COND_INTERSTICIAL[[#This Row],[Ma ev]]&lt;=0,0,COND_INTERSTICIAL[[#This Row],[Ma cond]]+COND_INTERSTICIAL[[#This Row],[Ma ev]])</f>
        <v>#DIV/0!</v>
      </c>
      <c r="EB32" s="115" t="e">
        <f ca="1">IF(COND_INTERSTICIAL[[#This Row],[Ma]]&gt;0,TRUE,FALSE)</f>
        <v>#DIV/0!</v>
      </c>
      <c r="EC32" s="115" t="e" cm="1">
        <f t="array" aca="1" ref="EC32" ca="1">IF(COND_INTERSTICIAL[[#This Row],[agua líquida]],IF(COND_INTERSTICIAL[[#This Row],[Condensa]],COND_INTERSTICIAL[[#This Row],[P límite cond]],COND_INTERSTICIAL[[#This Row],[P límite ev]]),IF(COND_INTERSTICIAL[[#This Row],[Capa]]=N_capas,COND_INTERSTICIAL[[#This Row],[Pn]],""))</f>
        <v>#DIV/0!</v>
      </c>
      <c r="ED32" s="115" t="e">
        <f ca="1">COND_INTERSTICIAL[[#This Row],[Mes]]&amp;"-"&amp;COND_INTERSTICIAL[[#This Row],[Sección]]&amp;"-"&amp;COND_INTERSTICIAL[[#This Row],[tramo gráf]]</f>
        <v>#DIV/0!</v>
      </c>
      <c r="EE32" s="114" t="e" cm="1">
        <f t="array" aca="1" ref="EE32" ca="1">IF(COND_INTERSTICIAL[[#This Row],[Capa]]=1,IF(COND_INTERSTICIAL[[#This Row],[agua líquida]],2,1),IF(COND_INTERSTICIAL[[#This Row],[agua líquida]],1,0)+INDIRECT(ADDRESS(ROW()-1,COLUMN(),4)))</f>
        <v>#DIV/0!</v>
      </c>
      <c r="EF32" s="114" t="e" cm="1">
        <f t="array" aca="1" ref="EF32" ca="1">IF(COND_INTERSTICIAL[[#This Row],[tramo gráf]]=1,0,IF((COND_INTERSTICIAL[[#This Row],[tramo gráf]]&gt;INDIRECT(ADDRESS(ROW()-1,COLUMN(COND_INTERSTICIAL[[#This Row],[tramo gráf]]),4)))+COND_INTERSTICIAL[[#This Row],[agua líquida]],COND_INTERSTICIAL[[#This Row],[Capa]],INDIRECT(ADDRESS(ROW()-1,COLUMN(),4))))</f>
        <v>#DIV/0!</v>
      </c>
      <c r="EG32" s="114" t="e" cm="1">
        <f t="array" aca="1" ref="EG32" ca="1">IF((COND_INTERSTICIAL[[#This Row],[Capa]]=N_capas)+(COND_INTERSTICIAL[[#This Row],[tramo gráf]]=COUNTIFS(COND_INTERSTICIAL[agua líquida],TRUE,COND_INTERSTICIAL[Mes],CW32,COND_INTERSTICIAL[Sección],CX32)+1),N_capas,INDEX(COND_INTERSTICIAL[capa lím inf gráf],MATCH(COND_INTERSTICIAL[[#This Row],[Mes]]&amp;"-"&amp;COND_INTERSTICIAL[[#This Row],[Sección]]&amp;"-"&amp;(COND_INTERSTICIAL[[#This Row],[tramo gráf]]+1),COND_INTERSTICIAL[llave tramo gráf],0)))</f>
        <v>#DIV/0!</v>
      </c>
      <c r="EH32" s="114" cm="1">
        <f t="array" aca="1" ref="EH3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2" s="116" t="e" cm="1">
        <f t="array" aca="1" ref="EI3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32">
        <f t="shared" si="0"/>
        <v>7</v>
      </c>
      <c r="EM32">
        <f t="shared" si="1"/>
        <v>1</v>
      </c>
      <c r="EN32">
        <f>ROW()-ROW(INDEX(COND_INTERSTICIAL_GRÁF[],1,1))</f>
        <v>7</v>
      </c>
      <c r="EO32" t="str">
        <f>COND_INTERSTICIAL_GRÁF[[#This Row],[Mes]]&amp;"-"&amp;COND_INTERSTICIAL_GRÁF[[#This Row],[Sección]]&amp;"-"&amp;COND_INTERSTICIAL_GRÁF[[#This Row],[Capa]]</f>
        <v>7-1-7</v>
      </c>
      <c r="EP32" t="str">
        <f>"Capa "&amp;COND_INTERSTICIAL_GRÁF[[#This Row],[Capa]]&amp;": "&amp;IFERROR(INDEX(SECCIONES_CAPAS[Abreviatura],MATCH(COND_INTERSTICIAL_GRÁF[[#This Row],[Sección]]&amp;"-"&amp;COND_INTERSTICIAL_GRÁF[[#This Row],[Capa]],SECCIONES_CAPAS[llave],0)),"")</f>
        <v>Capa 7: Capa 7</v>
      </c>
      <c r="EQ32">
        <f>IFERROR(IF(COND_INTERSTICIAL_GRÁF[[#This Row],[Capa]]=0,0,INDEX(SECCIONES_CAPAS[d],MATCH(COND_INTERSTICIAL_GRÁF[[#This Row],[Sección]]&amp;"-"&amp;COND_INTERSTICIAL_GRÁF[[#This Row],[Capa]],SECCIONES_CAPAS[llave],0))),NA())</f>
        <v>0</v>
      </c>
      <c r="ER32">
        <f>IFERROR(IF(COND_INTERSTICIAL_GRÁF[[#This Row],[Capa]]=0,0,INDEX(SECCIONES_CAPAS[d''],MATCH(COND_INTERSTICIAL_GRÁF[[#This Row],[Sección]]&amp;"-"&amp;COND_INTERSTICIAL_GRÁF[[#This Row],[Capa]],SECCIONES_CAPAS[llave],0))),NA())</f>
        <v>0</v>
      </c>
      <c r="ES32" s="377" t="e" cm="1">
        <f t="array" ref="ES32">COND_INTERSTICIAL_GRÁF[[#This Row],[d'']]/INDEX(SECCIONES[d''],COND_INTERSTICIAL_GRÁF[[#This Row],[Sección]])</f>
        <v>#DIV/0!</v>
      </c>
      <c r="ET32" cm="1">
        <f t="array" aca="1" ref="ET32" ca="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7.1470588235294112</v>
      </c>
      <c r="EU32" s="90" t="e" cm="1">
        <f t="array" aca="1" ref="EU32" ca="1">IFERROR(IF(capa_interior_μ_inf,NA(),6.54+14.526*LN(COND_INTERSTICIAL_GRÁF[[#This Row],[Pn]]/1000)+0.7389*LN(COND_INTERSTICIAL_GRÁF[[#This Row],[Pn]]/1000)^2+0.09486*LN(COND_INTERSTICIAL_GRÁF[[#This Row],[Pn]]/1000)^3+0.4569*(COND_INTERSTICIAL_GRÁF[[#This Row],[Pn]]/1000)^0.1984),NA())</f>
        <v>#N/A</v>
      </c>
      <c r="EV32">
        <f>IFERROR(IF(COND_INTERSTICIAL_GRÁF[[#This Row],[Capa]]=0,0,INDEX(COND_INTERSTICIAL[Sd],MATCH(COND_INTERSTICIAL_GRÁF[[#This Row],[llave capa]],COND_INTERSTICIAL[llave capa],0))),NA())</f>
        <v>0</v>
      </c>
      <c r="EW32" s="90">
        <f ca="1">IFERROR(IF(COND_INTERSTICIAL_GRÁF[[#This Row],[Capa]]=0,0,INDEX(COND_INTERSTICIAL[S''d],MATCH(COND_INTERSTICIAL_GRÁF[[#This Row],[llave capa]],COND_INTERSTICIAL[llave capa],0))),NA())</f>
        <v>0</v>
      </c>
      <c r="EX32" s="377" t="e" cm="1">
        <f t="array" aca="1" ref="EX32" ca="1">COND_INTERSTICIAL_GRÁF[[#This Row],[S''d]]/INDEX(SECCIONES[SdT],Gráf_sección)</f>
        <v>#DIV/0!</v>
      </c>
      <c r="EY32" s="90" cm="1">
        <f t="array" aca="1" ref="EY32" ca="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1011.4936324284752</v>
      </c>
      <c r="EZ32" s="107">
        <f ca="1">IFERROR(INDEX(COND_INTERSTICIAL[Ma],MATCH(COND_INTERSTICIAL_GRÁF[[#This Row],[llave capa]],COND_INTERSTICIAL[llave capa],0)),0)</f>
        <v>0</v>
      </c>
      <c r="FA32" s="90" t="b">
        <f ca="1">IF(COND_INTERSTICIAL_GRÁF[[#This Row],[Ma]]&gt;0,TRUE,FALSE)</f>
        <v>0</v>
      </c>
      <c r="FB32" s="90" t="str">
        <f>"Interfaz "&amp;COND_INTERSTICIAL_GRÁF[[#This Row],[Capa]]</f>
        <v>Interfaz 7</v>
      </c>
      <c r="FC32" s="90" t="e">
        <f ca="1">IF(COND_INTERSTICIAL_GRÁF[[#This Row],[agua líquida]],COND_INTERSTICIAL_GRÁF[[#This Row],[Psat]],NA())</f>
        <v>#N/A</v>
      </c>
      <c r="FD32" s="90" t="e" cm="1">
        <f t="array" aca="1" ref="FD32" ca="1">IFERROR(IF(COND_INTERSTICIAL_GRÁF[[#This Row],[Capa]]=0,INDEX(CLIMA[Pe],COND_INTERSTICIAL_GRÁF[[#This Row],[Mes]]),INDEX(COND_INTERSTICIAL[Pn],MATCH(COND_INTERSTICIAL_GRÁF[[#This Row],[llave capa]],COND_INTERSTICIAL[llave capa],0))),NA())</f>
        <v>#N/A</v>
      </c>
      <c r="FE32" s="90" t="e" cm="1">
        <f t="array" aca="1" ref="FE32" ca="1">IFERROR(IF(capa_interior_μ_inf,NA(),IF(COND_INTERSTICIAL_GRÁF[[#This Row],[Capa]]=0,INDEX(CLIMA[Pe],COND_INTERSTICIAL_GRÁF[[#This Row],[Mes]]),INDEX(COND_INTERSTICIAL[Pn gráf],MATCH(COND_INTERSTICIAL_GRÁF[[#This Row],[llave capa]],COND_INTERSTICIAL[llave capa],0)))),NA())</f>
        <v>#N/A</v>
      </c>
      <c r="FW32" s="60" t="s">
        <v>1501</v>
      </c>
      <c r="FX32" s="305" t="s">
        <v>1516</v>
      </c>
      <c r="FY32" s="304"/>
      <c r="FZ32" s="302" t="str">
        <f ca="1">IF(ISBLANK(FZ24)+ISBLANK(GA24),"",IF((FZ23&lt;GA23)+(FZ23=0)*(GA23=0),1,0))</f>
        <v/>
      </c>
      <c r="GB32" s="21"/>
      <c r="GD32" s="11" t="s">
        <v>1434</v>
      </c>
      <c r="GE32">
        <f>Anexo!$U$7/1000</f>
        <v>1.4999999999999999E-2</v>
      </c>
      <c r="GF32" t="s">
        <v>135</v>
      </c>
      <c r="GH32" s="12"/>
    </row>
    <row r="33" spans="32:190" x14ac:dyDescent="0.45">
      <c r="AF33" s="11" t="s">
        <v>1481</v>
      </c>
      <c r="AG33" s="2" t="s">
        <v>1473</v>
      </c>
      <c r="AH33" s="90" t="e">
        <f>λ_terreno_defecto*R_tot</f>
        <v>#DIV/0!</v>
      </c>
      <c r="AI33" s="12" t="s">
        <v>391</v>
      </c>
      <c r="BY33" s="187" t="s">
        <v>352</v>
      </c>
      <c r="BZ33" cm="1">
        <f t="array" ref="BZ33">INDEX(clase_humedad_clima_marítimo[y1 Δp],Clase_humedad)</f>
        <v>100</v>
      </c>
      <c r="CA33" s="12"/>
      <c r="CK33" s="1" cm="1">
        <f t="array" ref="CK33">ROUNDUP((ROW()-$CN$18)/(N_secciones),0)</f>
        <v>7</v>
      </c>
      <c r="CL33" cm="1">
        <f t="array" ref="CL33">ROW()-ROW(INDEX(COND_SUPERFICIAL[],1,1))+1-(COND_SUPERFICIAL[[#This Row],[Mes]]-1)*N_secciones</f>
        <v>2</v>
      </c>
      <c r="CM33" s="1" t="str">
        <f>COND_SUPERFICIAL[[#This Row],[Mes]]&amp;"-"&amp;COND_SUPERFICIAL[[#This Row],[Sección]]</f>
        <v>7-2</v>
      </c>
      <c r="CN33" t="b" cm="1">
        <f t="array" aca="1" ref="CN33" ca="1">IF(INDEX(SECCIONES[Rtsección_condensación],COND_SUPERFICIAL[[#This Row],[Sección]])&lt;=INDEX(COND_SUPERFICIAL_CONDICIONES[Rt_mín],COND_SUPERFICIAL[[#This Row],[Mes]]),TRUE,FALSE)</f>
        <v>1</v>
      </c>
      <c r="CP33" s="1" cm="1">
        <f t="array" ref="CP33">ROUNDUP((ROW()-$CN$18)/(N_secciones),0)</f>
        <v>7</v>
      </c>
      <c r="CQ33" s="1" cm="1">
        <f t="array" ref="CQ33">ROUNDUP((ROW()-$CN$18+(Mes_inicial_de_análisis-1)*N_secciones)/(N_secciones),0)-12*IF(ROW()-$CN$18&gt;(12-Mes_inicial_de_análisis+1)*N_secciones,1,0)</f>
        <v>1</v>
      </c>
      <c r="CR33" s="1" cm="1">
        <f t="array" ref="CR33">ROW()-$CN$18-(ROUNDUP((ROW()-$CN$18)/(N_secciones),0)-1)*N_secciones</f>
        <v>2</v>
      </c>
      <c r="CS33" s="107" t="str">
        <f>COND_INTERSTICIAL_AGUA_ACUMULADA[[#This Row],[orden]]&amp;"-"&amp;COND_INTERSTICIAL_AGUA_ACUMULADA[[#This Row],[Sección]]</f>
        <v>7-2</v>
      </c>
      <c r="CT33">
        <f ca="1">COUNTIFS(COND_INTERSTICIAL[agua líquida],TRUE,COND_INTERSTICIAL[Mes],COND_INTERSTICIAL_AGUA_ACUMULADA[[#This Row],[Mes]],COND_INTERSTICIAL[Sección],COND_INTERSTICIAL_AGUA_ACUMULADA[[#This Row],[Sección]])</f>
        <v>0</v>
      </c>
      <c r="CU33" s="107" t="e">
        <f ca="1">SUMIFS(COND_INTERSTICIAL[Ma],COND_INTERSTICIAL[Mes],COND_INTERSTICIAL_AGUA_ACUMULADA[[#This Row],[Mes]],COND_INTERSTICIAL[Sección],COND_INTERSTICIAL_AGUA_ACUMULADA[[#This Row],[Sección]])</f>
        <v>#N/A</v>
      </c>
      <c r="CW33" s="1" cm="1">
        <f t="array" ref="CW33">ROUNDUP((ROW()-$CN$18+(Mes_inicial_de_análisis-1)*N_capas*N_secciones)/(N_capas*N_secciones),0)-12*IF(ROW()-$CN$18&gt;(12-Mes_inicial_de_análisis+1)*N_capas*N_secciones,1,0)</f>
        <v>7</v>
      </c>
      <c r="CX33" cm="1">
        <f t="array" ref="CX33">ROUNDUP((ROW()-$CN$18)/N_capas-(ROUNDUP((ROW()-$CN$18)/(N_capas*N_secciones),0)-1)*N_secciones,0)</f>
        <v>2</v>
      </c>
      <c r="CY33" cm="1">
        <f t="array" ref="CY33">(ROW()-$CN$18)-(COND_INTERSTICIAL[[#This Row],[Sección]]-1)*N_capas-(ROUNDUP((ROW()-$CN$18)/(N_capas*N_secciones),0)-1)*N_capas*N_secciones</f>
        <v>7</v>
      </c>
      <c r="CZ33" t="str">
        <f>COND_INTERSTICIAL[[#This Row],[Mes]]&amp;"-"&amp;COND_INTERSTICIAL[[#This Row],[Sección]]&amp;"-"&amp;COND_INTERSTICIAL[[#This Row],[Capa]]</f>
        <v>7-2-7</v>
      </c>
      <c r="DA33">
        <f ca="1">INDEX(SECCIONES_CAPAS[R''n],MATCH(COND_INTERSTICIAL[[#This Row],[Sección]]&amp;"-"&amp;COND_INTERSTICIAL[[#This Row],[Capa]],SECCIONES_CAPAS[llave],0))</f>
        <v>0.04</v>
      </c>
      <c r="DB33" s="172" cm="1">
        <f t="array" aca="1" ref="DB33" ca="1">INDEX(CLIMA[ϴe],COND_INTERSTICIAL[[#This Row],[Mes]])+COND_INTERSTICIAL[[#This Row],[Rn]]*(INDEX(CLIMA[ϴi],COND_INTERSTICIAL[[#This Row],[Mes]])-INDEX(CLIMA[ϴe],COND_INTERSTICIAL[[#This Row],[Mes]]))/(INDEX(SECCIONES[Rtsección_condensación],COND_INTERSTICIAL[[#This Row],[Sección]]))</f>
        <v>7.1470588235294112</v>
      </c>
      <c r="DC33">
        <f>INDEX(SECCIONES_CAPAS[Sd],MATCH(COND_INTERSTICIAL[[#This Row],[Sección]]&amp;"-"&amp;COND_INTERSTICIAL[[#This Row],[Capa]],SECCIONES_CAPAS[llave],0))</f>
        <v>0</v>
      </c>
      <c r="DD33">
        <f ca="1">INDEX(SECCIONES_CAPAS[S''d],MATCH(COND_INTERSTICIAL[[#This Row],[Sección]]&amp;"-"&amp;COND_INTERSTICIAL[[#This Row],[Capa]],SECCIONES_CAPAS[llave],0))</f>
        <v>0</v>
      </c>
      <c r="DE33" s="90">
        <f ca="1">IF(COND_INTERSTICIAL[[#This Row],[ϴn]]&gt;=0,610.5*EXP((17.269*COND_INTERSTICIAL[[#This Row],[ϴn]])/(237.3+COND_INTERSTICIAL[[#This Row],[ϴn]])),610.5*EXP((21.875*COND_INTERSTICIAL[[#This Row],[ϴn]])/(265.5+COND_INTERSTICIAL[[#This Row],[ϴn]])))</f>
        <v>1011.4936324284752</v>
      </c>
      <c r="DF33" s="90" t="e" cm="1">
        <f t="array" aca="1" ref="DF33" ca="1">COND_INTERSTICIAL[[#This Row],[S''d]]*((INDEX(CLIMA[Pi],COND_INTERSTICIAL[[#This Row],[Mes]])-INDEX(CLIMA[Pe],COND_INTERSTICIAL[[#This Row],[Mes]]))/INDEX(SECCIONES[SdT],COND_INTERSTICIAL[[#This Row],[Sección]]))+INDEX(CLIMA[Pe],COND_INTERSTICIAL[[#This Row],[Mes]])</f>
        <v>#DIV/0!</v>
      </c>
      <c r="DG33" s="108" t="e">
        <f ca="1">IF((COND_INTERSTICIAL[[#This Row],[Pn]]&gt;=COND_INTERSTICIAL[[#This Row],[Psat]]),TRUE,FALSE)</f>
        <v>#DIV/0!</v>
      </c>
      <c r="DH33" s="109" t="e" cm="1">
        <f t="array" aca="1" ref="DH33" ca="1">IF(COND_INTERSTICIAL[[#This Row],[Condensa]],COND_INTERSTICIAL[[#This Row],[Psat]],IF(COND_INTERSTICIAL[[#This Row],[Capa]]=N_capas,COND_INTERSTICIAL[[#This Row],[Pn]],""))</f>
        <v>#DIV/0!</v>
      </c>
      <c r="DI33" s="109" t="e">
        <f ca="1">COND_INTERSTICIAL[[#This Row],[Mes]]&amp;"-"&amp;COND_INTERSTICIAL[[#This Row],[Sección]]&amp;"-"&amp;COND_INTERSTICIAL[[#This Row],[tramo cond]]</f>
        <v>#DIV/0!</v>
      </c>
      <c r="DJ33" t="e" cm="1">
        <f t="array" aca="1" ref="DJ33" ca="1">IF(COND_INTERSTICIAL[[#This Row],[Capa]]=1,IF(COND_INTERSTICIAL[[#This Row],[Condensa]],2,1),IF(COND_INTERSTICIAL[[#This Row],[Condensa]],1,0)+INDIRECT(ADDRESS(ROW()-1,COLUMN(),4)))</f>
        <v>#DIV/0!</v>
      </c>
      <c r="DK33" s="108" t="e" cm="1">
        <f t="array" aca="1" ref="DK33" ca="1">IF(COND_INTERSTICIAL[[#This Row],[tramo cond]]=1,0,IF((COND_INTERSTICIAL[[#This Row],[tramo cond]]&gt;INDIRECT(ADDRESS(ROW()-1,COLUMN(COND_INTERSTICIAL[[#This Row],[tramo cond]]),4)))+COND_INTERSTICIAL[[#This Row],[Condensa]],COND_INTERSTICIAL[[#This Row],[Capa]],INDIRECT(ADDRESS(ROW()-1,COLUMN(),4))))</f>
        <v>#DIV/0!</v>
      </c>
      <c r="DL33" s="108" t="e" cm="1">
        <f t="array" aca="1" ref="DL33" ca="1">IF((COND_INTERSTICIAL[[#This Row],[Capa]]=N_capas)+(COND_INTERSTICIAL[[#This Row],[tramo cond]]=COUNTIFS(COND_INTERSTICIAL[Condensa],TRUE,COND_INTERSTICIAL[Mes],CW33,COND_INTERSTICIAL[Sección],CX33)+1),N_capas,INDEX(COND_INTERSTICIAL[capa lím inf cond],MATCH(COND_INTERSTICIAL[[#This Row],[Mes]]&amp;"-"&amp;COND_INTERSTICIAL[[#This Row],[Sección]]&amp;"-"&amp;(COND_INTERSTICIAL[[#This Row],[tramo cond]]+1),COND_INTERSTICIAL[llave tramo cond],0)))</f>
        <v>#DIV/0!</v>
      </c>
      <c r="DM33" s="108" cm="1">
        <f t="array" aca="1" ref="DM3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3" s="110" t="e" cm="1">
        <f t="array" aca="1" ref="DN3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33"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33" s="107" t="e">
        <f ca="1">COND_INTERSTICIAL[[#This Row],[gc]]+COND_INTERSTICIAL[[#This Row],[Ma_anterior cond]]</f>
        <v>#DIV/0!</v>
      </c>
      <c r="DQ33" s="113" t="e">
        <f ca="1">IF((COND_INTERSTICIAL[[#This Row],[Ma_anterior cond]]&gt;0)*NOT(COND_INTERSTICIAL[[#This Row],[Condensa]]),TRUE,FALSE)</f>
        <v>#DIV/0!</v>
      </c>
      <c r="DR33" s="112" t="e" cm="1">
        <f t="array" aca="1" ref="DR33" ca="1">IF(COND_INTERSTICIAL[[#This Row],[evapora]],COND_INTERSTICIAL[[#This Row],[Psat]],IF(COND_INTERSTICIAL[[#This Row],[Capa]]=N_capas,COND_INTERSTICIAL[[#This Row],[Pn]],""))</f>
        <v>#DIV/0!</v>
      </c>
      <c r="DS33" s="112" t="e">
        <f ca="1">COND_INTERSTICIAL[[#This Row],[Mes]]&amp;"-"&amp;COND_INTERSTICIAL[[#This Row],[Sección]]&amp;"-"&amp;COND_INTERSTICIAL[[#This Row],[tramo ev]]</f>
        <v>#DIV/0!</v>
      </c>
      <c r="DT33" s="111" t="e" cm="1">
        <f t="array" aca="1" ref="DT33" ca="1">IF(COND_INTERSTICIAL[[#This Row],[Capa]]=1,IF(COND_INTERSTICIAL[[#This Row],[evapora]],2,1),IF(COND_INTERSTICIAL[[#This Row],[evapora]],1,0)+INDIRECT(ADDRESS(ROW()-1,COLUMN(),4)))</f>
        <v>#DIV/0!</v>
      </c>
      <c r="DU33" s="111" t="e" cm="1">
        <f t="array" aca="1" ref="DU33" ca="1">IF(COND_INTERSTICIAL[[#This Row],[tramo ev]]=1,0,IF((COND_INTERSTICIAL[[#This Row],[tramo ev]]&gt;INDIRECT(ADDRESS(ROW()-1,COLUMN(COND_INTERSTICIAL[[#This Row],[tramo ev]]),4)))+COND_INTERSTICIAL[[#This Row],[evapora]],COND_INTERSTICIAL[[#This Row],[Capa]],INDIRECT(ADDRESS(ROW()-1,COLUMN(),4))))</f>
        <v>#DIV/0!</v>
      </c>
      <c r="DV33" s="111" t="e" cm="1">
        <f t="array" aca="1" ref="DV33" ca="1">IF((COND_INTERSTICIAL[[#This Row],[Capa]]=N_capas)+(COND_INTERSTICIAL[[#This Row],[tramo ev]]=COUNTIFS(COND_INTERSTICIAL[evapora],TRUE,COND_INTERSTICIAL[Mes],CW33,COND_INTERSTICIAL[Sección],CX33)+1),N_capas,INDEX(COND_INTERSTICIAL[capa lím inf ev],MATCH(COND_INTERSTICIAL[[#This Row],[Mes]]&amp;"-"&amp;COND_INTERSTICIAL[[#This Row],[Sección]]&amp;"-"&amp;(COND_INTERSTICIAL[[#This Row],[tramo ev]]+1),COND_INTERSTICIAL[llave tramo ev],0)))</f>
        <v>#DIV/0!</v>
      </c>
      <c r="DW33" s="111" cm="1">
        <f t="array" aca="1" ref="DW3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3" s="113" t="e" cm="1">
        <f t="array" aca="1" ref="DX3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3"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33" s="113" t="e">
        <f ca="1">COND_INTERSTICIAL[[#This Row],[gev]]+COND_INTERSTICIAL[[#This Row],[Ma anterior ev]]</f>
        <v>#DIV/0!</v>
      </c>
      <c r="EA33" s="115" t="e">
        <f ca="1">IF(COND_INTERSTICIAL[[#This Row],[Ma cond]]+COND_INTERSTICIAL[[#This Row],[Ma ev]]&lt;=0,0,COND_INTERSTICIAL[[#This Row],[Ma cond]]+COND_INTERSTICIAL[[#This Row],[Ma ev]])</f>
        <v>#DIV/0!</v>
      </c>
      <c r="EB33" s="115" t="e">
        <f ca="1">IF(COND_INTERSTICIAL[[#This Row],[Ma]]&gt;0,TRUE,FALSE)</f>
        <v>#DIV/0!</v>
      </c>
      <c r="EC33" s="115" t="e" cm="1">
        <f t="array" aca="1" ref="EC33" ca="1">IF(COND_INTERSTICIAL[[#This Row],[agua líquida]],IF(COND_INTERSTICIAL[[#This Row],[Condensa]],COND_INTERSTICIAL[[#This Row],[P límite cond]],COND_INTERSTICIAL[[#This Row],[P límite ev]]),IF(COND_INTERSTICIAL[[#This Row],[Capa]]=N_capas,COND_INTERSTICIAL[[#This Row],[Pn]],""))</f>
        <v>#DIV/0!</v>
      </c>
      <c r="ED33" s="115" t="e">
        <f ca="1">COND_INTERSTICIAL[[#This Row],[Mes]]&amp;"-"&amp;COND_INTERSTICIAL[[#This Row],[Sección]]&amp;"-"&amp;COND_INTERSTICIAL[[#This Row],[tramo gráf]]</f>
        <v>#DIV/0!</v>
      </c>
      <c r="EE33" s="114" t="e" cm="1">
        <f t="array" aca="1" ref="EE33" ca="1">IF(COND_INTERSTICIAL[[#This Row],[Capa]]=1,IF(COND_INTERSTICIAL[[#This Row],[agua líquida]],2,1),IF(COND_INTERSTICIAL[[#This Row],[agua líquida]],1,0)+INDIRECT(ADDRESS(ROW()-1,COLUMN(),4)))</f>
        <v>#DIV/0!</v>
      </c>
      <c r="EF33" s="114" t="e" cm="1">
        <f t="array" aca="1" ref="EF33" ca="1">IF(COND_INTERSTICIAL[[#This Row],[tramo gráf]]=1,0,IF((COND_INTERSTICIAL[[#This Row],[tramo gráf]]&gt;INDIRECT(ADDRESS(ROW()-1,COLUMN(COND_INTERSTICIAL[[#This Row],[tramo gráf]]),4)))+COND_INTERSTICIAL[[#This Row],[agua líquida]],COND_INTERSTICIAL[[#This Row],[Capa]],INDIRECT(ADDRESS(ROW()-1,COLUMN(),4))))</f>
        <v>#DIV/0!</v>
      </c>
      <c r="EG33" s="114" t="e" cm="1">
        <f t="array" aca="1" ref="EG33" ca="1">IF((COND_INTERSTICIAL[[#This Row],[Capa]]=N_capas)+(COND_INTERSTICIAL[[#This Row],[tramo gráf]]=COUNTIFS(COND_INTERSTICIAL[agua líquida],TRUE,COND_INTERSTICIAL[Mes],CW33,COND_INTERSTICIAL[Sección],CX33)+1),N_capas,INDEX(COND_INTERSTICIAL[capa lím inf gráf],MATCH(COND_INTERSTICIAL[[#This Row],[Mes]]&amp;"-"&amp;COND_INTERSTICIAL[[#This Row],[Sección]]&amp;"-"&amp;(COND_INTERSTICIAL[[#This Row],[tramo gráf]]+1),COND_INTERSTICIAL[llave tramo gráf],0)))</f>
        <v>#DIV/0!</v>
      </c>
      <c r="EH33" s="114" cm="1">
        <f t="array" aca="1" ref="EH3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3" s="116" t="e" cm="1">
        <f t="array" aca="1" ref="EI3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33">
        <f t="shared" si="0"/>
        <v>7</v>
      </c>
      <c r="EM33">
        <f t="shared" si="1"/>
        <v>1</v>
      </c>
      <c r="EN33">
        <f>ROW()-ROW(INDEX(COND_INTERSTICIAL_GRÁF[],1,1))</f>
        <v>8</v>
      </c>
      <c r="EO33" t="str">
        <f>COND_INTERSTICIAL_GRÁF[[#This Row],[Mes]]&amp;"-"&amp;COND_INTERSTICIAL_GRÁF[[#This Row],[Sección]]&amp;"-"&amp;COND_INTERSTICIAL_GRÁF[[#This Row],[Capa]]</f>
        <v>7-1-8</v>
      </c>
      <c r="EP33" t="str">
        <f>"Capa "&amp;COND_INTERSTICIAL_GRÁF[[#This Row],[Capa]]&amp;": "&amp;IFERROR(INDEX(SECCIONES_CAPAS[Abreviatura],MATCH(COND_INTERSTICIAL_GRÁF[[#This Row],[Sección]]&amp;"-"&amp;COND_INTERSTICIAL_GRÁF[[#This Row],[Capa]],SECCIONES_CAPAS[llave],0)),"")</f>
        <v xml:space="preserve">Capa 8: </v>
      </c>
      <c r="EQ33" t="e">
        <f>IFERROR(IF(COND_INTERSTICIAL_GRÁF[[#This Row],[Capa]]=0,0,INDEX(SECCIONES_CAPAS[d],MATCH(COND_INTERSTICIAL_GRÁF[[#This Row],[Sección]]&amp;"-"&amp;COND_INTERSTICIAL_GRÁF[[#This Row],[Capa]],SECCIONES_CAPAS[llave],0))),NA())</f>
        <v>#N/A</v>
      </c>
      <c r="ER33" t="e">
        <f>IFERROR(IF(COND_INTERSTICIAL_GRÁF[[#This Row],[Capa]]=0,0,INDEX(SECCIONES_CAPAS[d''],MATCH(COND_INTERSTICIAL_GRÁF[[#This Row],[Sección]]&amp;"-"&amp;COND_INTERSTICIAL_GRÁF[[#This Row],[Capa]],SECCIONES_CAPAS[llave],0))),NA())</f>
        <v>#N/A</v>
      </c>
      <c r="ES33" s="377" t="e" cm="1">
        <f t="array" ref="ES33">COND_INTERSTICIAL_GRÁF[[#This Row],[d'']]/INDEX(SECCIONES[d''],COND_INTERSTICIAL_GRÁF[[#This Row],[Sección]])</f>
        <v>#N/A</v>
      </c>
      <c r="ET33" t="e" cm="1">
        <f t="array" ref="ET33">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33" s="90" t="e" cm="1">
        <f t="array" ref="EU33">IFERROR(IF(capa_interior_μ_inf,NA(),6.54+14.526*LN(COND_INTERSTICIAL_GRÁF[[#This Row],[Pn]]/1000)+0.7389*LN(COND_INTERSTICIAL_GRÁF[[#This Row],[Pn]]/1000)^2+0.09486*LN(COND_INTERSTICIAL_GRÁF[[#This Row],[Pn]]/1000)^3+0.4569*(COND_INTERSTICIAL_GRÁF[[#This Row],[Pn]]/1000)^0.1984),NA())</f>
        <v>#N/A</v>
      </c>
      <c r="EV33" t="e">
        <f>IFERROR(IF(COND_INTERSTICIAL_GRÁF[[#This Row],[Capa]]=0,0,INDEX(COND_INTERSTICIAL[Sd],MATCH(COND_INTERSTICIAL_GRÁF[[#This Row],[llave capa]],COND_INTERSTICIAL[llave capa],0))),NA())</f>
        <v>#N/A</v>
      </c>
      <c r="EW33" s="90" t="e">
        <f>IFERROR(IF(COND_INTERSTICIAL_GRÁF[[#This Row],[Capa]]=0,0,INDEX(COND_INTERSTICIAL[S''d],MATCH(COND_INTERSTICIAL_GRÁF[[#This Row],[llave capa]],COND_INTERSTICIAL[llave capa],0))),NA())</f>
        <v>#N/A</v>
      </c>
      <c r="EX33" s="377" t="e" cm="1">
        <f t="array" ref="EX33">COND_INTERSTICIAL_GRÁF[[#This Row],[S''d]]/INDEX(SECCIONES[SdT],Gráf_sección)</f>
        <v>#N/A</v>
      </c>
      <c r="EY33" s="90" t="e" cm="1">
        <f t="array" ref="EY33">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33" s="107">
        <f>IFERROR(INDEX(COND_INTERSTICIAL[Ma],MATCH(COND_INTERSTICIAL_GRÁF[[#This Row],[llave capa]],COND_INTERSTICIAL[llave capa],0)),0)</f>
        <v>0</v>
      </c>
      <c r="FA33" s="90" t="b">
        <f>IF(COND_INTERSTICIAL_GRÁF[[#This Row],[Ma]]&gt;0,TRUE,FALSE)</f>
        <v>0</v>
      </c>
      <c r="FB33" s="90" t="str">
        <f>"Interfaz "&amp;COND_INTERSTICIAL_GRÁF[[#This Row],[Capa]]</f>
        <v>Interfaz 8</v>
      </c>
      <c r="FC33" s="90" t="e">
        <f>IF(COND_INTERSTICIAL_GRÁF[[#This Row],[agua líquida]],COND_INTERSTICIAL_GRÁF[[#This Row],[Psat]],NA())</f>
        <v>#N/A</v>
      </c>
      <c r="FD33" s="90" t="e" cm="1">
        <f t="array" ref="FD33">IFERROR(IF(COND_INTERSTICIAL_GRÁF[[#This Row],[Capa]]=0,INDEX(CLIMA[Pe],COND_INTERSTICIAL_GRÁF[[#This Row],[Mes]]),INDEX(COND_INTERSTICIAL[Pn],MATCH(COND_INTERSTICIAL_GRÁF[[#This Row],[llave capa]],COND_INTERSTICIAL[llave capa],0))),NA())</f>
        <v>#N/A</v>
      </c>
      <c r="FE33" s="90" t="e" cm="1">
        <f t="array" ref="FE33">IFERROR(IF(capa_interior_μ_inf,NA(),IF(COND_INTERSTICIAL_GRÁF[[#This Row],[Capa]]=0,INDEX(CLIMA[Pe],COND_INTERSTICIAL_GRÁF[[#This Row],[Mes]]),INDEX(COND_INTERSTICIAL[Pn gráf],MATCH(COND_INTERSTICIAL_GRÁF[[#This Row],[llave capa]],COND_INTERSTICIAL[llave capa],0)))),NA())</f>
        <v>#N/A</v>
      </c>
      <c r="GD33" s="11" t="s">
        <v>1435</v>
      </c>
      <c r="GE33">
        <f>Anexo!$U$8/1000</f>
        <v>0.02</v>
      </c>
      <c r="GF33" t="s">
        <v>135</v>
      </c>
      <c r="GH33" s="12"/>
    </row>
    <row r="34" spans="32:190" ht="14.65" thickBot="1" x14ac:dyDescent="0.5">
      <c r="AF34" s="19" t="s">
        <v>1475</v>
      </c>
      <c r="AG34" s="176" t="s">
        <v>1474</v>
      </c>
      <c r="AH34" s="299" t="e">
        <f>IF(((2*λ_terreno_defecto)/(PI()*z))*(1+0.5*d_f/(d_f+z))*LN(z/AH33+1)&lt;1,ROUND(((2*λ_terreno_defecto)/(PI()*z))*(1+0.5*d_f/(d_f+z))*LN(z/AH33+1),2),ROUND(((2*λ_terreno_defecto)/(PI()*z))*(1+0.5*d_f/(d_f+z))*LN(z/AH33+1),1))</f>
        <v>#DIV/0!</v>
      </c>
      <c r="AI34" s="21" t="s">
        <v>348</v>
      </c>
      <c r="BY34" s="187" t="s">
        <v>355</v>
      </c>
      <c r="BZ34" cm="1">
        <f t="array" ref="BZ34">INDEX(clase_humedad_clima_marítimo[y0 Δp],Clase_humedad)</f>
        <v>810</v>
      </c>
      <c r="CA34" s="12"/>
      <c r="CK34" s="1" cm="1">
        <f t="array" ref="CK34">ROUNDUP((ROW()-$CN$18)/(N_secciones),0)</f>
        <v>8</v>
      </c>
      <c r="CL34" cm="1">
        <f t="array" ref="CL34">ROW()-ROW(INDEX(COND_SUPERFICIAL[],1,1))+1-(COND_SUPERFICIAL[[#This Row],[Mes]]-1)*N_secciones</f>
        <v>1</v>
      </c>
      <c r="CM34" s="1" t="str">
        <f>COND_SUPERFICIAL[[#This Row],[Mes]]&amp;"-"&amp;COND_SUPERFICIAL[[#This Row],[Sección]]</f>
        <v>8-1</v>
      </c>
      <c r="CN34" t="e" cm="1">
        <f t="array" ref="CN34">IF(INDEX(SECCIONES[Rtsección_condensación],COND_SUPERFICIAL[[#This Row],[Sección]])&lt;=INDEX(COND_SUPERFICIAL_CONDICIONES[Rt_mín],COND_SUPERFICIAL[[#This Row],[Mes]]),TRUE,FALSE)</f>
        <v>#N/A</v>
      </c>
      <c r="CP34" s="1" cm="1">
        <f t="array" ref="CP34">ROUNDUP((ROW()-$CN$18)/(N_secciones),0)</f>
        <v>8</v>
      </c>
      <c r="CQ34" s="1" cm="1">
        <f t="array" ref="CQ34">ROUNDUP((ROW()-$CN$18+(Mes_inicial_de_análisis-1)*N_secciones)/(N_secciones),0)-12*IF(ROW()-$CN$18&gt;(12-Mes_inicial_de_análisis+1)*N_secciones,1,0)</f>
        <v>2</v>
      </c>
      <c r="CR34" s="1" cm="1">
        <f t="array" ref="CR34">ROW()-$CN$18-(ROUNDUP((ROW()-$CN$18)/(N_secciones),0)-1)*N_secciones</f>
        <v>1</v>
      </c>
      <c r="CS34" s="107" t="str">
        <f>COND_INTERSTICIAL_AGUA_ACUMULADA[[#This Row],[orden]]&amp;"-"&amp;COND_INTERSTICIAL_AGUA_ACUMULADA[[#This Row],[Sección]]</f>
        <v>8-1</v>
      </c>
      <c r="CT34">
        <f ca="1">COUNTIFS(COND_INTERSTICIAL[agua líquida],TRUE,COND_INTERSTICIAL[Mes],COND_INTERSTICIAL_AGUA_ACUMULADA[[#This Row],[Mes]],COND_INTERSTICIAL[Sección],COND_INTERSTICIAL_AGUA_ACUMULADA[[#This Row],[Sección]])</f>
        <v>0</v>
      </c>
      <c r="CU34" s="107" t="e">
        <f ca="1">SUMIFS(COND_INTERSTICIAL[Ma],COND_INTERSTICIAL[Mes],COND_INTERSTICIAL_AGUA_ACUMULADA[[#This Row],[Mes]],COND_INTERSTICIAL[Sección],COND_INTERSTICIAL_AGUA_ACUMULADA[[#This Row],[Sección]])</f>
        <v>#N/A</v>
      </c>
      <c r="CW34" s="1" cm="1">
        <f t="array" ref="CW34">ROUNDUP((ROW()-$CN$18+(Mes_inicial_de_análisis-1)*N_capas*N_secciones)/(N_capas*N_secciones),0)-12*IF(ROW()-$CN$18&gt;(12-Mes_inicial_de_análisis+1)*N_capas*N_secciones,1,0)</f>
        <v>8</v>
      </c>
      <c r="CX34" cm="1">
        <f t="array" ref="CX34">ROUNDUP((ROW()-$CN$18)/N_capas-(ROUNDUP((ROW()-$CN$18)/(N_capas*N_secciones),0)-1)*N_secciones,0)</f>
        <v>1</v>
      </c>
      <c r="CY34" cm="1">
        <f t="array" ref="CY34">(ROW()-$CN$18)-(COND_INTERSTICIAL[[#This Row],[Sección]]-1)*N_capas-(ROUNDUP((ROW()-$CN$18)/(N_capas*N_secciones),0)-1)*N_capas*N_secciones</f>
        <v>1</v>
      </c>
      <c r="CZ34" t="str">
        <f>COND_INTERSTICIAL[[#This Row],[Mes]]&amp;"-"&amp;COND_INTERSTICIAL[[#This Row],[Sección]]&amp;"-"&amp;COND_INTERSTICIAL[[#This Row],[Capa]]</f>
        <v>8-1-1</v>
      </c>
      <c r="DA34">
        <f ca="1">INDEX(SECCIONES_CAPAS[R''n],MATCH(COND_INTERSTICIAL[[#This Row],[Sección]]&amp;"-"&amp;COND_INTERSTICIAL[[#This Row],[Capa]],SECCIONES_CAPAS[llave],0))</f>
        <v>0.04</v>
      </c>
      <c r="DB34" s="172" t="e" cm="1">
        <f t="array" aca="1" ref="DB34" ca="1">INDEX(CLIMA[ϴe],COND_INTERSTICIAL[[#This Row],[Mes]])+COND_INTERSTICIAL[[#This Row],[Rn]]*(INDEX(CLIMA[ϴi],COND_INTERSTICIAL[[#This Row],[Mes]])-INDEX(CLIMA[ϴe],COND_INTERSTICIAL[[#This Row],[Mes]]))/(INDEX(SECCIONES[Rtsección_condensación],COND_INTERSTICIAL[[#This Row],[Sección]]))</f>
        <v>#N/A</v>
      </c>
      <c r="DC34">
        <f>INDEX(SECCIONES_CAPAS[Sd],MATCH(COND_INTERSTICIAL[[#This Row],[Sección]]&amp;"-"&amp;COND_INTERSTICIAL[[#This Row],[Capa]],SECCIONES_CAPAS[llave],0))</f>
        <v>0</v>
      </c>
      <c r="DD34">
        <f ca="1">INDEX(SECCIONES_CAPAS[S''d],MATCH(COND_INTERSTICIAL[[#This Row],[Sección]]&amp;"-"&amp;COND_INTERSTICIAL[[#This Row],[Capa]],SECCIONES_CAPAS[llave],0))</f>
        <v>0</v>
      </c>
      <c r="DE34" s="90" t="e">
        <f ca="1">IF(COND_INTERSTICIAL[[#This Row],[ϴn]]&gt;=0,610.5*EXP((17.269*COND_INTERSTICIAL[[#This Row],[ϴn]])/(237.3+COND_INTERSTICIAL[[#This Row],[ϴn]])),610.5*EXP((21.875*COND_INTERSTICIAL[[#This Row],[ϴn]])/(265.5+COND_INTERSTICIAL[[#This Row],[ϴn]])))</f>
        <v>#N/A</v>
      </c>
      <c r="DF34" s="90" t="e" cm="1">
        <f t="array" aca="1" ref="DF34" ca="1">COND_INTERSTICIAL[[#This Row],[S''d]]*((INDEX(CLIMA[Pi],COND_INTERSTICIAL[[#This Row],[Mes]])-INDEX(CLIMA[Pe],COND_INTERSTICIAL[[#This Row],[Mes]]))/INDEX(SECCIONES[SdT],COND_INTERSTICIAL[[#This Row],[Sección]]))+INDEX(CLIMA[Pe],COND_INTERSTICIAL[[#This Row],[Mes]])</f>
        <v>#N/A</v>
      </c>
      <c r="DG34" s="108" t="e">
        <f ca="1">IF((COND_INTERSTICIAL[[#This Row],[Pn]]&gt;=COND_INTERSTICIAL[[#This Row],[Psat]]),TRUE,FALSE)</f>
        <v>#N/A</v>
      </c>
      <c r="DH34" s="109" t="e" cm="1">
        <f t="array" aca="1" ref="DH34" ca="1">IF(COND_INTERSTICIAL[[#This Row],[Condensa]],COND_INTERSTICIAL[[#This Row],[Psat]],IF(COND_INTERSTICIAL[[#This Row],[Capa]]=N_capas,COND_INTERSTICIAL[[#This Row],[Pn]],""))</f>
        <v>#N/A</v>
      </c>
      <c r="DI34" s="109" t="e">
        <f ca="1">COND_INTERSTICIAL[[#This Row],[Mes]]&amp;"-"&amp;COND_INTERSTICIAL[[#This Row],[Sección]]&amp;"-"&amp;COND_INTERSTICIAL[[#This Row],[tramo cond]]</f>
        <v>#N/A</v>
      </c>
      <c r="DJ34" t="e" cm="1">
        <f t="array" aca="1" ref="DJ34" ca="1">IF(COND_INTERSTICIAL[[#This Row],[Capa]]=1,IF(COND_INTERSTICIAL[[#This Row],[Condensa]],2,1),IF(COND_INTERSTICIAL[[#This Row],[Condensa]],1,0)+INDIRECT(ADDRESS(ROW()-1,COLUMN(),4)))</f>
        <v>#N/A</v>
      </c>
      <c r="DK34" s="108" t="e" cm="1">
        <f t="array" aca="1" ref="DK34" ca="1">IF(COND_INTERSTICIAL[[#This Row],[tramo cond]]=1,0,IF((COND_INTERSTICIAL[[#This Row],[tramo cond]]&gt;INDIRECT(ADDRESS(ROW()-1,COLUMN(COND_INTERSTICIAL[[#This Row],[tramo cond]]),4)))+COND_INTERSTICIAL[[#This Row],[Condensa]],COND_INTERSTICIAL[[#This Row],[Capa]],INDIRECT(ADDRESS(ROW()-1,COLUMN(),4))))</f>
        <v>#N/A</v>
      </c>
      <c r="DL34" s="108" t="e" cm="1">
        <f t="array" aca="1" ref="DL34" ca="1">IF((COND_INTERSTICIAL[[#This Row],[Capa]]=N_capas)+(COND_INTERSTICIAL[[#This Row],[tramo cond]]=COUNTIFS(COND_INTERSTICIAL[Condensa],TRUE,COND_INTERSTICIAL[Mes],CW34,COND_INTERSTICIAL[Sección],CX34)+1),N_capas,INDEX(COND_INTERSTICIAL[capa lím inf cond],MATCH(COND_INTERSTICIAL[[#This Row],[Mes]]&amp;"-"&amp;COND_INTERSTICIAL[[#This Row],[Sección]]&amp;"-"&amp;(COND_INTERSTICIAL[[#This Row],[tramo cond]]+1),COND_INTERSTICIAL[llave tramo cond],0)))</f>
        <v>#N/A</v>
      </c>
      <c r="DM34" s="108" cm="1">
        <f t="array" aca="1" ref="DM3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4" s="110" t="e" cm="1">
        <f t="array" aca="1" ref="DN3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3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34" s="107" t="e">
        <f ca="1">COND_INTERSTICIAL[[#This Row],[gc]]+COND_INTERSTICIAL[[#This Row],[Ma_anterior cond]]</f>
        <v>#N/A</v>
      </c>
      <c r="DQ34" s="113" t="e">
        <f ca="1">IF((COND_INTERSTICIAL[[#This Row],[Ma_anterior cond]]&gt;0)*NOT(COND_INTERSTICIAL[[#This Row],[Condensa]]),TRUE,FALSE)</f>
        <v>#DIV/0!</v>
      </c>
      <c r="DR34" s="112" t="e" cm="1">
        <f t="array" aca="1" ref="DR34" ca="1">IF(COND_INTERSTICIAL[[#This Row],[evapora]],COND_INTERSTICIAL[[#This Row],[Psat]],IF(COND_INTERSTICIAL[[#This Row],[Capa]]=N_capas,COND_INTERSTICIAL[[#This Row],[Pn]],""))</f>
        <v>#DIV/0!</v>
      </c>
      <c r="DS34" s="112" t="e">
        <f ca="1">COND_INTERSTICIAL[[#This Row],[Mes]]&amp;"-"&amp;COND_INTERSTICIAL[[#This Row],[Sección]]&amp;"-"&amp;COND_INTERSTICIAL[[#This Row],[tramo ev]]</f>
        <v>#DIV/0!</v>
      </c>
      <c r="DT34" s="111" t="e" cm="1">
        <f t="array" aca="1" ref="DT34" ca="1">IF(COND_INTERSTICIAL[[#This Row],[Capa]]=1,IF(COND_INTERSTICIAL[[#This Row],[evapora]],2,1),IF(COND_INTERSTICIAL[[#This Row],[evapora]],1,0)+INDIRECT(ADDRESS(ROW()-1,COLUMN(),4)))</f>
        <v>#DIV/0!</v>
      </c>
      <c r="DU34" s="111" t="e" cm="1">
        <f t="array" aca="1" ref="DU34" ca="1">IF(COND_INTERSTICIAL[[#This Row],[tramo ev]]=1,0,IF((COND_INTERSTICIAL[[#This Row],[tramo ev]]&gt;INDIRECT(ADDRESS(ROW()-1,COLUMN(COND_INTERSTICIAL[[#This Row],[tramo ev]]),4)))+COND_INTERSTICIAL[[#This Row],[evapora]],COND_INTERSTICIAL[[#This Row],[Capa]],INDIRECT(ADDRESS(ROW()-1,COLUMN(),4))))</f>
        <v>#DIV/0!</v>
      </c>
      <c r="DV34" s="111" t="e" cm="1">
        <f t="array" aca="1" ref="DV34" ca="1">IF((COND_INTERSTICIAL[[#This Row],[Capa]]=N_capas)+(COND_INTERSTICIAL[[#This Row],[tramo ev]]=COUNTIFS(COND_INTERSTICIAL[evapora],TRUE,COND_INTERSTICIAL[Mes],CW34,COND_INTERSTICIAL[Sección],CX34)+1),N_capas,INDEX(COND_INTERSTICIAL[capa lím inf ev],MATCH(COND_INTERSTICIAL[[#This Row],[Mes]]&amp;"-"&amp;COND_INTERSTICIAL[[#This Row],[Sección]]&amp;"-"&amp;(COND_INTERSTICIAL[[#This Row],[tramo ev]]+1),COND_INTERSTICIAL[llave tramo ev],0)))</f>
        <v>#DIV/0!</v>
      </c>
      <c r="DW34" s="111" cm="1">
        <f t="array" aca="1" ref="DW3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4" s="113" t="e" cm="1">
        <f t="array" aca="1" ref="DX3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34" s="113" t="e">
        <f ca="1">COND_INTERSTICIAL[[#This Row],[gev]]+COND_INTERSTICIAL[[#This Row],[Ma anterior ev]]</f>
        <v>#DIV/0!</v>
      </c>
      <c r="EA34" s="115" t="e">
        <f ca="1">IF(COND_INTERSTICIAL[[#This Row],[Ma cond]]+COND_INTERSTICIAL[[#This Row],[Ma ev]]&lt;=0,0,COND_INTERSTICIAL[[#This Row],[Ma cond]]+COND_INTERSTICIAL[[#This Row],[Ma ev]])</f>
        <v>#N/A</v>
      </c>
      <c r="EB34" s="115" t="e">
        <f ca="1">IF(COND_INTERSTICIAL[[#This Row],[Ma]]&gt;0,TRUE,FALSE)</f>
        <v>#N/A</v>
      </c>
      <c r="EC34" s="115" t="e" cm="1">
        <f t="array" aca="1" ref="EC34" ca="1">IF(COND_INTERSTICIAL[[#This Row],[agua líquida]],IF(COND_INTERSTICIAL[[#This Row],[Condensa]],COND_INTERSTICIAL[[#This Row],[P límite cond]],COND_INTERSTICIAL[[#This Row],[P límite ev]]),IF(COND_INTERSTICIAL[[#This Row],[Capa]]=N_capas,COND_INTERSTICIAL[[#This Row],[Pn]],""))</f>
        <v>#N/A</v>
      </c>
      <c r="ED34" s="115" t="e">
        <f ca="1">COND_INTERSTICIAL[[#This Row],[Mes]]&amp;"-"&amp;COND_INTERSTICIAL[[#This Row],[Sección]]&amp;"-"&amp;COND_INTERSTICIAL[[#This Row],[tramo gráf]]</f>
        <v>#N/A</v>
      </c>
      <c r="EE34" s="114" t="e" cm="1">
        <f t="array" aca="1" ref="EE34" ca="1">IF(COND_INTERSTICIAL[[#This Row],[Capa]]=1,IF(COND_INTERSTICIAL[[#This Row],[agua líquida]],2,1),IF(COND_INTERSTICIAL[[#This Row],[agua líquida]],1,0)+INDIRECT(ADDRESS(ROW()-1,COLUMN(),4)))</f>
        <v>#N/A</v>
      </c>
      <c r="EF34" s="114" t="e" cm="1">
        <f t="array" aca="1" ref="EF34" ca="1">IF(COND_INTERSTICIAL[[#This Row],[tramo gráf]]=1,0,IF((COND_INTERSTICIAL[[#This Row],[tramo gráf]]&gt;INDIRECT(ADDRESS(ROW()-1,COLUMN(COND_INTERSTICIAL[[#This Row],[tramo gráf]]),4)))+COND_INTERSTICIAL[[#This Row],[agua líquida]],COND_INTERSTICIAL[[#This Row],[Capa]],INDIRECT(ADDRESS(ROW()-1,COLUMN(),4))))</f>
        <v>#N/A</v>
      </c>
      <c r="EG34" s="114" t="e" cm="1">
        <f t="array" aca="1" ref="EG34" ca="1">IF((COND_INTERSTICIAL[[#This Row],[Capa]]=N_capas)+(COND_INTERSTICIAL[[#This Row],[tramo gráf]]=COUNTIFS(COND_INTERSTICIAL[agua líquida],TRUE,COND_INTERSTICIAL[Mes],CW34,COND_INTERSTICIAL[Sección],CX34)+1),N_capas,INDEX(COND_INTERSTICIAL[capa lím inf gráf],MATCH(COND_INTERSTICIAL[[#This Row],[Mes]]&amp;"-"&amp;COND_INTERSTICIAL[[#This Row],[Sección]]&amp;"-"&amp;(COND_INTERSTICIAL[[#This Row],[tramo gráf]]+1),COND_INTERSTICIAL[llave tramo gráf],0)))</f>
        <v>#N/A</v>
      </c>
      <c r="EH34" s="114" cm="1">
        <f t="array" aca="1" ref="EH3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4" s="116" t="e" cm="1">
        <f t="array" aca="1" ref="EI3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34">
        <f t="shared" si="0"/>
        <v>7</v>
      </c>
      <c r="EM34">
        <f t="shared" si="1"/>
        <v>1</v>
      </c>
      <c r="EN34">
        <f>ROW()-ROW(INDEX(COND_INTERSTICIAL_GRÁF[],1,1))</f>
        <v>9</v>
      </c>
      <c r="EO34" t="str">
        <f>COND_INTERSTICIAL_GRÁF[[#This Row],[Mes]]&amp;"-"&amp;COND_INTERSTICIAL_GRÁF[[#This Row],[Sección]]&amp;"-"&amp;COND_INTERSTICIAL_GRÁF[[#This Row],[Capa]]</f>
        <v>7-1-9</v>
      </c>
      <c r="EP34" t="str">
        <f>"Capa "&amp;COND_INTERSTICIAL_GRÁF[[#This Row],[Capa]]&amp;": "&amp;IFERROR(INDEX(SECCIONES_CAPAS[Abreviatura],MATCH(COND_INTERSTICIAL_GRÁF[[#This Row],[Sección]]&amp;"-"&amp;COND_INTERSTICIAL_GRÁF[[#This Row],[Capa]],SECCIONES_CAPAS[llave],0)),"")</f>
        <v xml:space="preserve">Capa 9: </v>
      </c>
      <c r="EQ34" t="e">
        <f>IFERROR(IF(COND_INTERSTICIAL_GRÁF[[#This Row],[Capa]]=0,0,INDEX(SECCIONES_CAPAS[d],MATCH(COND_INTERSTICIAL_GRÁF[[#This Row],[Sección]]&amp;"-"&amp;COND_INTERSTICIAL_GRÁF[[#This Row],[Capa]],SECCIONES_CAPAS[llave],0))),NA())</f>
        <v>#N/A</v>
      </c>
      <c r="ER34" t="e">
        <f>IFERROR(IF(COND_INTERSTICIAL_GRÁF[[#This Row],[Capa]]=0,0,INDEX(SECCIONES_CAPAS[d''],MATCH(COND_INTERSTICIAL_GRÁF[[#This Row],[Sección]]&amp;"-"&amp;COND_INTERSTICIAL_GRÁF[[#This Row],[Capa]],SECCIONES_CAPAS[llave],0))),NA())</f>
        <v>#N/A</v>
      </c>
      <c r="ES34" s="377" t="e" cm="1">
        <f t="array" ref="ES34">COND_INTERSTICIAL_GRÁF[[#This Row],[d'']]/INDEX(SECCIONES[d''],COND_INTERSTICIAL_GRÁF[[#This Row],[Sección]])</f>
        <v>#N/A</v>
      </c>
      <c r="ET34" t="e" cm="1">
        <f t="array" ref="ET34">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34" s="90" t="e" cm="1">
        <f t="array" ref="EU34">IFERROR(IF(capa_interior_μ_inf,NA(),6.54+14.526*LN(COND_INTERSTICIAL_GRÁF[[#This Row],[Pn]]/1000)+0.7389*LN(COND_INTERSTICIAL_GRÁF[[#This Row],[Pn]]/1000)^2+0.09486*LN(COND_INTERSTICIAL_GRÁF[[#This Row],[Pn]]/1000)^3+0.4569*(COND_INTERSTICIAL_GRÁF[[#This Row],[Pn]]/1000)^0.1984),NA())</f>
        <v>#N/A</v>
      </c>
      <c r="EV34" t="e">
        <f>IFERROR(IF(COND_INTERSTICIAL_GRÁF[[#This Row],[Capa]]=0,0,INDEX(COND_INTERSTICIAL[Sd],MATCH(COND_INTERSTICIAL_GRÁF[[#This Row],[llave capa]],COND_INTERSTICIAL[llave capa],0))),NA())</f>
        <v>#N/A</v>
      </c>
      <c r="EW34" s="90" t="e">
        <f>IFERROR(IF(COND_INTERSTICIAL_GRÁF[[#This Row],[Capa]]=0,0,INDEX(COND_INTERSTICIAL[S''d],MATCH(COND_INTERSTICIAL_GRÁF[[#This Row],[llave capa]],COND_INTERSTICIAL[llave capa],0))),NA())</f>
        <v>#N/A</v>
      </c>
      <c r="EX34" s="377" t="e" cm="1">
        <f t="array" ref="EX34">COND_INTERSTICIAL_GRÁF[[#This Row],[S''d]]/INDEX(SECCIONES[SdT],Gráf_sección)</f>
        <v>#N/A</v>
      </c>
      <c r="EY34" s="90" t="e" cm="1">
        <f t="array" ref="EY34">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34" s="107">
        <f>IFERROR(INDEX(COND_INTERSTICIAL[Ma],MATCH(COND_INTERSTICIAL_GRÁF[[#This Row],[llave capa]],COND_INTERSTICIAL[llave capa],0)),0)</f>
        <v>0</v>
      </c>
      <c r="FA34" s="90" t="b">
        <f>IF(COND_INTERSTICIAL_GRÁF[[#This Row],[Ma]]&gt;0,TRUE,FALSE)</f>
        <v>0</v>
      </c>
      <c r="FB34" s="90" t="str">
        <f>"Interfaz "&amp;COND_INTERSTICIAL_GRÁF[[#This Row],[Capa]]</f>
        <v>Interfaz 9</v>
      </c>
      <c r="FC34" s="90" t="e">
        <f>IF(COND_INTERSTICIAL_GRÁF[[#This Row],[agua líquida]],COND_INTERSTICIAL_GRÁF[[#This Row],[Psat]],NA())</f>
        <v>#N/A</v>
      </c>
      <c r="FD34" s="90" t="e" cm="1">
        <f t="array" ref="FD34">IFERROR(IF(COND_INTERSTICIAL_GRÁF[[#This Row],[Capa]]=0,INDEX(CLIMA[Pe],COND_INTERSTICIAL_GRÁF[[#This Row],[Mes]]),INDEX(COND_INTERSTICIAL[Pn],MATCH(COND_INTERSTICIAL_GRÁF[[#This Row],[llave capa]],COND_INTERSTICIAL[llave capa],0))),NA())</f>
        <v>#N/A</v>
      </c>
      <c r="FE34" s="90" t="e" cm="1">
        <f t="array" ref="FE34">IFERROR(IF(capa_interior_μ_inf,NA(),IF(COND_INTERSTICIAL_GRÁF[[#This Row],[Capa]]=0,INDEX(CLIMA[Pe],COND_INTERSTICIAL_GRÁF[[#This Row],[Mes]]),INDEX(COND_INTERSTICIAL[Pn gráf],MATCH(COND_INTERSTICIAL_GRÁF[[#This Row],[llave capa]],COND_INTERSTICIAL[llave capa],0)))),NA())</f>
        <v>#N/A</v>
      </c>
      <c r="GD34" s="11" t="s">
        <v>1440</v>
      </c>
      <c r="GH34" s="12"/>
    </row>
    <row r="35" spans="32:190" ht="14.65" thickBot="1" x14ac:dyDescent="0.5">
      <c r="AG35" s="2"/>
      <c r="CJ35" s="6"/>
      <c r="CK35" s="1" cm="1">
        <f t="array" ref="CK35">ROUNDUP((ROW()-$CN$18)/(N_secciones),0)</f>
        <v>8</v>
      </c>
      <c r="CL35" cm="1">
        <f t="array" ref="CL35">ROW()-ROW(INDEX(COND_SUPERFICIAL[],1,1))+1-(COND_SUPERFICIAL[[#This Row],[Mes]]-1)*N_secciones</f>
        <v>2</v>
      </c>
      <c r="CM35" s="1" t="str">
        <f>COND_SUPERFICIAL[[#This Row],[Mes]]&amp;"-"&amp;COND_SUPERFICIAL[[#This Row],[Sección]]</f>
        <v>8-2</v>
      </c>
      <c r="CN35" t="e" cm="1">
        <f t="array" ref="CN35">IF(INDEX(SECCIONES[Rtsección_condensación],COND_SUPERFICIAL[[#This Row],[Sección]])&lt;=INDEX(COND_SUPERFICIAL_CONDICIONES[Rt_mín],COND_SUPERFICIAL[[#This Row],[Mes]]),TRUE,FALSE)</f>
        <v>#N/A</v>
      </c>
      <c r="CO35" s="6"/>
      <c r="CP35" s="1" cm="1">
        <f t="array" ref="CP35">ROUNDUP((ROW()-$CN$18)/(N_secciones),0)</f>
        <v>8</v>
      </c>
      <c r="CQ35" s="1" cm="1">
        <f t="array" ref="CQ35">ROUNDUP((ROW()-$CN$18+(Mes_inicial_de_análisis-1)*N_secciones)/(N_secciones),0)-12*IF(ROW()-$CN$18&gt;(12-Mes_inicial_de_análisis+1)*N_secciones,1,0)</f>
        <v>2</v>
      </c>
      <c r="CR35" s="1" cm="1">
        <f t="array" ref="CR35">ROW()-$CN$18-(ROUNDUP((ROW()-$CN$18)/(N_secciones),0)-1)*N_secciones</f>
        <v>2</v>
      </c>
      <c r="CS35" s="107" t="str">
        <f>COND_INTERSTICIAL_AGUA_ACUMULADA[[#This Row],[orden]]&amp;"-"&amp;COND_INTERSTICIAL_AGUA_ACUMULADA[[#This Row],[Sección]]</f>
        <v>8-2</v>
      </c>
      <c r="CT35">
        <f ca="1">COUNTIFS(COND_INTERSTICIAL[agua líquida],TRUE,COND_INTERSTICIAL[Mes],COND_INTERSTICIAL_AGUA_ACUMULADA[[#This Row],[Mes]],COND_INTERSTICIAL[Sección],COND_INTERSTICIAL_AGUA_ACUMULADA[[#This Row],[Sección]])</f>
        <v>0</v>
      </c>
      <c r="CU35" s="107" t="e">
        <f ca="1">SUMIFS(COND_INTERSTICIAL[Ma],COND_INTERSTICIAL[Mes],COND_INTERSTICIAL_AGUA_ACUMULADA[[#This Row],[Mes]],COND_INTERSTICIAL[Sección],COND_INTERSTICIAL_AGUA_ACUMULADA[[#This Row],[Sección]])</f>
        <v>#N/A</v>
      </c>
      <c r="CW35" s="1" cm="1">
        <f t="array" ref="CW35">ROUNDUP((ROW()-$CN$18+(Mes_inicial_de_análisis-1)*N_capas*N_secciones)/(N_capas*N_secciones),0)-12*IF(ROW()-$CN$18&gt;(12-Mes_inicial_de_análisis+1)*N_capas*N_secciones,1,0)</f>
        <v>8</v>
      </c>
      <c r="CX35" cm="1">
        <f t="array" ref="CX35">ROUNDUP((ROW()-$CN$18)/N_capas-(ROUNDUP((ROW()-$CN$18)/(N_capas*N_secciones),0)-1)*N_secciones,0)</f>
        <v>1</v>
      </c>
      <c r="CY35" cm="1">
        <f t="array" ref="CY35">(ROW()-$CN$18)-(COND_INTERSTICIAL[[#This Row],[Sección]]-1)*N_capas-(ROUNDUP((ROW()-$CN$18)/(N_capas*N_secciones),0)-1)*N_capas*N_secciones</f>
        <v>2</v>
      </c>
      <c r="CZ35" t="str">
        <f>COND_INTERSTICIAL[[#This Row],[Mes]]&amp;"-"&amp;COND_INTERSTICIAL[[#This Row],[Sección]]&amp;"-"&amp;COND_INTERSTICIAL[[#This Row],[Capa]]</f>
        <v>8-1-2</v>
      </c>
      <c r="DA35">
        <f ca="1">INDEX(SECCIONES_CAPAS[R''n],MATCH(COND_INTERSTICIAL[[#This Row],[Sección]]&amp;"-"&amp;COND_INTERSTICIAL[[#This Row],[Capa]],SECCIONES_CAPAS[llave],0))</f>
        <v>0.04</v>
      </c>
      <c r="DB35" s="172" t="e" cm="1">
        <f t="array" aca="1" ref="DB35" ca="1">INDEX(CLIMA[ϴe],COND_INTERSTICIAL[[#This Row],[Mes]])+COND_INTERSTICIAL[[#This Row],[Rn]]*(INDEX(CLIMA[ϴi],COND_INTERSTICIAL[[#This Row],[Mes]])-INDEX(CLIMA[ϴe],COND_INTERSTICIAL[[#This Row],[Mes]]))/(INDEX(SECCIONES[Rtsección_condensación],COND_INTERSTICIAL[[#This Row],[Sección]]))</f>
        <v>#N/A</v>
      </c>
      <c r="DC35">
        <f>INDEX(SECCIONES_CAPAS[Sd],MATCH(COND_INTERSTICIAL[[#This Row],[Sección]]&amp;"-"&amp;COND_INTERSTICIAL[[#This Row],[Capa]],SECCIONES_CAPAS[llave],0))</f>
        <v>0</v>
      </c>
      <c r="DD35">
        <f ca="1">INDEX(SECCIONES_CAPAS[S''d],MATCH(COND_INTERSTICIAL[[#This Row],[Sección]]&amp;"-"&amp;COND_INTERSTICIAL[[#This Row],[Capa]],SECCIONES_CAPAS[llave],0))</f>
        <v>0</v>
      </c>
      <c r="DE35" s="90" t="e">
        <f ca="1">IF(COND_INTERSTICIAL[[#This Row],[ϴn]]&gt;=0,610.5*EXP((17.269*COND_INTERSTICIAL[[#This Row],[ϴn]])/(237.3+COND_INTERSTICIAL[[#This Row],[ϴn]])),610.5*EXP((21.875*COND_INTERSTICIAL[[#This Row],[ϴn]])/(265.5+COND_INTERSTICIAL[[#This Row],[ϴn]])))</f>
        <v>#N/A</v>
      </c>
      <c r="DF35" s="90" t="e" cm="1">
        <f t="array" aca="1" ref="DF35" ca="1">COND_INTERSTICIAL[[#This Row],[S''d]]*((INDEX(CLIMA[Pi],COND_INTERSTICIAL[[#This Row],[Mes]])-INDEX(CLIMA[Pe],COND_INTERSTICIAL[[#This Row],[Mes]]))/INDEX(SECCIONES[SdT],COND_INTERSTICIAL[[#This Row],[Sección]]))+INDEX(CLIMA[Pe],COND_INTERSTICIAL[[#This Row],[Mes]])</f>
        <v>#N/A</v>
      </c>
      <c r="DG35" s="108" t="e">
        <f ca="1">IF((COND_INTERSTICIAL[[#This Row],[Pn]]&gt;=COND_INTERSTICIAL[[#This Row],[Psat]]),TRUE,FALSE)</f>
        <v>#N/A</v>
      </c>
      <c r="DH35" s="109" t="e" cm="1">
        <f t="array" aca="1" ref="DH35" ca="1">IF(COND_INTERSTICIAL[[#This Row],[Condensa]],COND_INTERSTICIAL[[#This Row],[Psat]],IF(COND_INTERSTICIAL[[#This Row],[Capa]]=N_capas,COND_INTERSTICIAL[[#This Row],[Pn]],""))</f>
        <v>#N/A</v>
      </c>
      <c r="DI35" s="109" t="e">
        <f ca="1">COND_INTERSTICIAL[[#This Row],[Mes]]&amp;"-"&amp;COND_INTERSTICIAL[[#This Row],[Sección]]&amp;"-"&amp;COND_INTERSTICIAL[[#This Row],[tramo cond]]</f>
        <v>#N/A</v>
      </c>
      <c r="DJ35" t="e" cm="1">
        <f t="array" aca="1" ref="DJ35" ca="1">IF(COND_INTERSTICIAL[[#This Row],[Capa]]=1,IF(COND_INTERSTICIAL[[#This Row],[Condensa]],2,1),IF(COND_INTERSTICIAL[[#This Row],[Condensa]],1,0)+INDIRECT(ADDRESS(ROW()-1,COLUMN(),4)))</f>
        <v>#N/A</v>
      </c>
      <c r="DK35" s="108" t="e" cm="1">
        <f t="array" aca="1" ref="DK35" ca="1">IF(COND_INTERSTICIAL[[#This Row],[tramo cond]]=1,0,IF((COND_INTERSTICIAL[[#This Row],[tramo cond]]&gt;INDIRECT(ADDRESS(ROW()-1,COLUMN(COND_INTERSTICIAL[[#This Row],[tramo cond]]),4)))+COND_INTERSTICIAL[[#This Row],[Condensa]],COND_INTERSTICIAL[[#This Row],[Capa]],INDIRECT(ADDRESS(ROW()-1,COLUMN(),4))))</f>
        <v>#N/A</v>
      </c>
      <c r="DL35" s="108" t="e" cm="1">
        <f t="array" aca="1" ref="DL35" ca="1">IF((COND_INTERSTICIAL[[#This Row],[Capa]]=N_capas)+(COND_INTERSTICIAL[[#This Row],[tramo cond]]=COUNTIFS(COND_INTERSTICIAL[Condensa],TRUE,COND_INTERSTICIAL[Mes],CW35,COND_INTERSTICIAL[Sección],CX35)+1),N_capas,INDEX(COND_INTERSTICIAL[capa lím inf cond],MATCH(COND_INTERSTICIAL[[#This Row],[Mes]]&amp;"-"&amp;COND_INTERSTICIAL[[#This Row],[Sección]]&amp;"-"&amp;(COND_INTERSTICIAL[[#This Row],[tramo cond]]+1),COND_INTERSTICIAL[llave tramo cond],0)))</f>
        <v>#N/A</v>
      </c>
      <c r="DM35" s="108" cm="1">
        <f t="array" aca="1" ref="DM3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5" s="110" t="e" cm="1">
        <f t="array" aca="1" ref="DN3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3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35" s="107" t="e">
        <f ca="1">COND_INTERSTICIAL[[#This Row],[gc]]+COND_INTERSTICIAL[[#This Row],[Ma_anterior cond]]</f>
        <v>#N/A</v>
      </c>
      <c r="DQ35" s="113" t="e">
        <f ca="1">IF((COND_INTERSTICIAL[[#This Row],[Ma_anterior cond]]&gt;0)*NOT(COND_INTERSTICIAL[[#This Row],[Condensa]]),TRUE,FALSE)</f>
        <v>#DIV/0!</v>
      </c>
      <c r="DR35" s="112" t="e" cm="1">
        <f t="array" aca="1" ref="DR35" ca="1">IF(COND_INTERSTICIAL[[#This Row],[evapora]],COND_INTERSTICIAL[[#This Row],[Psat]],IF(COND_INTERSTICIAL[[#This Row],[Capa]]=N_capas,COND_INTERSTICIAL[[#This Row],[Pn]],""))</f>
        <v>#DIV/0!</v>
      </c>
      <c r="DS35" s="112" t="e">
        <f ca="1">COND_INTERSTICIAL[[#This Row],[Mes]]&amp;"-"&amp;COND_INTERSTICIAL[[#This Row],[Sección]]&amp;"-"&amp;COND_INTERSTICIAL[[#This Row],[tramo ev]]</f>
        <v>#DIV/0!</v>
      </c>
      <c r="DT35" s="111" t="e" cm="1">
        <f t="array" aca="1" ref="DT35" ca="1">IF(COND_INTERSTICIAL[[#This Row],[Capa]]=1,IF(COND_INTERSTICIAL[[#This Row],[evapora]],2,1),IF(COND_INTERSTICIAL[[#This Row],[evapora]],1,0)+INDIRECT(ADDRESS(ROW()-1,COLUMN(),4)))</f>
        <v>#DIV/0!</v>
      </c>
      <c r="DU35" s="111" t="e" cm="1">
        <f t="array" aca="1" ref="DU35" ca="1">IF(COND_INTERSTICIAL[[#This Row],[tramo ev]]=1,0,IF((COND_INTERSTICIAL[[#This Row],[tramo ev]]&gt;INDIRECT(ADDRESS(ROW()-1,COLUMN(COND_INTERSTICIAL[[#This Row],[tramo ev]]),4)))+COND_INTERSTICIAL[[#This Row],[evapora]],COND_INTERSTICIAL[[#This Row],[Capa]],INDIRECT(ADDRESS(ROW()-1,COLUMN(),4))))</f>
        <v>#DIV/0!</v>
      </c>
      <c r="DV35" s="111" t="e" cm="1">
        <f t="array" aca="1" ref="DV35" ca="1">IF((COND_INTERSTICIAL[[#This Row],[Capa]]=N_capas)+(COND_INTERSTICIAL[[#This Row],[tramo ev]]=COUNTIFS(COND_INTERSTICIAL[evapora],TRUE,COND_INTERSTICIAL[Mes],CW35,COND_INTERSTICIAL[Sección],CX35)+1),N_capas,INDEX(COND_INTERSTICIAL[capa lím inf ev],MATCH(COND_INTERSTICIAL[[#This Row],[Mes]]&amp;"-"&amp;COND_INTERSTICIAL[[#This Row],[Sección]]&amp;"-"&amp;(COND_INTERSTICIAL[[#This Row],[tramo ev]]+1),COND_INTERSTICIAL[llave tramo ev],0)))</f>
        <v>#DIV/0!</v>
      </c>
      <c r="DW35" s="111" cm="1">
        <f t="array" aca="1" ref="DW3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5" s="113" t="e" cm="1">
        <f t="array" aca="1" ref="DX3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35" s="113" t="e">
        <f ca="1">COND_INTERSTICIAL[[#This Row],[gev]]+COND_INTERSTICIAL[[#This Row],[Ma anterior ev]]</f>
        <v>#DIV/0!</v>
      </c>
      <c r="EA35" s="115" t="e">
        <f ca="1">IF(COND_INTERSTICIAL[[#This Row],[Ma cond]]+COND_INTERSTICIAL[[#This Row],[Ma ev]]&lt;=0,0,COND_INTERSTICIAL[[#This Row],[Ma cond]]+COND_INTERSTICIAL[[#This Row],[Ma ev]])</f>
        <v>#N/A</v>
      </c>
      <c r="EB35" s="115" t="e">
        <f ca="1">IF(COND_INTERSTICIAL[[#This Row],[Ma]]&gt;0,TRUE,FALSE)</f>
        <v>#N/A</v>
      </c>
      <c r="EC35" s="115" t="e" cm="1">
        <f t="array" aca="1" ref="EC35" ca="1">IF(COND_INTERSTICIAL[[#This Row],[agua líquida]],IF(COND_INTERSTICIAL[[#This Row],[Condensa]],COND_INTERSTICIAL[[#This Row],[P límite cond]],COND_INTERSTICIAL[[#This Row],[P límite ev]]),IF(COND_INTERSTICIAL[[#This Row],[Capa]]=N_capas,COND_INTERSTICIAL[[#This Row],[Pn]],""))</f>
        <v>#N/A</v>
      </c>
      <c r="ED35" s="115" t="e">
        <f ca="1">COND_INTERSTICIAL[[#This Row],[Mes]]&amp;"-"&amp;COND_INTERSTICIAL[[#This Row],[Sección]]&amp;"-"&amp;COND_INTERSTICIAL[[#This Row],[tramo gráf]]</f>
        <v>#N/A</v>
      </c>
      <c r="EE35" s="114" t="e" cm="1">
        <f t="array" aca="1" ref="EE35" ca="1">IF(COND_INTERSTICIAL[[#This Row],[Capa]]=1,IF(COND_INTERSTICIAL[[#This Row],[agua líquida]],2,1),IF(COND_INTERSTICIAL[[#This Row],[agua líquida]],1,0)+INDIRECT(ADDRESS(ROW()-1,COLUMN(),4)))</f>
        <v>#N/A</v>
      </c>
      <c r="EF35" s="114" t="e" cm="1">
        <f t="array" aca="1" ref="EF35" ca="1">IF(COND_INTERSTICIAL[[#This Row],[tramo gráf]]=1,0,IF((COND_INTERSTICIAL[[#This Row],[tramo gráf]]&gt;INDIRECT(ADDRESS(ROW()-1,COLUMN(COND_INTERSTICIAL[[#This Row],[tramo gráf]]),4)))+COND_INTERSTICIAL[[#This Row],[agua líquida]],COND_INTERSTICIAL[[#This Row],[Capa]],INDIRECT(ADDRESS(ROW()-1,COLUMN(),4))))</f>
        <v>#N/A</v>
      </c>
      <c r="EG35" s="114" t="e" cm="1">
        <f t="array" aca="1" ref="EG35" ca="1">IF((COND_INTERSTICIAL[[#This Row],[Capa]]=N_capas)+(COND_INTERSTICIAL[[#This Row],[tramo gráf]]=COUNTIFS(COND_INTERSTICIAL[agua líquida],TRUE,COND_INTERSTICIAL[Mes],CW35,COND_INTERSTICIAL[Sección],CX35)+1),N_capas,INDEX(COND_INTERSTICIAL[capa lím inf gráf],MATCH(COND_INTERSTICIAL[[#This Row],[Mes]]&amp;"-"&amp;COND_INTERSTICIAL[[#This Row],[Sección]]&amp;"-"&amp;(COND_INTERSTICIAL[[#This Row],[tramo gráf]]+1),COND_INTERSTICIAL[llave tramo gráf],0)))</f>
        <v>#N/A</v>
      </c>
      <c r="EH35" s="114" cm="1">
        <f t="array" aca="1" ref="EH3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5" s="116" t="e" cm="1">
        <f t="array" aca="1" ref="EI3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35">
        <f t="shared" si="0"/>
        <v>7</v>
      </c>
      <c r="EM35">
        <f t="shared" si="1"/>
        <v>1</v>
      </c>
      <c r="EN35">
        <f>ROW()-ROW(INDEX(COND_INTERSTICIAL_GRÁF[],1,1))</f>
        <v>10</v>
      </c>
      <c r="EO35" t="str">
        <f>COND_INTERSTICIAL_GRÁF[[#This Row],[Mes]]&amp;"-"&amp;COND_INTERSTICIAL_GRÁF[[#This Row],[Sección]]&amp;"-"&amp;COND_INTERSTICIAL_GRÁF[[#This Row],[Capa]]</f>
        <v>7-1-10</v>
      </c>
      <c r="EP35" t="str">
        <f>"Capa "&amp;COND_INTERSTICIAL_GRÁF[[#This Row],[Capa]]&amp;": "&amp;IFERROR(INDEX(SECCIONES_CAPAS[Abreviatura],MATCH(COND_INTERSTICIAL_GRÁF[[#This Row],[Sección]]&amp;"-"&amp;COND_INTERSTICIAL_GRÁF[[#This Row],[Capa]],SECCIONES_CAPAS[llave],0)),"")</f>
        <v xml:space="preserve">Capa 10: </v>
      </c>
      <c r="EQ35" t="e">
        <f>IFERROR(IF(COND_INTERSTICIAL_GRÁF[[#This Row],[Capa]]=0,0,INDEX(SECCIONES_CAPAS[d],MATCH(COND_INTERSTICIAL_GRÁF[[#This Row],[Sección]]&amp;"-"&amp;COND_INTERSTICIAL_GRÁF[[#This Row],[Capa]],SECCIONES_CAPAS[llave],0))),NA())</f>
        <v>#N/A</v>
      </c>
      <c r="ER35" t="e">
        <f>IFERROR(IF(COND_INTERSTICIAL_GRÁF[[#This Row],[Capa]]=0,0,INDEX(SECCIONES_CAPAS[d''],MATCH(COND_INTERSTICIAL_GRÁF[[#This Row],[Sección]]&amp;"-"&amp;COND_INTERSTICIAL_GRÁF[[#This Row],[Capa]],SECCIONES_CAPAS[llave],0))),NA())</f>
        <v>#N/A</v>
      </c>
      <c r="ES35" s="377" t="e" cm="1">
        <f t="array" ref="ES35">COND_INTERSTICIAL_GRÁF[[#This Row],[d'']]/INDEX(SECCIONES[d''],COND_INTERSTICIAL_GRÁF[[#This Row],[Sección]])</f>
        <v>#N/A</v>
      </c>
      <c r="ET35" t="e" cm="1">
        <f t="array" ref="ET35">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35" s="90" t="e" cm="1">
        <f t="array" ref="EU35">IFERROR(IF(capa_interior_μ_inf,NA(),6.54+14.526*LN(COND_INTERSTICIAL_GRÁF[[#This Row],[Pn]]/1000)+0.7389*LN(COND_INTERSTICIAL_GRÁF[[#This Row],[Pn]]/1000)^2+0.09486*LN(COND_INTERSTICIAL_GRÁF[[#This Row],[Pn]]/1000)^3+0.4569*(COND_INTERSTICIAL_GRÁF[[#This Row],[Pn]]/1000)^0.1984),NA())</f>
        <v>#N/A</v>
      </c>
      <c r="EV35" t="e">
        <f>IFERROR(IF(COND_INTERSTICIAL_GRÁF[[#This Row],[Capa]]=0,0,INDEX(COND_INTERSTICIAL[Sd],MATCH(COND_INTERSTICIAL_GRÁF[[#This Row],[llave capa]],COND_INTERSTICIAL[llave capa],0))),NA())</f>
        <v>#N/A</v>
      </c>
      <c r="EW35" s="90" t="e">
        <f>IFERROR(IF(COND_INTERSTICIAL_GRÁF[[#This Row],[Capa]]=0,0,INDEX(COND_INTERSTICIAL[S''d],MATCH(COND_INTERSTICIAL_GRÁF[[#This Row],[llave capa]],COND_INTERSTICIAL[llave capa],0))),NA())</f>
        <v>#N/A</v>
      </c>
      <c r="EX35" s="377" t="e" cm="1">
        <f t="array" ref="EX35">COND_INTERSTICIAL_GRÁF[[#This Row],[S''d]]/INDEX(SECCIONES[SdT],Gráf_sección)</f>
        <v>#N/A</v>
      </c>
      <c r="EY35" s="90" t="e" cm="1">
        <f t="array" ref="EY35">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35" s="107">
        <f>IFERROR(INDEX(COND_INTERSTICIAL[Ma],MATCH(COND_INTERSTICIAL_GRÁF[[#This Row],[llave capa]],COND_INTERSTICIAL[llave capa],0)),0)</f>
        <v>0</v>
      </c>
      <c r="FA35" s="90" t="b">
        <f>IF(COND_INTERSTICIAL_GRÁF[[#This Row],[Ma]]&gt;0,TRUE,FALSE)</f>
        <v>0</v>
      </c>
      <c r="FB35" s="90" t="str">
        <f>"Interfaz "&amp;COND_INTERSTICIAL_GRÁF[[#This Row],[Capa]]</f>
        <v>Interfaz 10</v>
      </c>
      <c r="FC35" s="90" t="e">
        <f>IF(COND_INTERSTICIAL_GRÁF[[#This Row],[agua líquida]],COND_INTERSTICIAL_GRÁF[[#This Row],[Psat]],NA())</f>
        <v>#N/A</v>
      </c>
      <c r="FD35" s="90" t="e" cm="1">
        <f t="array" ref="FD35">IFERROR(IF(COND_INTERSTICIAL_GRÁF[[#This Row],[Capa]]=0,INDEX(CLIMA[Pe],COND_INTERSTICIAL_GRÁF[[#This Row],[Mes]]),INDEX(COND_INTERSTICIAL[Pn],MATCH(COND_INTERSTICIAL_GRÁF[[#This Row],[llave capa]],COND_INTERSTICIAL[llave capa],0))),NA())</f>
        <v>#N/A</v>
      </c>
      <c r="FE35" s="90" t="e" cm="1">
        <f t="array" ref="FE35">IFERROR(IF(capa_interior_μ_inf,NA(),IF(COND_INTERSTICIAL_GRÁF[[#This Row],[Capa]]=0,INDEX(CLIMA[Pe],COND_INTERSTICIAL_GRÁF[[#This Row],[Mes]]),INDEX(COND_INTERSTICIAL[Pn gráf],MATCH(COND_INTERSTICIAL_GRÁF[[#This Row],[llave capa]],COND_INTERSTICIAL[llave capa],0)))),NA())</f>
        <v>#N/A</v>
      </c>
      <c r="GD35" s="11" t="s">
        <v>1442</v>
      </c>
      <c r="GE35">
        <f>Anexo!$R$9/1000</f>
        <v>0.09</v>
      </c>
      <c r="GF35" t="s">
        <v>135</v>
      </c>
      <c r="GH35" s="12"/>
    </row>
    <row r="36" spans="32:190" x14ac:dyDescent="0.45">
      <c r="AF36" s="29" t="s">
        <v>340</v>
      </c>
      <c r="AG36" s="178"/>
      <c r="AH36" s="31"/>
      <c r="AI36" s="32"/>
      <c r="BY36" s="11" t="s">
        <v>222</v>
      </c>
      <c r="BZ36">
        <v>120</v>
      </c>
      <c r="CA36" s="12" t="s">
        <v>360</v>
      </c>
      <c r="CK36" s="1" cm="1">
        <f t="array" ref="CK36">ROUNDUP((ROW()-$CN$18)/(N_secciones),0)</f>
        <v>9</v>
      </c>
      <c r="CL36" cm="1">
        <f t="array" ref="CL36">ROW()-ROW(INDEX(COND_SUPERFICIAL[],1,1))+1-(COND_SUPERFICIAL[[#This Row],[Mes]]-1)*N_secciones</f>
        <v>1</v>
      </c>
      <c r="CM36" s="1" t="str">
        <f>COND_SUPERFICIAL[[#This Row],[Mes]]&amp;"-"&amp;COND_SUPERFICIAL[[#This Row],[Sección]]</f>
        <v>9-1</v>
      </c>
      <c r="CN36" t="e" cm="1">
        <f t="array" ref="CN36">IF(INDEX(SECCIONES[Rtsección_condensación],COND_SUPERFICIAL[[#This Row],[Sección]])&lt;=INDEX(COND_SUPERFICIAL_CONDICIONES[Rt_mín],COND_SUPERFICIAL[[#This Row],[Mes]]),TRUE,FALSE)</f>
        <v>#N/A</v>
      </c>
      <c r="CP36" s="1" cm="1">
        <f t="array" ref="CP36">ROUNDUP((ROW()-$CN$18)/(N_secciones),0)</f>
        <v>9</v>
      </c>
      <c r="CQ36" s="1" cm="1">
        <f t="array" ref="CQ36">ROUNDUP((ROW()-$CN$18+(Mes_inicial_de_análisis-1)*N_secciones)/(N_secciones),0)-12*IF(ROW()-$CN$18&gt;(12-Mes_inicial_de_análisis+1)*N_secciones,1,0)</f>
        <v>3</v>
      </c>
      <c r="CR36" s="1" cm="1">
        <f t="array" ref="CR36">ROW()-$CN$18-(ROUNDUP((ROW()-$CN$18)/(N_secciones),0)-1)*N_secciones</f>
        <v>1</v>
      </c>
      <c r="CS36" s="107" t="str">
        <f>COND_INTERSTICIAL_AGUA_ACUMULADA[[#This Row],[orden]]&amp;"-"&amp;COND_INTERSTICIAL_AGUA_ACUMULADA[[#This Row],[Sección]]</f>
        <v>9-1</v>
      </c>
      <c r="CT36">
        <f ca="1">COUNTIFS(COND_INTERSTICIAL[agua líquida],TRUE,COND_INTERSTICIAL[Mes],COND_INTERSTICIAL_AGUA_ACUMULADA[[#This Row],[Mes]],COND_INTERSTICIAL[Sección],COND_INTERSTICIAL_AGUA_ACUMULADA[[#This Row],[Sección]])</f>
        <v>0</v>
      </c>
      <c r="CU36" s="107" t="e">
        <f ca="1">SUMIFS(COND_INTERSTICIAL[Ma],COND_INTERSTICIAL[Mes],COND_INTERSTICIAL_AGUA_ACUMULADA[[#This Row],[Mes]],COND_INTERSTICIAL[Sección],COND_INTERSTICIAL_AGUA_ACUMULADA[[#This Row],[Sección]])</f>
        <v>#N/A</v>
      </c>
      <c r="CW36" s="1" cm="1">
        <f t="array" ref="CW36">ROUNDUP((ROW()-$CN$18+(Mes_inicial_de_análisis-1)*N_capas*N_secciones)/(N_capas*N_secciones),0)-12*IF(ROW()-$CN$18&gt;(12-Mes_inicial_de_análisis+1)*N_capas*N_secciones,1,0)</f>
        <v>8</v>
      </c>
      <c r="CX36" cm="1">
        <f t="array" ref="CX36">ROUNDUP((ROW()-$CN$18)/N_capas-(ROUNDUP((ROW()-$CN$18)/(N_capas*N_secciones),0)-1)*N_secciones,0)</f>
        <v>1</v>
      </c>
      <c r="CY36" cm="1">
        <f t="array" ref="CY36">(ROW()-$CN$18)-(COND_INTERSTICIAL[[#This Row],[Sección]]-1)*N_capas-(ROUNDUP((ROW()-$CN$18)/(N_capas*N_secciones),0)-1)*N_capas*N_secciones</f>
        <v>3</v>
      </c>
      <c r="CZ36" t="str">
        <f>COND_INTERSTICIAL[[#This Row],[Mes]]&amp;"-"&amp;COND_INTERSTICIAL[[#This Row],[Sección]]&amp;"-"&amp;COND_INTERSTICIAL[[#This Row],[Capa]]</f>
        <v>8-1-3</v>
      </c>
      <c r="DA36">
        <f ca="1">INDEX(SECCIONES_CAPAS[R''n],MATCH(COND_INTERSTICIAL[[#This Row],[Sección]]&amp;"-"&amp;COND_INTERSTICIAL[[#This Row],[Capa]],SECCIONES_CAPAS[llave],0))</f>
        <v>0.04</v>
      </c>
      <c r="DB36" s="172" t="e" cm="1">
        <f t="array" aca="1" ref="DB36" ca="1">INDEX(CLIMA[ϴe],COND_INTERSTICIAL[[#This Row],[Mes]])+COND_INTERSTICIAL[[#This Row],[Rn]]*(INDEX(CLIMA[ϴi],COND_INTERSTICIAL[[#This Row],[Mes]])-INDEX(CLIMA[ϴe],COND_INTERSTICIAL[[#This Row],[Mes]]))/(INDEX(SECCIONES[Rtsección_condensación],COND_INTERSTICIAL[[#This Row],[Sección]]))</f>
        <v>#N/A</v>
      </c>
      <c r="DC36">
        <f>INDEX(SECCIONES_CAPAS[Sd],MATCH(COND_INTERSTICIAL[[#This Row],[Sección]]&amp;"-"&amp;COND_INTERSTICIAL[[#This Row],[Capa]],SECCIONES_CAPAS[llave],0))</f>
        <v>0</v>
      </c>
      <c r="DD36">
        <f ca="1">INDEX(SECCIONES_CAPAS[S''d],MATCH(COND_INTERSTICIAL[[#This Row],[Sección]]&amp;"-"&amp;COND_INTERSTICIAL[[#This Row],[Capa]],SECCIONES_CAPAS[llave],0))</f>
        <v>0</v>
      </c>
      <c r="DE36" s="90" t="e">
        <f ca="1">IF(COND_INTERSTICIAL[[#This Row],[ϴn]]&gt;=0,610.5*EXP((17.269*COND_INTERSTICIAL[[#This Row],[ϴn]])/(237.3+COND_INTERSTICIAL[[#This Row],[ϴn]])),610.5*EXP((21.875*COND_INTERSTICIAL[[#This Row],[ϴn]])/(265.5+COND_INTERSTICIAL[[#This Row],[ϴn]])))</f>
        <v>#N/A</v>
      </c>
      <c r="DF36" s="90" t="e" cm="1">
        <f t="array" aca="1" ref="DF36" ca="1">COND_INTERSTICIAL[[#This Row],[S''d]]*((INDEX(CLIMA[Pi],COND_INTERSTICIAL[[#This Row],[Mes]])-INDEX(CLIMA[Pe],COND_INTERSTICIAL[[#This Row],[Mes]]))/INDEX(SECCIONES[SdT],COND_INTERSTICIAL[[#This Row],[Sección]]))+INDEX(CLIMA[Pe],COND_INTERSTICIAL[[#This Row],[Mes]])</f>
        <v>#N/A</v>
      </c>
      <c r="DG36" s="108" t="e">
        <f ca="1">IF((COND_INTERSTICIAL[[#This Row],[Pn]]&gt;=COND_INTERSTICIAL[[#This Row],[Psat]]),TRUE,FALSE)</f>
        <v>#N/A</v>
      </c>
      <c r="DH36" s="109" t="e" cm="1">
        <f t="array" aca="1" ref="DH36" ca="1">IF(COND_INTERSTICIAL[[#This Row],[Condensa]],COND_INTERSTICIAL[[#This Row],[Psat]],IF(COND_INTERSTICIAL[[#This Row],[Capa]]=N_capas,COND_INTERSTICIAL[[#This Row],[Pn]],""))</f>
        <v>#N/A</v>
      </c>
      <c r="DI36" s="109" t="e">
        <f ca="1">COND_INTERSTICIAL[[#This Row],[Mes]]&amp;"-"&amp;COND_INTERSTICIAL[[#This Row],[Sección]]&amp;"-"&amp;COND_INTERSTICIAL[[#This Row],[tramo cond]]</f>
        <v>#N/A</v>
      </c>
      <c r="DJ36" t="e" cm="1">
        <f t="array" aca="1" ref="DJ36" ca="1">IF(COND_INTERSTICIAL[[#This Row],[Capa]]=1,IF(COND_INTERSTICIAL[[#This Row],[Condensa]],2,1),IF(COND_INTERSTICIAL[[#This Row],[Condensa]],1,0)+INDIRECT(ADDRESS(ROW()-1,COLUMN(),4)))</f>
        <v>#N/A</v>
      </c>
      <c r="DK36" s="108" t="e" cm="1">
        <f t="array" aca="1" ref="DK36" ca="1">IF(COND_INTERSTICIAL[[#This Row],[tramo cond]]=1,0,IF((COND_INTERSTICIAL[[#This Row],[tramo cond]]&gt;INDIRECT(ADDRESS(ROW()-1,COLUMN(COND_INTERSTICIAL[[#This Row],[tramo cond]]),4)))+COND_INTERSTICIAL[[#This Row],[Condensa]],COND_INTERSTICIAL[[#This Row],[Capa]],INDIRECT(ADDRESS(ROW()-1,COLUMN(),4))))</f>
        <v>#N/A</v>
      </c>
      <c r="DL36" s="108" t="e" cm="1">
        <f t="array" aca="1" ref="DL36" ca="1">IF((COND_INTERSTICIAL[[#This Row],[Capa]]=N_capas)+(COND_INTERSTICIAL[[#This Row],[tramo cond]]=COUNTIFS(COND_INTERSTICIAL[Condensa],TRUE,COND_INTERSTICIAL[Mes],CW36,COND_INTERSTICIAL[Sección],CX36)+1),N_capas,INDEX(COND_INTERSTICIAL[capa lím inf cond],MATCH(COND_INTERSTICIAL[[#This Row],[Mes]]&amp;"-"&amp;COND_INTERSTICIAL[[#This Row],[Sección]]&amp;"-"&amp;(COND_INTERSTICIAL[[#This Row],[tramo cond]]+1),COND_INTERSTICIAL[llave tramo cond],0)))</f>
        <v>#N/A</v>
      </c>
      <c r="DM36" s="108" cm="1">
        <f t="array" aca="1" ref="DM3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6" s="110" t="e" cm="1">
        <f t="array" aca="1" ref="DN3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3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36" s="107" t="e">
        <f ca="1">COND_INTERSTICIAL[[#This Row],[gc]]+COND_INTERSTICIAL[[#This Row],[Ma_anterior cond]]</f>
        <v>#N/A</v>
      </c>
      <c r="DQ36" s="113" t="e">
        <f ca="1">IF((COND_INTERSTICIAL[[#This Row],[Ma_anterior cond]]&gt;0)*NOT(COND_INTERSTICIAL[[#This Row],[Condensa]]),TRUE,FALSE)</f>
        <v>#DIV/0!</v>
      </c>
      <c r="DR36" s="112" t="e" cm="1">
        <f t="array" aca="1" ref="DR36" ca="1">IF(COND_INTERSTICIAL[[#This Row],[evapora]],COND_INTERSTICIAL[[#This Row],[Psat]],IF(COND_INTERSTICIAL[[#This Row],[Capa]]=N_capas,COND_INTERSTICIAL[[#This Row],[Pn]],""))</f>
        <v>#DIV/0!</v>
      </c>
      <c r="DS36" s="112" t="e">
        <f ca="1">COND_INTERSTICIAL[[#This Row],[Mes]]&amp;"-"&amp;COND_INTERSTICIAL[[#This Row],[Sección]]&amp;"-"&amp;COND_INTERSTICIAL[[#This Row],[tramo ev]]</f>
        <v>#DIV/0!</v>
      </c>
      <c r="DT36" s="111" t="e" cm="1">
        <f t="array" aca="1" ref="DT36" ca="1">IF(COND_INTERSTICIAL[[#This Row],[Capa]]=1,IF(COND_INTERSTICIAL[[#This Row],[evapora]],2,1),IF(COND_INTERSTICIAL[[#This Row],[evapora]],1,0)+INDIRECT(ADDRESS(ROW()-1,COLUMN(),4)))</f>
        <v>#DIV/0!</v>
      </c>
      <c r="DU36" s="111" t="e" cm="1">
        <f t="array" aca="1" ref="DU36" ca="1">IF(COND_INTERSTICIAL[[#This Row],[tramo ev]]=1,0,IF((COND_INTERSTICIAL[[#This Row],[tramo ev]]&gt;INDIRECT(ADDRESS(ROW()-1,COLUMN(COND_INTERSTICIAL[[#This Row],[tramo ev]]),4)))+COND_INTERSTICIAL[[#This Row],[evapora]],COND_INTERSTICIAL[[#This Row],[Capa]],INDIRECT(ADDRESS(ROW()-1,COLUMN(),4))))</f>
        <v>#DIV/0!</v>
      </c>
      <c r="DV36" s="111" t="e" cm="1">
        <f t="array" aca="1" ref="DV36" ca="1">IF((COND_INTERSTICIAL[[#This Row],[Capa]]=N_capas)+(COND_INTERSTICIAL[[#This Row],[tramo ev]]=COUNTIFS(COND_INTERSTICIAL[evapora],TRUE,COND_INTERSTICIAL[Mes],CW36,COND_INTERSTICIAL[Sección],CX36)+1),N_capas,INDEX(COND_INTERSTICIAL[capa lím inf ev],MATCH(COND_INTERSTICIAL[[#This Row],[Mes]]&amp;"-"&amp;COND_INTERSTICIAL[[#This Row],[Sección]]&amp;"-"&amp;(COND_INTERSTICIAL[[#This Row],[tramo ev]]+1),COND_INTERSTICIAL[llave tramo ev],0)))</f>
        <v>#DIV/0!</v>
      </c>
      <c r="DW36" s="111" cm="1">
        <f t="array" aca="1" ref="DW3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6" s="113" t="e" cm="1">
        <f t="array" aca="1" ref="DX3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36" s="113" t="e">
        <f ca="1">COND_INTERSTICIAL[[#This Row],[gev]]+COND_INTERSTICIAL[[#This Row],[Ma anterior ev]]</f>
        <v>#DIV/0!</v>
      </c>
      <c r="EA36" s="115" t="e">
        <f ca="1">IF(COND_INTERSTICIAL[[#This Row],[Ma cond]]+COND_INTERSTICIAL[[#This Row],[Ma ev]]&lt;=0,0,COND_INTERSTICIAL[[#This Row],[Ma cond]]+COND_INTERSTICIAL[[#This Row],[Ma ev]])</f>
        <v>#N/A</v>
      </c>
      <c r="EB36" s="115" t="e">
        <f ca="1">IF(COND_INTERSTICIAL[[#This Row],[Ma]]&gt;0,TRUE,FALSE)</f>
        <v>#N/A</v>
      </c>
      <c r="EC36" s="115" t="e" cm="1">
        <f t="array" aca="1" ref="EC36" ca="1">IF(COND_INTERSTICIAL[[#This Row],[agua líquida]],IF(COND_INTERSTICIAL[[#This Row],[Condensa]],COND_INTERSTICIAL[[#This Row],[P límite cond]],COND_INTERSTICIAL[[#This Row],[P límite ev]]),IF(COND_INTERSTICIAL[[#This Row],[Capa]]=N_capas,COND_INTERSTICIAL[[#This Row],[Pn]],""))</f>
        <v>#N/A</v>
      </c>
      <c r="ED36" s="115" t="e">
        <f ca="1">COND_INTERSTICIAL[[#This Row],[Mes]]&amp;"-"&amp;COND_INTERSTICIAL[[#This Row],[Sección]]&amp;"-"&amp;COND_INTERSTICIAL[[#This Row],[tramo gráf]]</f>
        <v>#N/A</v>
      </c>
      <c r="EE36" s="114" t="e" cm="1">
        <f t="array" aca="1" ref="EE36" ca="1">IF(COND_INTERSTICIAL[[#This Row],[Capa]]=1,IF(COND_INTERSTICIAL[[#This Row],[agua líquida]],2,1),IF(COND_INTERSTICIAL[[#This Row],[agua líquida]],1,0)+INDIRECT(ADDRESS(ROW()-1,COLUMN(),4)))</f>
        <v>#N/A</v>
      </c>
      <c r="EF36" s="114" t="e" cm="1">
        <f t="array" aca="1" ref="EF36" ca="1">IF(COND_INTERSTICIAL[[#This Row],[tramo gráf]]=1,0,IF((COND_INTERSTICIAL[[#This Row],[tramo gráf]]&gt;INDIRECT(ADDRESS(ROW()-1,COLUMN(COND_INTERSTICIAL[[#This Row],[tramo gráf]]),4)))+COND_INTERSTICIAL[[#This Row],[agua líquida]],COND_INTERSTICIAL[[#This Row],[Capa]],INDIRECT(ADDRESS(ROW()-1,COLUMN(),4))))</f>
        <v>#N/A</v>
      </c>
      <c r="EG36" s="114" t="e" cm="1">
        <f t="array" aca="1" ref="EG36" ca="1">IF((COND_INTERSTICIAL[[#This Row],[Capa]]=N_capas)+(COND_INTERSTICIAL[[#This Row],[tramo gráf]]=COUNTIFS(COND_INTERSTICIAL[agua líquida],TRUE,COND_INTERSTICIAL[Mes],CW36,COND_INTERSTICIAL[Sección],CX36)+1),N_capas,INDEX(COND_INTERSTICIAL[capa lím inf gráf],MATCH(COND_INTERSTICIAL[[#This Row],[Mes]]&amp;"-"&amp;COND_INTERSTICIAL[[#This Row],[Sección]]&amp;"-"&amp;(COND_INTERSTICIAL[[#This Row],[tramo gráf]]+1),COND_INTERSTICIAL[llave tramo gráf],0)))</f>
        <v>#N/A</v>
      </c>
      <c r="EH36" s="114" cm="1">
        <f t="array" aca="1" ref="EH3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6" s="116" t="e" cm="1">
        <f t="array" aca="1" ref="EI3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36">
        <f t="shared" si="0"/>
        <v>7</v>
      </c>
      <c r="EM36">
        <f t="shared" si="1"/>
        <v>1</v>
      </c>
      <c r="EN36">
        <f>ROW()-ROW(INDEX(COND_INTERSTICIAL_GRÁF[],1,1))</f>
        <v>11</v>
      </c>
      <c r="EO36" t="str">
        <f>COND_INTERSTICIAL_GRÁF[[#This Row],[Mes]]&amp;"-"&amp;COND_INTERSTICIAL_GRÁF[[#This Row],[Sección]]&amp;"-"&amp;COND_INTERSTICIAL_GRÁF[[#This Row],[Capa]]</f>
        <v>7-1-11</v>
      </c>
      <c r="EP36" t="str">
        <f>"Capa "&amp;COND_INTERSTICIAL_GRÁF[[#This Row],[Capa]]&amp;": "&amp;IFERROR(INDEX(SECCIONES_CAPAS[Abreviatura],MATCH(COND_INTERSTICIAL_GRÁF[[#This Row],[Sección]]&amp;"-"&amp;COND_INTERSTICIAL_GRÁF[[#This Row],[Capa]],SECCIONES_CAPAS[llave],0)),"")</f>
        <v xml:space="preserve">Capa 11: </v>
      </c>
      <c r="EQ36" t="e">
        <f>IFERROR(IF(COND_INTERSTICIAL_GRÁF[[#This Row],[Capa]]=0,0,INDEX(SECCIONES_CAPAS[d],MATCH(COND_INTERSTICIAL_GRÁF[[#This Row],[Sección]]&amp;"-"&amp;COND_INTERSTICIAL_GRÁF[[#This Row],[Capa]],SECCIONES_CAPAS[llave],0))),NA())</f>
        <v>#N/A</v>
      </c>
      <c r="ER36" t="e">
        <f>IFERROR(IF(COND_INTERSTICIAL_GRÁF[[#This Row],[Capa]]=0,0,INDEX(SECCIONES_CAPAS[d''],MATCH(COND_INTERSTICIAL_GRÁF[[#This Row],[Sección]]&amp;"-"&amp;COND_INTERSTICIAL_GRÁF[[#This Row],[Capa]],SECCIONES_CAPAS[llave],0))),NA())</f>
        <v>#N/A</v>
      </c>
      <c r="ES36" s="377" t="e" cm="1">
        <f t="array" ref="ES36">COND_INTERSTICIAL_GRÁF[[#This Row],[d'']]/INDEX(SECCIONES[d''],COND_INTERSTICIAL_GRÁF[[#This Row],[Sección]])</f>
        <v>#N/A</v>
      </c>
      <c r="ET36" t="e" cm="1">
        <f t="array" ref="ET36">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36" s="90" t="e" cm="1">
        <f t="array" ref="EU36">IFERROR(IF(capa_interior_μ_inf,NA(),6.54+14.526*LN(COND_INTERSTICIAL_GRÁF[[#This Row],[Pn]]/1000)+0.7389*LN(COND_INTERSTICIAL_GRÁF[[#This Row],[Pn]]/1000)^2+0.09486*LN(COND_INTERSTICIAL_GRÁF[[#This Row],[Pn]]/1000)^3+0.4569*(COND_INTERSTICIAL_GRÁF[[#This Row],[Pn]]/1000)^0.1984),NA())</f>
        <v>#N/A</v>
      </c>
      <c r="EV36" t="e">
        <f>IFERROR(IF(COND_INTERSTICIAL_GRÁF[[#This Row],[Capa]]=0,0,INDEX(COND_INTERSTICIAL[Sd],MATCH(COND_INTERSTICIAL_GRÁF[[#This Row],[llave capa]],COND_INTERSTICIAL[llave capa],0))),NA())</f>
        <v>#N/A</v>
      </c>
      <c r="EW36" s="90" t="e">
        <f>IFERROR(IF(COND_INTERSTICIAL_GRÁF[[#This Row],[Capa]]=0,0,INDEX(COND_INTERSTICIAL[S''d],MATCH(COND_INTERSTICIAL_GRÁF[[#This Row],[llave capa]],COND_INTERSTICIAL[llave capa],0))),NA())</f>
        <v>#N/A</v>
      </c>
      <c r="EX36" s="377" t="e" cm="1">
        <f t="array" ref="EX36">COND_INTERSTICIAL_GRÁF[[#This Row],[S''d]]/INDEX(SECCIONES[SdT],Gráf_sección)</f>
        <v>#N/A</v>
      </c>
      <c r="EY36" s="90" t="e" cm="1">
        <f t="array" ref="EY36">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36" s="107">
        <f>IFERROR(INDEX(COND_INTERSTICIAL[Ma],MATCH(COND_INTERSTICIAL_GRÁF[[#This Row],[llave capa]],COND_INTERSTICIAL[llave capa],0)),0)</f>
        <v>0</v>
      </c>
      <c r="FA36" s="90" t="b">
        <f>IF(COND_INTERSTICIAL_GRÁF[[#This Row],[Ma]]&gt;0,TRUE,FALSE)</f>
        <v>0</v>
      </c>
      <c r="FB36" s="90" t="str">
        <f>"Interfaz "&amp;COND_INTERSTICIAL_GRÁF[[#This Row],[Capa]]</f>
        <v>Interfaz 11</v>
      </c>
      <c r="FC36" s="90" t="e">
        <f>IF(COND_INTERSTICIAL_GRÁF[[#This Row],[agua líquida]],COND_INTERSTICIAL_GRÁF[[#This Row],[Psat]],NA())</f>
        <v>#N/A</v>
      </c>
      <c r="FD36" s="90" t="e" cm="1">
        <f t="array" ref="FD36">IFERROR(IF(COND_INTERSTICIAL_GRÁF[[#This Row],[Capa]]=0,INDEX(CLIMA[Pe],COND_INTERSTICIAL_GRÁF[[#This Row],[Mes]]),INDEX(COND_INTERSTICIAL[Pn],MATCH(COND_INTERSTICIAL_GRÁF[[#This Row],[llave capa]],COND_INTERSTICIAL[llave capa],0))),NA())</f>
        <v>#N/A</v>
      </c>
      <c r="FE36" s="90" t="e" cm="1">
        <f t="array" ref="FE36">IFERROR(IF(capa_interior_μ_inf,NA(),IF(COND_INTERSTICIAL_GRÁF[[#This Row],[Capa]]=0,INDEX(CLIMA[Pe],COND_INTERSTICIAL_GRÁF[[#This Row],[Mes]]),INDEX(COND_INTERSTICIAL[Pn gráf],MATCH(COND_INTERSTICIAL_GRÁF[[#This Row],[llave capa]],COND_INTERSTICIAL[llave capa],0)))),NA())</f>
        <v>#N/A</v>
      </c>
      <c r="GD36" s="11" t="s">
        <v>1443</v>
      </c>
      <c r="GE36">
        <f>Anexo!$R$10/1000</f>
        <v>0.14000000000000001</v>
      </c>
      <c r="GF36" t="s">
        <v>135</v>
      </c>
      <c r="GH36" s="12"/>
    </row>
    <row r="37" spans="32:190" x14ac:dyDescent="0.45">
      <c r="AF37" s="11" t="s">
        <v>1859</v>
      </c>
      <c r="AG37" s="2" t="s">
        <v>354</v>
      </c>
      <c r="AH37" s="36">
        <f>Configuración!$H$9</f>
        <v>2</v>
      </c>
      <c r="AI37" s="12"/>
      <c r="CK37" s="1" cm="1">
        <f t="array" ref="CK37">ROUNDUP((ROW()-$CN$18)/(N_secciones),0)</f>
        <v>9</v>
      </c>
      <c r="CL37" cm="1">
        <f t="array" ref="CL37">ROW()-ROW(INDEX(COND_SUPERFICIAL[],1,1))+1-(COND_SUPERFICIAL[[#This Row],[Mes]]-1)*N_secciones</f>
        <v>2</v>
      </c>
      <c r="CM37" s="1" t="str">
        <f>COND_SUPERFICIAL[[#This Row],[Mes]]&amp;"-"&amp;COND_SUPERFICIAL[[#This Row],[Sección]]</f>
        <v>9-2</v>
      </c>
      <c r="CN37" t="e" cm="1">
        <f t="array" ref="CN37">IF(INDEX(SECCIONES[Rtsección_condensación],COND_SUPERFICIAL[[#This Row],[Sección]])&lt;=INDEX(COND_SUPERFICIAL_CONDICIONES[Rt_mín],COND_SUPERFICIAL[[#This Row],[Mes]]),TRUE,FALSE)</f>
        <v>#N/A</v>
      </c>
      <c r="CP37" s="1" cm="1">
        <f t="array" ref="CP37">ROUNDUP((ROW()-$CN$18)/(N_secciones),0)</f>
        <v>9</v>
      </c>
      <c r="CQ37" s="1" cm="1">
        <f t="array" ref="CQ37">ROUNDUP((ROW()-$CN$18+(Mes_inicial_de_análisis-1)*N_secciones)/(N_secciones),0)-12*IF(ROW()-$CN$18&gt;(12-Mes_inicial_de_análisis+1)*N_secciones,1,0)</f>
        <v>3</v>
      </c>
      <c r="CR37" s="1" cm="1">
        <f t="array" ref="CR37">ROW()-$CN$18-(ROUNDUP((ROW()-$CN$18)/(N_secciones),0)-1)*N_secciones</f>
        <v>2</v>
      </c>
      <c r="CS37" s="107" t="str">
        <f>COND_INTERSTICIAL_AGUA_ACUMULADA[[#This Row],[orden]]&amp;"-"&amp;COND_INTERSTICIAL_AGUA_ACUMULADA[[#This Row],[Sección]]</f>
        <v>9-2</v>
      </c>
      <c r="CT37">
        <f ca="1">COUNTIFS(COND_INTERSTICIAL[agua líquida],TRUE,COND_INTERSTICIAL[Mes],COND_INTERSTICIAL_AGUA_ACUMULADA[[#This Row],[Mes]],COND_INTERSTICIAL[Sección],COND_INTERSTICIAL_AGUA_ACUMULADA[[#This Row],[Sección]])</f>
        <v>0</v>
      </c>
      <c r="CU37" s="107" t="e">
        <f ca="1">SUMIFS(COND_INTERSTICIAL[Ma],COND_INTERSTICIAL[Mes],COND_INTERSTICIAL_AGUA_ACUMULADA[[#This Row],[Mes]],COND_INTERSTICIAL[Sección],COND_INTERSTICIAL_AGUA_ACUMULADA[[#This Row],[Sección]])</f>
        <v>#N/A</v>
      </c>
      <c r="CW37" s="1" cm="1">
        <f t="array" ref="CW37">ROUNDUP((ROW()-$CN$18+(Mes_inicial_de_análisis-1)*N_capas*N_secciones)/(N_capas*N_secciones),0)-12*IF(ROW()-$CN$18&gt;(12-Mes_inicial_de_análisis+1)*N_capas*N_secciones,1,0)</f>
        <v>8</v>
      </c>
      <c r="CX37" cm="1">
        <f t="array" ref="CX37">ROUNDUP((ROW()-$CN$18)/N_capas-(ROUNDUP((ROW()-$CN$18)/(N_capas*N_secciones),0)-1)*N_secciones,0)</f>
        <v>1</v>
      </c>
      <c r="CY37" cm="1">
        <f t="array" ref="CY37">(ROW()-$CN$18)-(COND_INTERSTICIAL[[#This Row],[Sección]]-1)*N_capas-(ROUNDUP((ROW()-$CN$18)/(N_capas*N_secciones),0)-1)*N_capas*N_secciones</f>
        <v>4</v>
      </c>
      <c r="CZ37" t="str">
        <f>COND_INTERSTICIAL[[#This Row],[Mes]]&amp;"-"&amp;COND_INTERSTICIAL[[#This Row],[Sección]]&amp;"-"&amp;COND_INTERSTICIAL[[#This Row],[Capa]]</f>
        <v>8-1-4</v>
      </c>
      <c r="DA37">
        <f ca="1">INDEX(SECCIONES_CAPAS[R''n],MATCH(COND_INTERSTICIAL[[#This Row],[Sección]]&amp;"-"&amp;COND_INTERSTICIAL[[#This Row],[Capa]],SECCIONES_CAPAS[llave],0))</f>
        <v>0.04</v>
      </c>
      <c r="DB37" s="172" t="e" cm="1">
        <f t="array" aca="1" ref="DB37" ca="1">INDEX(CLIMA[ϴe],COND_INTERSTICIAL[[#This Row],[Mes]])+COND_INTERSTICIAL[[#This Row],[Rn]]*(INDEX(CLIMA[ϴi],COND_INTERSTICIAL[[#This Row],[Mes]])-INDEX(CLIMA[ϴe],COND_INTERSTICIAL[[#This Row],[Mes]]))/(INDEX(SECCIONES[Rtsección_condensación],COND_INTERSTICIAL[[#This Row],[Sección]]))</f>
        <v>#N/A</v>
      </c>
      <c r="DC37">
        <f>INDEX(SECCIONES_CAPAS[Sd],MATCH(COND_INTERSTICIAL[[#This Row],[Sección]]&amp;"-"&amp;COND_INTERSTICIAL[[#This Row],[Capa]],SECCIONES_CAPAS[llave],0))</f>
        <v>0</v>
      </c>
      <c r="DD37">
        <f ca="1">INDEX(SECCIONES_CAPAS[S''d],MATCH(COND_INTERSTICIAL[[#This Row],[Sección]]&amp;"-"&amp;COND_INTERSTICIAL[[#This Row],[Capa]],SECCIONES_CAPAS[llave],0))</f>
        <v>0</v>
      </c>
      <c r="DE37" s="90" t="e">
        <f ca="1">IF(COND_INTERSTICIAL[[#This Row],[ϴn]]&gt;=0,610.5*EXP((17.269*COND_INTERSTICIAL[[#This Row],[ϴn]])/(237.3+COND_INTERSTICIAL[[#This Row],[ϴn]])),610.5*EXP((21.875*COND_INTERSTICIAL[[#This Row],[ϴn]])/(265.5+COND_INTERSTICIAL[[#This Row],[ϴn]])))</f>
        <v>#N/A</v>
      </c>
      <c r="DF37" s="90" t="e" cm="1">
        <f t="array" aca="1" ref="DF37" ca="1">COND_INTERSTICIAL[[#This Row],[S''d]]*((INDEX(CLIMA[Pi],COND_INTERSTICIAL[[#This Row],[Mes]])-INDEX(CLIMA[Pe],COND_INTERSTICIAL[[#This Row],[Mes]]))/INDEX(SECCIONES[SdT],COND_INTERSTICIAL[[#This Row],[Sección]]))+INDEX(CLIMA[Pe],COND_INTERSTICIAL[[#This Row],[Mes]])</f>
        <v>#N/A</v>
      </c>
      <c r="DG37" s="108" t="e">
        <f ca="1">IF((COND_INTERSTICIAL[[#This Row],[Pn]]&gt;=COND_INTERSTICIAL[[#This Row],[Psat]]),TRUE,FALSE)</f>
        <v>#N/A</v>
      </c>
      <c r="DH37" s="109" t="e" cm="1">
        <f t="array" aca="1" ref="DH37" ca="1">IF(COND_INTERSTICIAL[[#This Row],[Condensa]],COND_INTERSTICIAL[[#This Row],[Psat]],IF(COND_INTERSTICIAL[[#This Row],[Capa]]=N_capas,COND_INTERSTICIAL[[#This Row],[Pn]],""))</f>
        <v>#N/A</v>
      </c>
      <c r="DI37" s="109" t="e">
        <f ca="1">COND_INTERSTICIAL[[#This Row],[Mes]]&amp;"-"&amp;COND_INTERSTICIAL[[#This Row],[Sección]]&amp;"-"&amp;COND_INTERSTICIAL[[#This Row],[tramo cond]]</f>
        <v>#N/A</v>
      </c>
      <c r="DJ37" t="e" cm="1">
        <f t="array" aca="1" ref="DJ37" ca="1">IF(COND_INTERSTICIAL[[#This Row],[Capa]]=1,IF(COND_INTERSTICIAL[[#This Row],[Condensa]],2,1),IF(COND_INTERSTICIAL[[#This Row],[Condensa]],1,0)+INDIRECT(ADDRESS(ROW()-1,COLUMN(),4)))</f>
        <v>#N/A</v>
      </c>
      <c r="DK37" s="108" t="e" cm="1">
        <f t="array" aca="1" ref="DK37" ca="1">IF(COND_INTERSTICIAL[[#This Row],[tramo cond]]=1,0,IF((COND_INTERSTICIAL[[#This Row],[tramo cond]]&gt;INDIRECT(ADDRESS(ROW()-1,COLUMN(COND_INTERSTICIAL[[#This Row],[tramo cond]]),4)))+COND_INTERSTICIAL[[#This Row],[Condensa]],COND_INTERSTICIAL[[#This Row],[Capa]],INDIRECT(ADDRESS(ROW()-1,COLUMN(),4))))</f>
        <v>#N/A</v>
      </c>
      <c r="DL37" s="108" t="e" cm="1">
        <f t="array" aca="1" ref="DL37" ca="1">IF((COND_INTERSTICIAL[[#This Row],[Capa]]=N_capas)+(COND_INTERSTICIAL[[#This Row],[tramo cond]]=COUNTIFS(COND_INTERSTICIAL[Condensa],TRUE,COND_INTERSTICIAL[Mes],CW37,COND_INTERSTICIAL[Sección],CX37)+1),N_capas,INDEX(COND_INTERSTICIAL[capa lím inf cond],MATCH(COND_INTERSTICIAL[[#This Row],[Mes]]&amp;"-"&amp;COND_INTERSTICIAL[[#This Row],[Sección]]&amp;"-"&amp;(COND_INTERSTICIAL[[#This Row],[tramo cond]]+1),COND_INTERSTICIAL[llave tramo cond],0)))</f>
        <v>#N/A</v>
      </c>
      <c r="DM37" s="108" cm="1">
        <f t="array" aca="1" ref="DM3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7" s="110" t="e" cm="1">
        <f t="array" aca="1" ref="DN3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3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37" s="107" t="e">
        <f ca="1">COND_INTERSTICIAL[[#This Row],[gc]]+COND_INTERSTICIAL[[#This Row],[Ma_anterior cond]]</f>
        <v>#N/A</v>
      </c>
      <c r="DQ37" s="113" t="e">
        <f ca="1">IF((COND_INTERSTICIAL[[#This Row],[Ma_anterior cond]]&gt;0)*NOT(COND_INTERSTICIAL[[#This Row],[Condensa]]),TRUE,FALSE)</f>
        <v>#DIV/0!</v>
      </c>
      <c r="DR37" s="112" t="e" cm="1">
        <f t="array" aca="1" ref="DR37" ca="1">IF(COND_INTERSTICIAL[[#This Row],[evapora]],COND_INTERSTICIAL[[#This Row],[Psat]],IF(COND_INTERSTICIAL[[#This Row],[Capa]]=N_capas,COND_INTERSTICIAL[[#This Row],[Pn]],""))</f>
        <v>#DIV/0!</v>
      </c>
      <c r="DS37" s="112" t="e">
        <f ca="1">COND_INTERSTICIAL[[#This Row],[Mes]]&amp;"-"&amp;COND_INTERSTICIAL[[#This Row],[Sección]]&amp;"-"&amp;COND_INTERSTICIAL[[#This Row],[tramo ev]]</f>
        <v>#DIV/0!</v>
      </c>
      <c r="DT37" s="111" t="e" cm="1">
        <f t="array" aca="1" ref="DT37" ca="1">IF(COND_INTERSTICIAL[[#This Row],[Capa]]=1,IF(COND_INTERSTICIAL[[#This Row],[evapora]],2,1),IF(COND_INTERSTICIAL[[#This Row],[evapora]],1,0)+INDIRECT(ADDRESS(ROW()-1,COLUMN(),4)))</f>
        <v>#DIV/0!</v>
      </c>
      <c r="DU37" s="111" t="e" cm="1">
        <f t="array" aca="1" ref="DU37" ca="1">IF(COND_INTERSTICIAL[[#This Row],[tramo ev]]=1,0,IF((COND_INTERSTICIAL[[#This Row],[tramo ev]]&gt;INDIRECT(ADDRESS(ROW()-1,COLUMN(COND_INTERSTICIAL[[#This Row],[tramo ev]]),4)))+COND_INTERSTICIAL[[#This Row],[evapora]],COND_INTERSTICIAL[[#This Row],[Capa]],INDIRECT(ADDRESS(ROW()-1,COLUMN(),4))))</f>
        <v>#DIV/0!</v>
      </c>
      <c r="DV37" s="111" t="e" cm="1">
        <f t="array" aca="1" ref="DV37" ca="1">IF((COND_INTERSTICIAL[[#This Row],[Capa]]=N_capas)+(COND_INTERSTICIAL[[#This Row],[tramo ev]]=COUNTIFS(COND_INTERSTICIAL[evapora],TRUE,COND_INTERSTICIAL[Mes],CW37,COND_INTERSTICIAL[Sección],CX37)+1),N_capas,INDEX(COND_INTERSTICIAL[capa lím inf ev],MATCH(COND_INTERSTICIAL[[#This Row],[Mes]]&amp;"-"&amp;COND_INTERSTICIAL[[#This Row],[Sección]]&amp;"-"&amp;(COND_INTERSTICIAL[[#This Row],[tramo ev]]+1),COND_INTERSTICIAL[llave tramo ev],0)))</f>
        <v>#DIV/0!</v>
      </c>
      <c r="DW37" s="111" cm="1">
        <f t="array" aca="1" ref="DW3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7" s="113" t="e" cm="1">
        <f t="array" aca="1" ref="DX3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37" s="113" t="e">
        <f ca="1">COND_INTERSTICIAL[[#This Row],[gev]]+COND_INTERSTICIAL[[#This Row],[Ma anterior ev]]</f>
        <v>#DIV/0!</v>
      </c>
      <c r="EA37" s="115" t="e">
        <f ca="1">IF(COND_INTERSTICIAL[[#This Row],[Ma cond]]+COND_INTERSTICIAL[[#This Row],[Ma ev]]&lt;=0,0,COND_INTERSTICIAL[[#This Row],[Ma cond]]+COND_INTERSTICIAL[[#This Row],[Ma ev]])</f>
        <v>#N/A</v>
      </c>
      <c r="EB37" s="115" t="e">
        <f ca="1">IF(COND_INTERSTICIAL[[#This Row],[Ma]]&gt;0,TRUE,FALSE)</f>
        <v>#N/A</v>
      </c>
      <c r="EC37" s="115" t="e" cm="1">
        <f t="array" aca="1" ref="EC37" ca="1">IF(COND_INTERSTICIAL[[#This Row],[agua líquida]],IF(COND_INTERSTICIAL[[#This Row],[Condensa]],COND_INTERSTICIAL[[#This Row],[P límite cond]],COND_INTERSTICIAL[[#This Row],[P límite ev]]),IF(COND_INTERSTICIAL[[#This Row],[Capa]]=N_capas,COND_INTERSTICIAL[[#This Row],[Pn]],""))</f>
        <v>#N/A</v>
      </c>
      <c r="ED37" s="115" t="e">
        <f ca="1">COND_INTERSTICIAL[[#This Row],[Mes]]&amp;"-"&amp;COND_INTERSTICIAL[[#This Row],[Sección]]&amp;"-"&amp;COND_INTERSTICIAL[[#This Row],[tramo gráf]]</f>
        <v>#N/A</v>
      </c>
      <c r="EE37" s="114" t="e" cm="1">
        <f t="array" aca="1" ref="EE37" ca="1">IF(COND_INTERSTICIAL[[#This Row],[Capa]]=1,IF(COND_INTERSTICIAL[[#This Row],[agua líquida]],2,1),IF(COND_INTERSTICIAL[[#This Row],[agua líquida]],1,0)+INDIRECT(ADDRESS(ROW()-1,COLUMN(),4)))</f>
        <v>#N/A</v>
      </c>
      <c r="EF37" s="114" t="e" cm="1">
        <f t="array" aca="1" ref="EF37" ca="1">IF(COND_INTERSTICIAL[[#This Row],[tramo gráf]]=1,0,IF((COND_INTERSTICIAL[[#This Row],[tramo gráf]]&gt;INDIRECT(ADDRESS(ROW()-1,COLUMN(COND_INTERSTICIAL[[#This Row],[tramo gráf]]),4)))+COND_INTERSTICIAL[[#This Row],[agua líquida]],COND_INTERSTICIAL[[#This Row],[Capa]],INDIRECT(ADDRESS(ROW()-1,COLUMN(),4))))</f>
        <v>#N/A</v>
      </c>
      <c r="EG37" s="114" t="e" cm="1">
        <f t="array" aca="1" ref="EG37" ca="1">IF((COND_INTERSTICIAL[[#This Row],[Capa]]=N_capas)+(COND_INTERSTICIAL[[#This Row],[tramo gráf]]=COUNTIFS(COND_INTERSTICIAL[agua líquida],TRUE,COND_INTERSTICIAL[Mes],CW37,COND_INTERSTICIAL[Sección],CX37)+1),N_capas,INDEX(COND_INTERSTICIAL[capa lím inf gráf],MATCH(COND_INTERSTICIAL[[#This Row],[Mes]]&amp;"-"&amp;COND_INTERSTICIAL[[#This Row],[Sección]]&amp;"-"&amp;(COND_INTERSTICIAL[[#This Row],[tramo gráf]]+1),COND_INTERSTICIAL[llave tramo gráf],0)))</f>
        <v>#N/A</v>
      </c>
      <c r="EH37" s="114" cm="1">
        <f t="array" aca="1" ref="EH3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7" s="116" t="e" cm="1">
        <f t="array" aca="1" ref="EI3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37">
        <f t="shared" si="0"/>
        <v>7</v>
      </c>
      <c r="EM37">
        <f t="shared" si="1"/>
        <v>1</v>
      </c>
      <c r="EN37">
        <f>ROW()-ROW(INDEX(COND_INTERSTICIAL_GRÁF[],1,1))</f>
        <v>12</v>
      </c>
      <c r="EO37" t="str">
        <f>COND_INTERSTICIAL_GRÁF[[#This Row],[Mes]]&amp;"-"&amp;COND_INTERSTICIAL_GRÁF[[#This Row],[Sección]]&amp;"-"&amp;COND_INTERSTICIAL_GRÁF[[#This Row],[Capa]]</f>
        <v>7-1-12</v>
      </c>
      <c r="EP37" t="str">
        <f>"Capa "&amp;COND_INTERSTICIAL_GRÁF[[#This Row],[Capa]]&amp;": "&amp;IFERROR(INDEX(SECCIONES_CAPAS[Abreviatura],MATCH(COND_INTERSTICIAL_GRÁF[[#This Row],[Sección]]&amp;"-"&amp;COND_INTERSTICIAL_GRÁF[[#This Row],[Capa]],SECCIONES_CAPAS[llave],0)),"")</f>
        <v xml:space="preserve">Capa 12: </v>
      </c>
      <c r="EQ37" t="e">
        <f>IFERROR(IF(COND_INTERSTICIAL_GRÁF[[#This Row],[Capa]]=0,0,INDEX(SECCIONES_CAPAS[d],MATCH(COND_INTERSTICIAL_GRÁF[[#This Row],[Sección]]&amp;"-"&amp;COND_INTERSTICIAL_GRÁF[[#This Row],[Capa]],SECCIONES_CAPAS[llave],0))),NA())</f>
        <v>#N/A</v>
      </c>
      <c r="ER37" t="e">
        <f>IFERROR(IF(COND_INTERSTICIAL_GRÁF[[#This Row],[Capa]]=0,0,INDEX(SECCIONES_CAPAS[d''],MATCH(COND_INTERSTICIAL_GRÁF[[#This Row],[Sección]]&amp;"-"&amp;COND_INTERSTICIAL_GRÁF[[#This Row],[Capa]],SECCIONES_CAPAS[llave],0))),NA())</f>
        <v>#N/A</v>
      </c>
      <c r="ES37" s="377" t="e" cm="1">
        <f t="array" ref="ES37">COND_INTERSTICIAL_GRÁF[[#This Row],[d'']]/INDEX(SECCIONES[d''],COND_INTERSTICIAL_GRÁF[[#This Row],[Sección]])</f>
        <v>#N/A</v>
      </c>
      <c r="ET37" t="e" cm="1">
        <f t="array" ref="ET37">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37" s="90" t="e" cm="1">
        <f t="array" ref="EU37">IFERROR(IF(capa_interior_μ_inf,NA(),6.54+14.526*LN(COND_INTERSTICIAL_GRÁF[[#This Row],[Pn]]/1000)+0.7389*LN(COND_INTERSTICIAL_GRÁF[[#This Row],[Pn]]/1000)^2+0.09486*LN(COND_INTERSTICIAL_GRÁF[[#This Row],[Pn]]/1000)^3+0.4569*(COND_INTERSTICIAL_GRÁF[[#This Row],[Pn]]/1000)^0.1984),NA())</f>
        <v>#N/A</v>
      </c>
      <c r="EV37" t="e">
        <f>IFERROR(IF(COND_INTERSTICIAL_GRÁF[[#This Row],[Capa]]=0,0,INDEX(COND_INTERSTICIAL[Sd],MATCH(COND_INTERSTICIAL_GRÁF[[#This Row],[llave capa]],COND_INTERSTICIAL[llave capa],0))),NA())</f>
        <v>#N/A</v>
      </c>
      <c r="EW37" s="90" t="e">
        <f>IFERROR(IF(COND_INTERSTICIAL_GRÁF[[#This Row],[Capa]]=0,0,INDEX(COND_INTERSTICIAL[S''d],MATCH(COND_INTERSTICIAL_GRÁF[[#This Row],[llave capa]],COND_INTERSTICIAL[llave capa],0))),NA())</f>
        <v>#N/A</v>
      </c>
      <c r="EX37" s="377" t="e" cm="1">
        <f t="array" ref="EX37">COND_INTERSTICIAL_GRÁF[[#This Row],[S''d]]/INDEX(SECCIONES[SdT],Gráf_sección)</f>
        <v>#N/A</v>
      </c>
      <c r="EY37" s="90" t="e" cm="1">
        <f t="array" ref="EY37">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37" s="107">
        <f>IFERROR(INDEX(COND_INTERSTICIAL[Ma],MATCH(COND_INTERSTICIAL_GRÁF[[#This Row],[llave capa]],COND_INTERSTICIAL[llave capa],0)),0)</f>
        <v>0</v>
      </c>
      <c r="FA37" s="90" t="b">
        <f>IF(COND_INTERSTICIAL_GRÁF[[#This Row],[Ma]]&gt;0,TRUE,FALSE)</f>
        <v>0</v>
      </c>
      <c r="FB37" s="90" t="str">
        <f>"Interfaz "&amp;COND_INTERSTICIAL_GRÁF[[#This Row],[Capa]]</f>
        <v>Interfaz 12</v>
      </c>
      <c r="FC37" s="90" t="e">
        <f>IF(COND_INTERSTICIAL_GRÁF[[#This Row],[agua líquida]],COND_INTERSTICIAL_GRÁF[[#This Row],[Psat]],NA())</f>
        <v>#N/A</v>
      </c>
      <c r="FD37" s="90" t="e" cm="1">
        <f t="array" ref="FD37">IFERROR(IF(COND_INTERSTICIAL_GRÁF[[#This Row],[Capa]]=0,INDEX(CLIMA[Pe],COND_INTERSTICIAL_GRÁF[[#This Row],[Mes]]),INDEX(COND_INTERSTICIAL[Pn],MATCH(COND_INTERSTICIAL_GRÁF[[#This Row],[llave capa]],COND_INTERSTICIAL[llave capa],0))),NA())</f>
        <v>#N/A</v>
      </c>
      <c r="FE37" s="90" t="e" cm="1">
        <f t="array" ref="FE37">IFERROR(IF(capa_interior_μ_inf,NA(),IF(COND_INTERSTICIAL_GRÁF[[#This Row],[Capa]]=0,INDEX(CLIMA[Pe],COND_INTERSTICIAL_GRÁF[[#This Row],[Mes]]),INDEX(COND_INTERSTICIAL[Pn gráf],MATCH(COND_INTERSTICIAL_GRÁF[[#This Row],[llave capa]],COND_INTERSTICIAL[llave capa],0)))),NA())</f>
        <v>#N/A</v>
      </c>
      <c r="GD37" s="11" t="s">
        <v>1444</v>
      </c>
      <c r="GE37">
        <f>Anexo!$R$11/1000</f>
        <v>0.28999999999999998</v>
      </c>
      <c r="GF37" t="s">
        <v>135</v>
      </c>
      <c r="GH37" s="12"/>
    </row>
    <row r="38" spans="32:190" x14ac:dyDescent="0.45">
      <c r="AF38" s="11" t="s">
        <v>346</v>
      </c>
      <c r="AG38" s="2" t="s">
        <v>347</v>
      </c>
      <c r="AH38" s="36">
        <f>1/R_tot_inf</f>
        <v>5.8823529411764701</v>
      </c>
      <c r="AI38" s="12" t="s">
        <v>348</v>
      </c>
      <c r="BY38" s="11" t="s">
        <v>1395</v>
      </c>
      <c r="BZ38" t="b">
        <f>IF(SUM(SECCIONES[verif error sección condensación])&gt;0,TRUE,FALSE)</f>
        <v>0</v>
      </c>
      <c r="CK38" s="1" cm="1">
        <f t="array" ref="CK38">ROUNDUP((ROW()-$CN$18)/(N_secciones),0)</f>
        <v>10</v>
      </c>
      <c r="CL38" cm="1">
        <f t="array" ref="CL38">ROW()-ROW(INDEX(COND_SUPERFICIAL[],1,1))+1-(COND_SUPERFICIAL[[#This Row],[Mes]]-1)*N_secciones</f>
        <v>1</v>
      </c>
      <c r="CM38" s="1" t="str">
        <f>COND_SUPERFICIAL[[#This Row],[Mes]]&amp;"-"&amp;COND_SUPERFICIAL[[#This Row],[Sección]]</f>
        <v>10-1</v>
      </c>
      <c r="CN38" t="e" cm="1">
        <f t="array" ref="CN38">IF(INDEX(SECCIONES[Rtsección_condensación],COND_SUPERFICIAL[[#This Row],[Sección]])&lt;=INDEX(COND_SUPERFICIAL_CONDICIONES[Rt_mín],COND_SUPERFICIAL[[#This Row],[Mes]]),TRUE,FALSE)</f>
        <v>#N/A</v>
      </c>
      <c r="CP38" s="1" cm="1">
        <f t="array" ref="CP38">ROUNDUP((ROW()-$CN$18)/(N_secciones),0)</f>
        <v>10</v>
      </c>
      <c r="CQ38" s="1" cm="1">
        <f t="array" ref="CQ38">ROUNDUP((ROW()-$CN$18+(Mes_inicial_de_análisis-1)*N_secciones)/(N_secciones),0)-12*IF(ROW()-$CN$18&gt;(12-Mes_inicial_de_análisis+1)*N_secciones,1,0)</f>
        <v>4</v>
      </c>
      <c r="CR38" s="1" cm="1">
        <f t="array" ref="CR38">ROW()-$CN$18-(ROUNDUP((ROW()-$CN$18)/(N_secciones),0)-1)*N_secciones</f>
        <v>1</v>
      </c>
      <c r="CS38" s="107" t="str">
        <f>COND_INTERSTICIAL_AGUA_ACUMULADA[[#This Row],[orden]]&amp;"-"&amp;COND_INTERSTICIAL_AGUA_ACUMULADA[[#This Row],[Sección]]</f>
        <v>10-1</v>
      </c>
      <c r="CT38">
        <f ca="1">COUNTIFS(COND_INTERSTICIAL[agua líquida],TRUE,COND_INTERSTICIAL[Mes],COND_INTERSTICIAL_AGUA_ACUMULADA[[#This Row],[Mes]],COND_INTERSTICIAL[Sección],COND_INTERSTICIAL_AGUA_ACUMULADA[[#This Row],[Sección]])</f>
        <v>0</v>
      </c>
      <c r="CU38" s="107" t="e">
        <f ca="1">SUMIFS(COND_INTERSTICIAL[Ma],COND_INTERSTICIAL[Mes],COND_INTERSTICIAL_AGUA_ACUMULADA[[#This Row],[Mes]],COND_INTERSTICIAL[Sección],COND_INTERSTICIAL_AGUA_ACUMULADA[[#This Row],[Sección]])</f>
        <v>#N/A</v>
      </c>
      <c r="CW38" s="1" cm="1">
        <f t="array" ref="CW38">ROUNDUP((ROW()-$CN$18+(Mes_inicial_de_análisis-1)*N_capas*N_secciones)/(N_capas*N_secciones),0)-12*IF(ROW()-$CN$18&gt;(12-Mes_inicial_de_análisis+1)*N_capas*N_secciones,1,0)</f>
        <v>8</v>
      </c>
      <c r="CX38" cm="1">
        <f t="array" ref="CX38">ROUNDUP((ROW()-$CN$18)/N_capas-(ROUNDUP((ROW()-$CN$18)/(N_capas*N_secciones),0)-1)*N_secciones,0)</f>
        <v>1</v>
      </c>
      <c r="CY38" cm="1">
        <f t="array" ref="CY38">(ROW()-$CN$18)-(COND_INTERSTICIAL[[#This Row],[Sección]]-1)*N_capas-(ROUNDUP((ROW()-$CN$18)/(N_capas*N_secciones),0)-1)*N_capas*N_secciones</f>
        <v>5</v>
      </c>
      <c r="CZ38" t="str">
        <f>COND_INTERSTICIAL[[#This Row],[Mes]]&amp;"-"&amp;COND_INTERSTICIAL[[#This Row],[Sección]]&amp;"-"&amp;COND_INTERSTICIAL[[#This Row],[Capa]]</f>
        <v>8-1-5</v>
      </c>
      <c r="DA38">
        <f ca="1">INDEX(SECCIONES_CAPAS[R''n],MATCH(COND_INTERSTICIAL[[#This Row],[Sección]]&amp;"-"&amp;COND_INTERSTICIAL[[#This Row],[Capa]],SECCIONES_CAPAS[llave],0))</f>
        <v>0.04</v>
      </c>
      <c r="DB38" s="172" t="e" cm="1">
        <f t="array" aca="1" ref="DB38" ca="1">INDEX(CLIMA[ϴe],COND_INTERSTICIAL[[#This Row],[Mes]])+COND_INTERSTICIAL[[#This Row],[Rn]]*(INDEX(CLIMA[ϴi],COND_INTERSTICIAL[[#This Row],[Mes]])-INDEX(CLIMA[ϴe],COND_INTERSTICIAL[[#This Row],[Mes]]))/(INDEX(SECCIONES[Rtsección_condensación],COND_INTERSTICIAL[[#This Row],[Sección]]))</f>
        <v>#N/A</v>
      </c>
      <c r="DC38">
        <f>INDEX(SECCIONES_CAPAS[Sd],MATCH(COND_INTERSTICIAL[[#This Row],[Sección]]&amp;"-"&amp;COND_INTERSTICIAL[[#This Row],[Capa]],SECCIONES_CAPAS[llave],0))</f>
        <v>0</v>
      </c>
      <c r="DD38">
        <f ca="1">INDEX(SECCIONES_CAPAS[S''d],MATCH(COND_INTERSTICIAL[[#This Row],[Sección]]&amp;"-"&amp;COND_INTERSTICIAL[[#This Row],[Capa]],SECCIONES_CAPAS[llave],0))</f>
        <v>0</v>
      </c>
      <c r="DE38" s="90" t="e">
        <f ca="1">IF(COND_INTERSTICIAL[[#This Row],[ϴn]]&gt;=0,610.5*EXP((17.269*COND_INTERSTICIAL[[#This Row],[ϴn]])/(237.3+COND_INTERSTICIAL[[#This Row],[ϴn]])),610.5*EXP((21.875*COND_INTERSTICIAL[[#This Row],[ϴn]])/(265.5+COND_INTERSTICIAL[[#This Row],[ϴn]])))</f>
        <v>#N/A</v>
      </c>
      <c r="DF38" s="90" t="e" cm="1">
        <f t="array" aca="1" ref="DF38" ca="1">COND_INTERSTICIAL[[#This Row],[S''d]]*((INDEX(CLIMA[Pi],COND_INTERSTICIAL[[#This Row],[Mes]])-INDEX(CLIMA[Pe],COND_INTERSTICIAL[[#This Row],[Mes]]))/INDEX(SECCIONES[SdT],COND_INTERSTICIAL[[#This Row],[Sección]]))+INDEX(CLIMA[Pe],COND_INTERSTICIAL[[#This Row],[Mes]])</f>
        <v>#N/A</v>
      </c>
      <c r="DG38" s="108" t="e">
        <f ca="1">IF((COND_INTERSTICIAL[[#This Row],[Pn]]&gt;=COND_INTERSTICIAL[[#This Row],[Psat]]),TRUE,FALSE)</f>
        <v>#N/A</v>
      </c>
      <c r="DH38" s="109" t="e" cm="1">
        <f t="array" aca="1" ref="DH38" ca="1">IF(COND_INTERSTICIAL[[#This Row],[Condensa]],COND_INTERSTICIAL[[#This Row],[Psat]],IF(COND_INTERSTICIAL[[#This Row],[Capa]]=N_capas,COND_INTERSTICIAL[[#This Row],[Pn]],""))</f>
        <v>#N/A</v>
      </c>
      <c r="DI38" s="109" t="e">
        <f ca="1">COND_INTERSTICIAL[[#This Row],[Mes]]&amp;"-"&amp;COND_INTERSTICIAL[[#This Row],[Sección]]&amp;"-"&amp;COND_INTERSTICIAL[[#This Row],[tramo cond]]</f>
        <v>#N/A</v>
      </c>
      <c r="DJ38" t="e" cm="1">
        <f t="array" aca="1" ref="DJ38" ca="1">IF(COND_INTERSTICIAL[[#This Row],[Capa]]=1,IF(COND_INTERSTICIAL[[#This Row],[Condensa]],2,1),IF(COND_INTERSTICIAL[[#This Row],[Condensa]],1,0)+INDIRECT(ADDRESS(ROW()-1,COLUMN(),4)))</f>
        <v>#N/A</v>
      </c>
      <c r="DK38" s="108" t="e" cm="1">
        <f t="array" aca="1" ref="DK38" ca="1">IF(COND_INTERSTICIAL[[#This Row],[tramo cond]]=1,0,IF((COND_INTERSTICIAL[[#This Row],[tramo cond]]&gt;INDIRECT(ADDRESS(ROW()-1,COLUMN(COND_INTERSTICIAL[[#This Row],[tramo cond]]),4)))+COND_INTERSTICIAL[[#This Row],[Condensa]],COND_INTERSTICIAL[[#This Row],[Capa]],INDIRECT(ADDRESS(ROW()-1,COLUMN(),4))))</f>
        <v>#N/A</v>
      </c>
      <c r="DL38" s="108" t="e" cm="1">
        <f t="array" aca="1" ref="DL38" ca="1">IF((COND_INTERSTICIAL[[#This Row],[Capa]]=N_capas)+(COND_INTERSTICIAL[[#This Row],[tramo cond]]=COUNTIFS(COND_INTERSTICIAL[Condensa],TRUE,COND_INTERSTICIAL[Mes],CW38,COND_INTERSTICIAL[Sección],CX38)+1),N_capas,INDEX(COND_INTERSTICIAL[capa lím inf cond],MATCH(COND_INTERSTICIAL[[#This Row],[Mes]]&amp;"-"&amp;COND_INTERSTICIAL[[#This Row],[Sección]]&amp;"-"&amp;(COND_INTERSTICIAL[[#This Row],[tramo cond]]+1),COND_INTERSTICIAL[llave tramo cond],0)))</f>
        <v>#N/A</v>
      </c>
      <c r="DM38" s="108" cm="1">
        <f t="array" aca="1" ref="DM3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8" s="110" t="e" cm="1">
        <f t="array" aca="1" ref="DN3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3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38" s="107" t="e">
        <f ca="1">COND_INTERSTICIAL[[#This Row],[gc]]+COND_INTERSTICIAL[[#This Row],[Ma_anterior cond]]</f>
        <v>#N/A</v>
      </c>
      <c r="DQ38" s="113" t="e">
        <f ca="1">IF((COND_INTERSTICIAL[[#This Row],[Ma_anterior cond]]&gt;0)*NOT(COND_INTERSTICIAL[[#This Row],[Condensa]]),TRUE,FALSE)</f>
        <v>#DIV/0!</v>
      </c>
      <c r="DR38" s="112" t="e" cm="1">
        <f t="array" aca="1" ref="DR38" ca="1">IF(COND_INTERSTICIAL[[#This Row],[evapora]],COND_INTERSTICIAL[[#This Row],[Psat]],IF(COND_INTERSTICIAL[[#This Row],[Capa]]=N_capas,COND_INTERSTICIAL[[#This Row],[Pn]],""))</f>
        <v>#DIV/0!</v>
      </c>
      <c r="DS38" s="112" t="e">
        <f ca="1">COND_INTERSTICIAL[[#This Row],[Mes]]&amp;"-"&amp;COND_INTERSTICIAL[[#This Row],[Sección]]&amp;"-"&amp;COND_INTERSTICIAL[[#This Row],[tramo ev]]</f>
        <v>#DIV/0!</v>
      </c>
      <c r="DT38" s="111" t="e" cm="1">
        <f t="array" aca="1" ref="DT38" ca="1">IF(COND_INTERSTICIAL[[#This Row],[Capa]]=1,IF(COND_INTERSTICIAL[[#This Row],[evapora]],2,1),IF(COND_INTERSTICIAL[[#This Row],[evapora]],1,0)+INDIRECT(ADDRESS(ROW()-1,COLUMN(),4)))</f>
        <v>#DIV/0!</v>
      </c>
      <c r="DU38" s="111" t="e" cm="1">
        <f t="array" aca="1" ref="DU38" ca="1">IF(COND_INTERSTICIAL[[#This Row],[tramo ev]]=1,0,IF((COND_INTERSTICIAL[[#This Row],[tramo ev]]&gt;INDIRECT(ADDRESS(ROW()-1,COLUMN(COND_INTERSTICIAL[[#This Row],[tramo ev]]),4)))+COND_INTERSTICIAL[[#This Row],[evapora]],COND_INTERSTICIAL[[#This Row],[Capa]],INDIRECT(ADDRESS(ROW()-1,COLUMN(),4))))</f>
        <v>#DIV/0!</v>
      </c>
      <c r="DV38" s="111" t="e" cm="1">
        <f t="array" aca="1" ref="DV38" ca="1">IF((COND_INTERSTICIAL[[#This Row],[Capa]]=N_capas)+(COND_INTERSTICIAL[[#This Row],[tramo ev]]=COUNTIFS(COND_INTERSTICIAL[evapora],TRUE,COND_INTERSTICIAL[Mes],CW38,COND_INTERSTICIAL[Sección],CX38)+1),N_capas,INDEX(COND_INTERSTICIAL[capa lím inf ev],MATCH(COND_INTERSTICIAL[[#This Row],[Mes]]&amp;"-"&amp;COND_INTERSTICIAL[[#This Row],[Sección]]&amp;"-"&amp;(COND_INTERSTICIAL[[#This Row],[tramo ev]]+1),COND_INTERSTICIAL[llave tramo ev],0)))</f>
        <v>#DIV/0!</v>
      </c>
      <c r="DW38" s="111" cm="1">
        <f t="array" aca="1" ref="DW3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8" s="113" t="e" cm="1">
        <f t="array" aca="1" ref="DX3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38" s="113" t="e">
        <f ca="1">COND_INTERSTICIAL[[#This Row],[gev]]+COND_INTERSTICIAL[[#This Row],[Ma anterior ev]]</f>
        <v>#DIV/0!</v>
      </c>
      <c r="EA38" s="115" t="e">
        <f ca="1">IF(COND_INTERSTICIAL[[#This Row],[Ma cond]]+COND_INTERSTICIAL[[#This Row],[Ma ev]]&lt;=0,0,COND_INTERSTICIAL[[#This Row],[Ma cond]]+COND_INTERSTICIAL[[#This Row],[Ma ev]])</f>
        <v>#N/A</v>
      </c>
      <c r="EB38" s="115" t="e">
        <f ca="1">IF(COND_INTERSTICIAL[[#This Row],[Ma]]&gt;0,TRUE,FALSE)</f>
        <v>#N/A</v>
      </c>
      <c r="EC38" s="115" t="e" cm="1">
        <f t="array" aca="1" ref="EC38" ca="1">IF(COND_INTERSTICIAL[[#This Row],[agua líquida]],IF(COND_INTERSTICIAL[[#This Row],[Condensa]],COND_INTERSTICIAL[[#This Row],[P límite cond]],COND_INTERSTICIAL[[#This Row],[P límite ev]]),IF(COND_INTERSTICIAL[[#This Row],[Capa]]=N_capas,COND_INTERSTICIAL[[#This Row],[Pn]],""))</f>
        <v>#N/A</v>
      </c>
      <c r="ED38" s="115" t="e">
        <f ca="1">COND_INTERSTICIAL[[#This Row],[Mes]]&amp;"-"&amp;COND_INTERSTICIAL[[#This Row],[Sección]]&amp;"-"&amp;COND_INTERSTICIAL[[#This Row],[tramo gráf]]</f>
        <v>#N/A</v>
      </c>
      <c r="EE38" s="114" t="e" cm="1">
        <f t="array" aca="1" ref="EE38" ca="1">IF(COND_INTERSTICIAL[[#This Row],[Capa]]=1,IF(COND_INTERSTICIAL[[#This Row],[agua líquida]],2,1),IF(COND_INTERSTICIAL[[#This Row],[agua líquida]],1,0)+INDIRECT(ADDRESS(ROW()-1,COLUMN(),4)))</f>
        <v>#N/A</v>
      </c>
      <c r="EF38" s="114" t="e" cm="1">
        <f t="array" aca="1" ref="EF38" ca="1">IF(COND_INTERSTICIAL[[#This Row],[tramo gráf]]=1,0,IF((COND_INTERSTICIAL[[#This Row],[tramo gráf]]&gt;INDIRECT(ADDRESS(ROW()-1,COLUMN(COND_INTERSTICIAL[[#This Row],[tramo gráf]]),4)))+COND_INTERSTICIAL[[#This Row],[agua líquida]],COND_INTERSTICIAL[[#This Row],[Capa]],INDIRECT(ADDRESS(ROW()-1,COLUMN(),4))))</f>
        <v>#N/A</v>
      </c>
      <c r="EG38" s="114" t="e" cm="1">
        <f t="array" aca="1" ref="EG38" ca="1">IF((COND_INTERSTICIAL[[#This Row],[Capa]]=N_capas)+(COND_INTERSTICIAL[[#This Row],[tramo gráf]]=COUNTIFS(COND_INTERSTICIAL[agua líquida],TRUE,COND_INTERSTICIAL[Mes],CW38,COND_INTERSTICIAL[Sección],CX38)+1),N_capas,INDEX(COND_INTERSTICIAL[capa lím inf gráf],MATCH(COND_INTERSTICIAL[[#This Row],[Mes]]&amp;"-"&amp;COND_INTERSTICIAL[[#This Row],[Sección]]&amp;"-"&amp;(COND_INTERSTICIAL[[#This Row],[tramo gráf]]+1),COND_INTERSTICIAL[llave tramo gráf],0)))</f>
        <v>#N/A</v>
      </c>
      <c r="EH38" s="114" cm="1">
        <f t="array" aca="1" ref="EH3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8" s="116" t="e" cm="1">
        <f t="array" aca="1" ref="EI3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38">
        <f t="shared" si="0"/>
        <v>7</v>
      </c>
      <c r="EM38">
        <f t="shared" si="1"/>
        <v>1</v>
      </c>
      <c r="EN38">
        <f>ROW()-ROW(INDEX(COND_INTERSTICIAL_GRÁF[],1,1))</f>
        <v>13</v>
      </c>
      <c r="EO38" t="str">
        <f>COND_INTERSTICIAL_GRÁF[[#This Row],[Mes]]&amp;"-"&amp;COND_INTERSTICIAL_GRÁF[[#This Row],[Sección]]&amp;"-"&amp;COND_INTERSTICIAL_GRÁF[[#This Row],[Capa]]</f>
        <v>7-1-13</v>
      </c>
      <c r="EP38" t="str">
        <f>"Capa "&amp;COND_INTERSTICIAL_GRÁF[[#This Row],[Capa]]&amp;": "&amp;IFERROR(INDEX(SECCIONES_CAPAS[Abreviatura],MATCH(COND_INTERSTICIAL_GRÁF[[#This Row],[Sección]]&amp;"-"&amp;COND_INTERSTICIAL_GRÁF[[#This Row],[Capa]],SECCIONES_CAPAS[llave],0)),"")</f>
        <v xml:space="preserve">Capa 13: </v>
      </c>
      <c r="EQ38" t="e">
        <f>IFERROR(IF(COND_INTERSTICIAL_GRÁF[[#This Row],[Capa]]=0,0,INDEX(SECCIONES_CAPAS[d],MATCH(COND_INTERSTICIAL_GRÁF[[#This Row],[Sección]]&amp;"-"&amp;COND_INTERSTICIAL_GRÁF[[#This Row],[Capa]],SECCIONES_CAPAS[llave],0))),NA())</f>
        <v>#N/A</v>
      </c>
      <c r="ER38" t="e">
        <f>IFERROR(IF(COND_INTERSTICIAL_GRÁF[[#This Row],[Capa]]=0,0,INDEX(SECCIONES_CAPAS[d''],MATCH(COND_INTERSTICIAL_GRÁF[[#This Row],[Sección]]&amp;"-"&amp;COND_INTERSTICIAL_GRÁF[[#This Row],[Capa]],SECCIONES_CAPAS[llave],0))),NA())</f>
        <v>#N/A</v>
      </c>
      <c r="ES38" s="377" t="e" cm="1">
        <f t="array" ref="ES38">COND_INTERSTICIAL_GRÁF[[#This Row],[d'']]/INDEX(SECCIONES[d''],COND_INTERSTICIAL_GRÁF[[#This Row],[Sección]])</f>
        <v>#N/A</v>
      </c>
      <c r="ET38" t="e" cm="1">
        <f t="array" ref="ET38">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38" s="90" t="e" cm="1">
        <f t="array" ref="EU38">IFERROR(IF(capa_interior_μ_inf,NA(),6.54+14.526*LN(COND_INTERSTICIAL_GRÁF[[#This Row],[Pn]]/1000)+0.7389*LN(COND_INTERSTICIAL_GRÁF[[#This Row],[Pn]]/1000)^2+0.09486*LN(COND_INTERSTICIAL_GRÁF[[#This Row],[Pn]]/1000)^3+0.4569*(COND_INTERSTICIAL_GRÁF[[#This Row],[Pn]]/1000)^0.1984),NA())</f>
        <v>#N/A</v>
      </c>
      <c r="EV38" t="e">
        <f>IFERROR(IF(COND_INTERSTICIAL_GRÁF[[#This Row],[Capa]]=0,0,INDEX(COND_INTERSTICIAL[Sd],MATCH(COND_INTERSTICIAL_GRÁF[[#This Row],[llave capa]],COND_INTERSTICIAL[llave capa],0))),NA())</f>
        <v>#N/A</v>
      </c>
      <c r="EW38" s="90" t="e">
        <f>IFERROR(IF(COND_INTERSTICIAL_GRÁF[[#This Row],[Capa]]=0,0,INDEX(COND_INTERSTICIAL[S''d],MATCH(COND_INTERSTICIAL_GRÁF[[#This Row],[llave capa]],COND_INTERSTICIAL[llave capa],0))),NA())</f>
        <v>#N/A</v>
      </c>
      <c r="EX38" s="377" t="e" cm="1">
        <f t="array" ref="EX38">COND_INTERSTICIAL_GRÁF[[#This Row],[S''d]]/INDEX(SECCIONES[SdT],Gráf_sección)</f>
        <v>#N/A</v>
      </c>
      <c r="EY38" s="90" t="e" cm="1">
        <f t="array" ref="EY38">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38" s="107">
        <f>IFERROR(INDEX(COND_INTERSTICIAL[Ma],MATCH(COND_INTERSTICIAL_GRÁF[[#This Row],[llave capa]],COND_INTERSTICIAL[llave capa],0)),0)</f>
        <v>0</v>
      </c>
      <c r="FA38" s="90" t="b">
        <f>IF(COND_INTERSTICIAL_GRÁF[[#This Row],[Ma]]&gt;0,TRUE,FALSE)</f>
        <v>0</v>
      </c>
      <c r="FB38" s="90" t="str">
        <f>"Interfaz "&amp;COND_INTERSTICIAL_GRÁF[[#This Row],[Capa]]</f>
        <v>Interfaz 13</v>
      </c>
      <c r="FC38" s="90" t="e">
        <f>IF(COND_INTERSTICIAL_GRÁF[[#This Row],[agua líquida]],COND_INTERSTICIAL_GRÁF[[#This Row],[Psat]],NA())</f>
        <v>#N/A</v>
      </c>
      <c r="FD38" s="90" t="e" cm="1">
        <f t="array" ref="FD38">IFERROR(IF(COND_INTERSTICIAL_GRÁF[[#This Row],[Capa]]=0,INDEX(CLIMA[Pe],COND_INTERSTICIAL_GRÁF[[#This Row],[Mes]]),INDEX(COND_INTERSTICIAL[Pn],MATCH(COND_INTERSTICIAL_GRÁF[[#This Row],[llave capa]],COND_INTERSTICIAL[llave capa],0))),NA())</f>
        <v>#N/A</v>
      </c>
      <c r="FE38" s="90" t="e" cm="1">
        <f t="array" ref="FE38">IFERROR(IF(capa_interior_μ_inf,NA(),IF(COND_INTERSTICIAL_GRÁF[[#This Row],[Capa]]=0,INDEX(CLIMA[Pe],COND_INTERSTICIAL_GRÁF[[#This Row],[Mes]]),INDEX(COND_INTERSTICIAL[Pn gráf],MATCH(COND_INTERSTICIAL_GRÁF[[#This Row],[llave capa]],COND_INTERSTICIAL[llave capa],0)))),NA())</f>
        <v>#N/A</v>
      </c>
      <c r="GD38" s="11" t="s">
        <v>1454</v>
      </c>
      <c r="GE38">
        <f>GE35*GE37</f>
        <v>2.6099999999999998E-2</v>
      </c>
      <c r="GF38" t="s">
        <v>229</v>
      </c>
      <c r="GH38" s="12"/>
    </row>
    <row r="39" spans="32:190" ht="14.65" thickBot="1" x14ac:dyDescent="0.5">
      <c r="AF39" s="11" t="s">
        <v>350</v>
      </c>
      <c r="AG39" s="2" t="s">
        <v>351</v>
      </c>
      <c r="AH39" s="36" t="e">
        <f>1/R_tot_sup</f>
        <v>#DIV/0!</v>
      </c>
      <c r="AI39" s="12" t="s">
        <v>348</v>
      </c>
      <c r="CK39" s="1" cm="1">
        <f t="array" ref="CK39">ROUNDUP((ROW()-$CN$18)/(N_secciones),0)</f>
        <v>10</v>
      </c>
      <c r="CL39" cm="1">
        <f t="array" ref="CL39">ROW()-ROW(INDEX(COND_SUPERFICIAL[],1,1))+1-(COND_SUPERFICIAL[[#This Row],[Mes]]-1)*N_secciones</f>
        <v>2</v>
      </c>
      <c r="CM39" s="1" t="str">
        <f>COND_SUPERFICIAL[[#This Row],[Mes]]&amp;"-"&amp;COND_SUPERFICIAL[[#This Row],[Sección]]</f>
        <v>10-2</v>
      </c>
      <c r="CN39" t="e" cm="1">
        <f t="array" ref="CN39">IF(INDEX(SECCIONES[Rtsección_condensación],COND_SUPERFICIAL[[#This Row],[Sección]])&lt;=INDEX(COND_SUPERFICIAL_CONDICIONES[Rt_mín],COND_SUPERFICIAL[[#This Row],[Mes]]),TRUE,FALSE)</f>
        <v>#N/A</v>
      </c>
      <c r="CP39" s="1" cm="1">
        <f t="array" ref="CP39">ROUNDUP((ROW()-$CN$18)/(N_secciones),0)</f>
        <v>10</v>
      </c>
      <c r="CQ39" s="1" cm="1">
        <f t="array" ref="CQ39">ROUNDUP((ROW()-$CN$18+(Mes_inicial_de_análisis-1)*N_secciones)/(N_secciones),0)-12*IF(ROW()-$CN$18&gt;(12-Mes_inicial_de_análisis+1)*N_secciones,1,0)</f>
        <v>4</v>
      </c>
      <c r="CR39" s="1" cm="1">
        <f t="array" ref="CR39">ROW()-$CN$18-(ROUNDUP((ROW()-$CN$18)/(N_secciones),0)-1)*N_secciones</f>
        <v>2</v>
      </c>
      <c r="CS39" s="107" t="str">
        <f>COND_INTERSTICIAL_AGUA_ACUMULADA[[#This Row],[orden]]&amp;"-"&amp;COND_INTERSTICIAL_AGUA_ACUMULADA[[#This Row],[Sección]]</f>
        <v>10-2</v>
      </c>
      <c r="CT39">
        <f ca="1">COUNTIFS(COND_INTERSTICIAL[agua líquida],TRUE,COND_INTERSTICIAL[Mes],COND_INTERSTICIAL_AGUA_ACUMULADA[[#This Row],[Mes]],COND_INTERSTICIAL[Sección],COND_INTERSTICIAL_AGUA_ACUMULADA[[#This Row],[Sección]])</f>
        <v>0</v>
      </c>
      <c r="CU39" s="107" t="e">
        <f ca="1">SUMIFS(COND_INTERSTICIAL[Ma],COND_INTERSTICIAL[Mes],COND_INTERSTICIAL_AGUA_ACUMULADA[[#This Row],[Mes]],COND_INTERSTICIAL[Sección],COND_INTERSTICIAL_AGUA_ACUMULADA[[#This Row],[Sección]])</f>
        <v>#N/A</v>
      </c>
      <c r="CW39" s="1" cm="1">
        <f t="array" ref="CW39">ROUNDUP((ROW()-$CN$18+(Mes_inicial_de_análisis-1)*N_capas*N_secciones)/(N_capas*N_secciones),0)-12*IF(ROW()-$CN$18&gt;(12-Mes_inicial_de_análisis+1)*N_capas*N_secciones,1,0)</f>
        <v>8</v>
      </c>
      <c r="CX39" cm="1">
        <f t="array" ref="CX39">ROUNDUP((ROW()-$CN$18)/N_capas-(ROUNDUP((ROW()-$CN$18)/(N_capas*N_secciones),0)-1)*N_secciones,0)</f>
        <v>1</v>
      </c>
      <c r="CY39" cm="1">
        <f t="array" ref="CY39">(ROW()-$CN$18)-(COND_INTERSTICIAL[[#This Row],[Sección]]-1)*N_capas-(ROUNDUP((ROW()-$CN$18)/(N_capas*N_secciones),0)-1)*N_capas*N_secciones</f>
        <v>6</v>
      </c>
      <c r="CZ39" t="str">
        <f>COND_INTERSTICIAL[[#This Row],[Mes]]&amp;"-"&amp;COND_INTERSTICIAL[[#This Row],[Sección]]&amp;"-"&amp;COND_INTERSTICIAL[[#This Row],[Capa]]</f>
        <v>8-1-6</v>
      </c>
      <c r="DA39">
        <f ca="1">INDEX(SECCIONES_CAPAS[R''n],MATCH(COND_INTERSTICIAL[[#This Row],[Sección]]&amp;"-"&amp;COND_INTERSTICIAL[[#This Row],[Capa]],SECCIONES_CAPAS[llave],0))</f>
        <v>0.04</v>
      </c>
      <c r="DB39" s="172" t="e" cm="1">
        <f t="array" aca="1" ref="DB39" ca="1">INDEX(CLIMA[ϴe],COND_INTERSTICIAL[[#This Row],[Mes]])+COND_INTERSTICIAL[[#This Row],[Rn]]*(INDEX(CLIMA[ϴi],COND_INTERSTICIAL[[#This Row],[Mes]])-INDEX(CLIMA[ϴe],COND_INTERSTICIAL[[#This Row],[Mes]]))/(INDEX(SECCIONES[Rtsección_condensación],COND_INTERSTICIAL[[#This Row],[Sección]]))</f>
        <v>#N/A</v>
      </c>
      <c r="DC39">
        <f>INDEX(SECCIONES_CAPAS[Sd],MATCH(COND_INTERSTICIAL[[#This Row],[Sección]]&amp;"-"&amp;COND_INTERSTICIAL[[#This Row],[Capa]],SECCIONES_CAPAS[llave],0))</f>
        <v>0</v>
      </c>
      <c r="DD39">
        <f ca="1">INDEX(SECCIONES_CAPAS[S''d],MATCH(COND_INTERSTICIAL[[#This Row],[Sección]]&amp;"-"&amp;COND_INTERSTICIAL[[#This Row],[Capa]],SECCIONES_CAPAS[llave],0))</f>
        <v>0</v>
      </c>
      <c r="DE39" s="90" t="e">
        <f ca="1">IF(COND_INTERSTICIAL[[#This Row],[ϴn]]&gt;=0,610.5*EXP((17.269*COND_INTERSTICIAL[[#This Row],[ϴn]])/(237.3+COND_INTERSTICIAL[[#This Row],[ϴn]])),610.5*EXP((21.875*COND_INTERSTICIAL[[#This Row],[ϴn]])/(265.5+COND_INTERSTICIAL[[#This Row],[ϴn]])))</f>
        <v>#N/A</v>
      </c>
      <c r="DF39" s="90" t="e" cm="1">
        <f t="array" aca="1" ref="DF39" ca="1">COND_INTERSTICIAL[[#This Row],[S''d]]*((INDEX(CLIMA[Pi],COND_INTERSTICIAL[[#This Row],[Mes]])-INDEX(CLIMA[Pe],COND_INTERSTICIAL[[#This Row],[Mes]]))/INDEX(SECCIONES[SdT],COND_INTERSTICIAL[[#This Row],[Sección]]))+INDEX(CLIMA[Pe],COND_INTERSTICIAL[[#This Row],[Mes]])</f>
        <v>#N/A</v>
      </c>
      <c r="DG39" s="108" t="e">
        <f ca="1">IF((COND_INTERSTICIAL[[#This Row],[Pn]]&gt;=COND_INTERSTICIAL[[#This Row],[Psat]]),TRUE,FALSE)</f>
        <v>#N/A</v>
      </c>
      <c r="DH39" s="109" t="e" cm="1">
        <f t="array" aca="1" ref="DH39" ca="1">IF(COND_INTERSTICIAL[[#This Row],[Condensa]],COND_INTERSTICIAL[[#This Row],[Psat]],IF(COND_INTERSTICIAL[[#This Row],[Capa]]=N_capas,COND_INTERSTICIAL[[#This Row],[Pn]],""))</f>
        <v>#N/A</v>
      </c>
      <c r="DI39" s="109" t="e">
        <f ca="1">COND_INTERSTICIAL[[#This Row],[Mes]]&amp;"-"&amp;COND_INTERSTICIAL[[#This Row],[Sección]]&amp;"-"&amp;COND_INTERSTICIAL[[#This Row],[tramo cond]]</f>
        <v>#N/A</v>
      </c>
      <c r="DJ39" t="e" cm="1">
        <f t="array" aca="1" ref="DJ39" ca="1">IF(COND_INTERSTICIAL[[#This Row],[Capa]]=1,IF(COND_INTERSTICIAL[[#This Row],[Condensa]],2,1),IF(COND_INTERSTICIAL[[#This Row],[Condensa]],1,0)+INDIRECT(ADDRESS(ROW()-1,COLUMN(),4)))</f>
        <v>#N/A</v>
      </c>
      <c r="DK39" s="108" t="e" cm="1">
        <f t="array" aca="1" ref="DK39" ca="1">IF(COND_INTERSTICIAL[[#This Row],[tramo cond]]=1,0,IF((COND_INTERSTICIAL[[#This Row],[tramo cond]]&gt;INDIRECT(ADDRESS(ROW()-1,COLUMN(COND_INTERSTICIAL[[#This Row],[tramo cond]]),4)))+COND_INTERSTICIAL[[#This Row],[Condensa]],COND_INTERSTICIAL[[#This Row],[Capa]],INDIRECT(ADDRESS(ROW()-1,COLUMN(),4))))</f>
        <v>#N/A</v>
      </c>
      <c r="DL39" s="108" t="e" cm="1">
        <f t="array" aca="1" ref="DL39" ca="1">IF((COND_INTERSTICIAL[[#This Row],[Capa]]=N_capas)+(COND_INTERSTICIAL[[#This Row],[tramo cond]]=COUNTIFS(COND_INTERSTICIAL[Condensa],TRUE,COND_INTERSTICIAL[Mes],CW39,COND_INTERSTICIAL[Sección],CX39)+1),N_capas,INDEX(COND_INTERSTICIAL[capa lím inf cond],MATCH(COND_INTERSTICIAL[[#This Row],[Mes]]&amp;"-"&amp;COND_INTERSTICIAL[[#This Row],[Sección]]&amp;"-"&amp;(COND_INTERSTICIAL[[#This Row],[tramo cond]]+1),COND_INTERSTICIAL[llave tramo cond],0)))</f>
        <v>#N/A</v>
      </c>
      <c r="DM39" s="108" cm="1">
        <f t="array" aca="1" ref="DM3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9" s="110" t="e" cm="1">
        <f t="array" aca="1" ref="DN3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3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39" s="107" t="e">
        <f ca="1">COND_INTERSTICIAL[[#This Row],[gc]]+COND_INTERSTICIAL[[#This Row],[Ma_anterior cond]]</f>
        <v>#N/A</v>
      </c>
      <c r="DQ39" s="113" t="e">
        <f ca="1">IF((COND_INTERSTICIAL[[#This Row],[Ma_anterior cond]]&gt;0)*NOT(COND_INTERSTICIAL[[#This Row],[Condensa]]),TRUE,FALSE)</f>
        <v>#DIV/0!</v>
      </c>
      <c r="DR39" s="112" t="e" cm="1">
        <f t="array" aca="1" ref="DR39" ca="1">IF(COND_INTERSTICIAL[[#This Row],[evapora]],COND_INTERSTICIAL[[#This Row],[Psat]],IF(COND_INTERSTICIAL[[#This Row],[Capa]]=N_capas,COND_INTERSTICIAL[[#This Row],[Pn]],""))</f>
        <v>#DIV/0!</v>
      </c>
      <c r="DS39" s="112" t="e">
        <f ca="1">COND_INTERSTICIAL[[#This Row],[Mes]]&amp;"-"&amp;COND_INTERSTICIAL[[#This Row],[Sección]]&amp;"-"&amp;COND_INTERSTICIAL[[#This Row],[tramo ev]]</f>
        <v>#DIV/0!</v>
      </c>
      <c r="DT39" s="111" t="e" cm="1">
        <f t="array" aca="1" ref="DT39" ca="1">IF(COND_INTERSTICIAL[[#This Row],[Capa]]=1,IF(COND_INTERSTICIAL[[#This Row],[evapora]],2,1),IF(COND_INTERSTICIAL[[#This Row],[evapora]],1,0)+INDIRECT(ADDRESS(ROW()-1,COLUMN(),4)))</f>
        <v>#DIV/0!</v>
      </c>
      <c r="DU39" s="111" t="e" cm="1">
        <f t="array" aca="1" ref="DU39" ca="1">IF(COND_INTERSTICIAL[[#This Row],[tramo ev]]=1,0,IF((COND_INTERSTICIAL[[#This Row],[tramo ev]]&gt;INDIRECT(ADDRESS(ROW()-1,COLUMN(COND_INTERSTICIAL[[#This Row],[tramo ev]]),4)))+COND_INTERSTICIAL[[#This Row],[evapora]],COND_INTERSTICIAL[[#This Row],[Capa]],INDIRECT(ADDRESS(ROW()-1,COLUMN(),4))))</f>
        <v>#DIV/0!</v>
      </c>
      <c r="DV39" s="111" t="e" cm="1">
        <f t="array" aca="1" ref="DV39" ca="1">IF((COND_INTERSTICIAL[[#This Row],[Capa]]=N_capas)+(COND_INTERSTICIAL[[#This Row],[tramo ev]]=COUNTIFS(COND_INTERSTICIAL[evapora],TRUE,COND_INTERSTICIAL[Mes],CW39,COND_INTERSTICIAL[Sección],CX39)+1),N_capas,INDEX(COND_INTERSTICIAL[capa lím inf ev],MATCH(COND_INTERSTICIAL[[#This Row],[Mes]]&amp;"-"&amp;COND_INTERSTICIAL[[#This Row],[Sección]]&amp;"-"&amp;(COND_INTERSTICIAL[[#This Row],[tramo ev]]+1),COND_INTERSTICIAL[llave tramo ev],0)))</f>
        <v>#DIV/0!</v>
      </c>
      <c r="DW39" s="111" cm="1">
        <f t="array" aca="1" ref="DW3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9" s="113" t="e" cm="1">
        <f t="array" aca="1" ref="DX3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39" s="113" t="e">
        <f ca="1">COND_INTERSTICIAL[[#This Row],[gev]]+COND_INTERSTICIAL[[#This Row],[Ma anterior ev]]</f>
        <v>#DIV/0!</v>
      </c>
      <c r="EA39" s="115" t="e">
        <f ca="1">IF(COND_INTERSTICIAL[[#This Row],[Ma cond]]+COND_INTERSTICIAL[[#This Row],[Ma ev]]&lt;=0,0,COND_INTERSTICIAL[[#This Row],[Ma cond]]+COND_INTERSTICIAL[[#This Row],[Ma ev]])</f>
        <v>#N/A</v>
      </c>
      <c r="EB39" s="115" t="e">
        <f ca="1">IF(COND_INTERSTICIAL[[#This Row],[Ma]]&gt;0,TRUE,FALSE)</f>
        <v>#N/A</v>
      </c>
      <c r="EC39" s="115" t="e" cm="1">
        <f t="array" aca="1" ref="EC39" ca="1">IF(COND_INTERSTICIAL[[#This Row],[agua líquida]],IF(COND_INTERSTICIAL[[#This Row],[Condensa]],COND_INTERSTICIAL[[#This Row],[P límite cond]],COND_INTERSTICIAL[[#This Row],[P límite ev]]),IF(COND_INTERSTICIAL[[#This Row],[Capa]]=N_capas,COND_INTERSTICIAL[[#This Row],[Pn]],""))</f>
        <v>#N/A</v>
      </c>
      <c r="ED39" s="115" t="e">
        <f ca="1">COND_INTERSTICIAL[[#This Row],[Mes]]&amp;"-"&amp;COND_INTERSTICIAL[[#This Row],[Sección]]&amp;"-"&amp;COND_INTERSTICIAL[[#This Row],[tramo gráf]]</f>
        <v>#N/A</v>
      </c>
      <c r="EE39" s="114" t="e" cm="1">
        <f t="array" aca="1" ref="EE39" ca="1">IF(COND_INTERSTICIAL[[#This Row],[Capa]]=1,IF(COND_INTERSTICIAL[[#This Row],[agua líquida]],2,1),IF(COND_INTERSTICIAL[[#This Row],[agua líquida]],1,0)+INDIRECT(ADDRESS(ROW()-1,COLUMN(),4)))</f>
        <v>#N/A</v>
      </c>
      <c r="EF39" s="114" t="e" cm="1">
        <f t="array" aca="1" ref="EF39" ca="1">IF(COND_INTERSTICIAL[[#This Row],[tramo gráf]]=1,0,IF((COND_INTERSTICIAL[[#This Row],[tramo gráf]]&gt;INDIRECT(ADDRESS(ROW()-1,COLUMN(COND_INTERSTICIAL[[#This Row],[tramo gráf]]),4)))+COND_INTERSTICIAL[[#This Row],[agua líquida]],COND_INTERSTICIAL[[#This Row],[Capa]],INDIRECT(ADDRESS(ROW()-1,COLUMN(),4))))</f>
        <v>#N/A</v>
      </c>
      <c r="EG39" s="114" t="e" cm="1">
        <f t="array" aca="1" ref="EG39" ca="1">IF((COND_INTERSTICIAL[[#This Row],[Capa]]=N_capas)+(COND_INTERSTICIAL[[#This Row],[tramo gráf]]=COUNTIFS(COND_INTERSTICIAL[agua líquida],TRUE,COND_INTERSTICIAL[Mes],CW39,COND_INTERSTICIAL[Sección],CX39)+1),N_capas,INDEX(COND_INTERSTICIAL[capa lím inf gráf],MATCH(COND_INTERSTICIAL[[#This Row],[Mes]]&amp;"-"&amp;COND_INTERSTICIAL[[#This Row],[Sección]]&amp;"-"&amp;(COND_INTERSTICIAL[[#This Row],[tramo gráf]]+1),COND_INTERSTICIAL[llave tramo gráf],0)))</f>
        <v>#N/A</v>
      </c>
      <c r="EH39" s="114" cm="1">
        <f t="array" aca="1" ref="EH3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9" s="116" t="e" cm="1">
        <f t="array" aca="1" ref="EI3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39">
        <f t="shared" si="0"/>
        <v>7</v>
      </c>
      <c r="EM39">
        <f t="shared" si="1"/>
        <v>1</v>
      </c>
      <c r="EN39">
        <f>ROW()-ROW(INDEX(COND_INTERSTICIAL_GRÁF[],1,1))</f>
        <v>14</v>
      </c>
      <c r="EO39" t="str">
        <f>COND_INTERSTICIAL_GRÁF[[#This Row],[Mes]]&amp;"-"&amp;COND_INTERSTICIAL_GRÁF[[#This Row],[Sección]]&amp;"-"&amp;COND_INTERSTICIAL_GRÁF[[#This Row],[Capa]]</f>
        <v>7-1-14</v>
      </c>
      <c r="EP39" t="str">
        <f>"Capa "&amp;COND_INTERSTICIAL_GRÁF[[#This Row],[Capa]]&amp;": "&amp;IFERROR(INDEX(SECCIONES_CAPAS[Abreviatura],MATCH(COND_INTERSTICIAL_GRÁF[[#This Row],[Sección]]&amp;"-"&amp;COND_INTERSTICIAL_GRÁF[[#This Row],[Capa]],SECCIONES_CAPAS[llave],0)),"")</f>
        <v xml:space="preserve">Capa 14: </v>
      </c>
      <c r="EQ39" t="e">
        <f>IFERROR(IF(COND_INTERSTICIAL_GRÁF[[#This Row],[Capa]]=0,0,INDEX(SECCIONES_CAPAS[d],MATCH(COND_INTERSTICIAL_GRÁF[[#This Row],[Sección]]&amp;"-"&amp;COND_INTERSTICIAL_GRÁF[[#This Row],[Capa]],SECCIONES_CAPAS[llave],0))),NA())</f>
        <v>#N/A</v>
      </c>
      <c r="ER39" t="e">
        <f>IFERROR(IF(COND_INTERSTICIAL_GRÁF[[#This Row],[Capa]]=0,0,INDEX(SECCIONES_CAPAS[d''],MATCH(COND_INTERSTICIAL_GRÁF[[#This Row],[Sección]]&amp;"-"&amp;COND_INTERSTICIAL_GRÁF[[#This Row],[Capa]],SECCIONES_CAPAS[llave],0))),NA())</f>
        <v>#N/A</v>
      </c>
      <c r="ES39" s="377" t="e" cm="1">
        <f t="array" ref="ES39">COND_INTERSTICIAL_GRÁF[[#This Row],[d'']]/INDEX(SECCIONES[d''],COND_INTERSTICIAL_GRÁF[[#This Row],[Sección]])</f>
        <v>#N/A</v>
      </c>
      <c r="ET39" t="e" cm="1">
        <f t="array" ref="ET39">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39" s="90" t="e" cm="1">
        <f t="array" ref="EU39">IFERROR(IF(capa_interior_μ_inf,NA(),6.54+14.526*LN(COND_INTERSTICIAL_GRÁF[[#This Row],[Pn]]/1000)+0.7389*LN(COND_INTERSTICIAL_GRÁF[[#This Row],[Pn]]/1000)^2+0.09486*LN(COND_INTERSTICIAL_GRÁF[[#This Row],[Pn]]/1000)^3+0.4569*(COND_INTERSTICIAL_GRÁF[[#This Row],[Pn]]/1000)^0.1984),NA())</f>
        <v>#N/A</v>
      </c>
      <c r="EV39" t="e">
        <f>IFERROR(IF(COND_INTERSTICIAL_GRÁF[[#This Row],[Capa]]=0,0,INDEX(COND_INTERSTICIAL[Sd],MATCH(COND_INTERSTICIAL_GRÁF[[#This Row],[llave capa]],COND_INTERSTICIAL[llave capa],0))),NA())</f>
        <v>#N/A</v>
      </c>
      <c r="EW39" s="90" t="e">
        <f>IFERROR(IF(COND_INTERSTICIAL_GRÁF[[#This Row],[Capa]]=0,0,INDEX(COND_INTERSTICIAL[S''d],MATCH(COND_INTERSTICIAL_GRÁF[[#This Row],[llave capa]],COND_INTERSTICIAL[llave capa],0))),NA())</f>
        <v>#N/A</v>
      </c>
      <c r="EX39" s="377" t="e" cm="1">
        <f t="array" ref="EX39">COND_INTERSTICIAL_GRÁF[[#This Row],[S''d]]/INDEX(SECCIONES[SdT],Gráf_sección)</f>
        <v>#N/A</v>
      </c>
      <c r="EY39" s="90" t="e" cm="1">
        <f t="array" ref="EY39">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39" s="107">
        <f>IFERROR(INDEX(COND_INTERSTICIAL[Ma],MATCH(COND_INTERSTICIAL_GRÁF[[#This Row],[llave capa]],COND_INTERSTICIAL[llave capa],0)),0)</f>
        <v>0</v>
      </c>
      <c r="FA39" s="90" t="b">
        <f>IF(COND_INTERSTICIAL_GRÁF[[#This Row],[Ma]]&gt;0,TRUE,FALSE)</f>
        <v>0</v>
      </c>
      <c r="FB39" s="90" t="str">
        <f>"Interfaz "&amp;COND_INTERSTICIAL_GRÁF[[#This Row],[Capa]]</f>
        <v>Interfaz 14</v>
      </c>
      <c r="FC39" s="90" t="e">
        <f>IF(COND_INTERSTICIAL_GRÁF[[#This Row],[agua líquida]],COND_INTERSTICIAL_GRÁF[[#This Row],[Psat]],NA())</f>
        <v>#N/A</v>
      </c>
      <c r="FD39" s="90" t="e" cm="1">
        <f t="array" ref="FD39">IFERROR(IF(COND_INTERSTICIAL_GRÁF[[#This Row],[Capa]]=0,INDEX(CLIMA[Pe],COND_INTERSTICIAL_GRÁF[[#This Row],[Mes]]),INDEX(COND_INTERSTICIAL[Pn],MATCH(COND_INTERSTICIAL_GRÁF[[#This Row],[llave capa]],COND_INTERSTICIAL[llave capa],0))),NA())</f>
        <v>#N/A</v>
      </c>
      <c r="FE39" s="90" t="e" cm="1">
        <f t="array" ref="FE39">IFERROR(IF(capa_interior_μ_inf,NA(),IF(COND_INTERSTICIAL_GRÁF[[#This Row],[Capa]]=0,INDEX(CLIMA[Pe],COND_INTERSTICIAL_GRÁF[[#This Row],[Mes]]),INDEX(COND_INTERSTICIAL[Pn gráf],MATCH(COND_INTERSTICIAL_GRÁF[[#This Row],[llave capa]],COND_INTERSTICIAL[llave capa],0)))),NA())</f>
        <v>#N/A</v>
      </c>
      <c r="GD39" s="11" t="s">
        <v>1449</v>
      </c>
      <c r="GH39" s="12"/>
    </row>
    <row r="40" spans="32:190" ht="14.65" thickBot="1" x14ac:dyDescent="0.5">
      <c r="AF40" s="11" t="s">
        <v>353</v>
      </c>
      <c r="AG40" s="2" t="s">
        <v>354</v>
      </c>
      <c r="AH40" s="36">
        <f>IFERROR(1/R_tot,0)</f>
        <v>0</v>
      </c>
      <c r="AI40" s="12" t="s">
        <v>348</v>
      </c>
      <c r="BY40" s="481" t="s">
        <v>363</v>
      </c>
      <c r="BZ40" s="482"/>
      <c r="CA40" s="483"/>
      <c r="CK40" s="1" cm="1">
        <f t="array" ref="CK40">ROUNDUP((ROW()-$CN$18)/(N_secciones),0)</f>
        <v>11</v>
      </c>
      <c r="CL40" cm="1">
        <f t="array" ref="CL40">ROW()-ROW(INDEX(COND_SUPERFICIAL[],1,1))+1-(COND_SUPERFICIAL[[#This Row],[Mes]]-1)*N_secciones</f>
        <v>1</v>
      </c>
      <c r="CM40" s="1" t="str">
        <f>COND_SUPERFICIAL[[#This Row],[Mes]]&amp;"-"&amp;COND_SUPERFICIAL[[#This Row],[Sección]]</f>
        <v>11-1</v>
      </c>
      <c r="CN40" t="e" cm="1">
        <f t="array" ref="CN40">IF(INDEX(SECCIONES[Rtsección_condensación],COND_SUPERFICIAL[[#This Row],[Sección]])&lt;=INDEX(COND_SUPERFICIAL_CONDICIONES[Rt_mín],COND_SUPERFICIAL[[#This Row],[Mes]]),TRUE,FALSE)</f>
        <v>#N/A</v>
      </c>
      <c r="CP40" s="1" cm="1">
        <f t="array" ref="CP40">ROUNDUP((ROW()-$CN$18)/(N_secciones),0)</f>
        <v>11</v>
      </c>
      <c r="CQ40" s="1" cm="1">
        <f t="array" ref="CQ40">ROUNDUP((ROW()-$CN$18+(Mes_inicial_de_análisis-1)*N_secciones)/(N_secciones),0)-12*IF(ROW()-$CN$18&gt;(12-Mes_inicial_de_análisis+1)*N_secciones,1,0)</f>
        <v>5</v>
      </c>
      <c r="CR40" s="1" cm="1">
        <f t="array" ref="CR40">ROW()-$CN$18-(ROUNDUP((ROW()-$CN$18)/(N_secciones),0)-1)*N_secciones</f>
        <v>1</v>
      </c>
      <c r="CS40" s="107" t="str">
        <f>COND_INTERSTICIAL_AGUA_ACUMULADA[[#This Row],[orden]]&amp;"-"&amp;COND_INTERSTICIAL_AGUA_ACUMULADA[[#This Row],[Sección]]</f>
        <v>11-1</v>
      </c>
      <c r="CT40">
        <f ca="1">COUNTIFS(COND_INTERSTICIAL[agua líquida],TRUE,COND_INTERSTICIAL[Mes],COND_INTERSTICIAL_AGUA_ACUMULADA[[#This Row],[Mes]],COND_INTERSTICIAL[Sección],COND_INTERSTICIAL_AGUA_ACUMULADA[[#This Row],[Sección]])</f>
        <v>0</v>
      </c>
      <c r="CU40" s="107" t="e">
        <f ca="1">SUMIFS(COND_INTERSTICIAL[Ma],COND_INTERSTICIAL[Mes],COND_INTERSTICIAL_AGUA_ACUMULADA[[#This Row],[Mes]],COND_INTERSTICIAL[Sección],COND_INTERSTICIAL_AGUA_ACUMULADA[[#This Row],[Sección]])</f>
        <v>#N/A</v>
      </c>
      <c r="CW40" s="1" cm="1">
        <f t="array" ref="CW40">ROUNDUP((ROW()-$CN$18+(Mes_inicial_de_análisis-1)*N_capas*N_secciones)/(N_capas*N_secciones),0)-12*IF(ROW()-$CN$18&gt;(12-Mes_inicial_de_análisis+1)*N_capas*N_secciones,1,0)</f>
        <v>8</v>
      </c>
      <c r="CX40" cm="1">
        <f t="array" ref="CX40">ROUNDUP((ROW()-$CN$18)/N_capas-(ROUNDUP((ROW()-$CN$18)/(N_capas*N_secciones),0)-1)*N_secciones,0)</f>
        <v>1</v>
      </c>
      <c r="CY40" cm="1">
        <f t="array" ref="CY40">(ROW()-$CN$18)-(COND_INTERSTICIAL[[#This Row],[Sección]]-1)*N_capas-(ROUNDUP((ROW()-$CN$18)/(N_capas*N_secciones),0)-1)*N_capas*N_secciones</f>
        <v>7</v>
      </c>
      <c r="CZ40" t="str">
        <f>COND_INTERSTICIAL[[#This Row],[Mes]]&amp;"-"&amp;COND_INTERSTICIAL[[#This Row],[Sección]]&amp;"-"&amp;COND_INTERSTICIAL[[#This Row],[Capa]]</f>
        <v>8-1-7</v>
      </c>
      <c r="DA40">
        <f ca="1">INDEX(SECCIONES_CAPAS[R''n],MATCH(COND_INTERSTICIAL[[#This Row],[Sección]]&amp;"-"&amp;COND_INTERSTICIAL[[#This Row],[Capa]],SECCIONES_CAPAS[llave],0))</f>
        <v>0.04</v>
      </c>
      <c r="DB40" s="172" t="e" cm="1">
        <f t="array" aca="1" ref="DB40" ca="1">INDEX(CLIMA[ϴe],COND_INTERSTICIAL[[#This Row],[Mes]])+COND_INTERSTICIAL[[#This Row],[Rn]]*(INDEX(CLIMA[ϴi],COND_INTERSTICIAL[[#This Row],[Mes]])-INDEX(CLIMA[ϴe],COND_INTERSTICIAL[[#This Row],[Mes]]))/(INDEX(SECCIONES[Rtsección_condensación],COND_INTERSTICIAL[[#This Row],[Sección]]))</f>
        <v>#N/A</v>
      </c>
      <c r="DC40">
        <f>INDEX(SECCIONES_CAPAS[Sd],MATCH(COND_INTERSTICIAL[[#This Row],[Sección]]&amp;"-"&amp;COND_INTERSTICIAL[[#This Row],[Capa]],SECCIONES_CAPAS[llave],0))</f>
        <v>0</v>
      </c>
      <c r="DD40">
        <f ca="1">INDEX(SECCIONES_CAPAS[S''d],MATCH(COND_INTERSTICIAL[[#This Row],[Sección]]&amp;"-"&amp;COND_INTERSTICIAL[[#This Row],[Capa]],SECCIONES_CAPAS[llave],0))</f>
        <v>0</v>
      </c>
      <c r="DE40" s="90" t="e">
        <f ca="1">IF(COND_INTERSTICIAL[[#This Row],[ϴn]]&gt;=0,610.5*EXP((17.269*COND_INTERSTICIAL[[#This Row],[ϴn]])/(237.3+COND_INTERSTICIAL[[#This Row],[ϴn]])),610.5*EXP((21.875*COND_INTERSTICIAL[[#This Row],[ϴn]])/(265.5+COND_INTERSTICIAL[[#This Row],[ϴn]])))</f>
        <v>#N/A</v>
      </c>
      <c r="DF40" s="90" t="e" cm="1">
        <f t="array" aca="1" ref="DF40" ca="1">COND_INTERSTICIAL[[#This Row],[S''d]]*((INDEX(CLIMA[Pi],COND_INTERSTICIAL[[#This Row],[Mes]])-INDEX(CLIMA[Pe],COND_INTERSTICIAL[[#This Row],[Mes]]))/INDEX(SECCIONES[SdT],COND_INTERSTICIAL[[#This Row],[Sección]]))+INDEX(CLIMA[Pe],COND_INTERSTICIAL[[#This Row],[Mes]])</f>
        <v>#N/A</v>
      </c>
      <c r="DG40" s="108" t="e">
        <f ca="1">IF((COND_INTERSTICIAL[[#This Row],[Pn]]&gt;=COND_INTERSTICIAL[[#This Row],[Psat]]),TRUE,FALSE)</f>
        <v>#N/A</v>
      </c>
      <c r="DH40" s="109" t="e" cm="1">
        <f t="array" aca="1" ref="DH40" ca="1">IF(COND_INTERSTICIAL[[#This Row],[Condensa]],COND_INTERSTICIAL[[#This Row],[Psat]],IF(COND_INTERSTICIAL[[#This Row],[Capa]]=N_capas,COND_INTERSTICIAL[[#This Row],[Pn]],""))</f>
        <v>#N/A</v>
      </c>
      <c r="DI40" s="109" t="e">
        <f ca="1">COND_INTERSTICIAL[[#This Row],[Mes]]&amp;"-"&amp;COND_INTERSTICIAL[[#This Row],[Sección]]&amp;"-"&amp;COND_INTERSTICIAL[[#This Row],[tramo cond]]</f>
        <v>#N/A</v>
      </c>
      <c r="DJ40" t="e" cm="1">
        <f t="array" aca="1" ref="DJ40" ca="1">IF(COND_INTERSTICIAL[[#This Row],[Capa]]=1,IF(COND_INTERSTICIAL[[#This Row],[Condensa]],2,1),IF(COND_INTERSTICIAL[[#This Row],[Condensa]],1,0)+INDIRECT(ADDRESS(ROW()-1,COLUMN(),4)))</f>
        <v>#N/A</v>
      </c>
      <c r="DK40" s="108" t="e" cm="1">
        <f t="array" aca="1" ref="DK40" ca="1">IF(COND_INTERSTICIAL[[#This Row],[tramo cond]]=1,0,IF((COND_INTERSTICIAL[[#This Row],[tramo cond]]&gt;INDIRECT(ADDRESS(ROW()-1,COLUMN(COND_INTERSTICIAL[[#This Row],[tramo cond]]),4)))+COND_INTERSTICIAL[[#This Row],[Condensa]],COND_INTERSTICIAL[[#This Row],[Capa]],INDIRECT(ADDRESS(ROW()-1,COLUMN(),4))))</f>
        <v>#N/A</v>
      </c>
      <c r="DL40" s="108" t="e" cm="1">
        <f t="array" aca="1" ref="DL40" ca="1">IF((COND_INTERSTICIAL[[#This Row],[Capa]]=N_capas)+(COND_INTERSTICIAL[[#This Row],[tramo cond]]=COUNTIFS(COND_INTERSTICIAL[Condensa],TRUE,COND_INTERSTICIAL[Mes],CW40,COND_INTERSTICIAL[Sección],CX40)+1),N_capas,INDEX(COND_INTERSTICIAL[capa lím inf cond],MATCH(COND_INTERSTICIAL[[#This Row],[Mes]]&amp;"-"&amp;COND_INTERSTICIAL[[#This Row],[Sección]]&amp;"-"&amp;(COND_INTERSTICIAL[[#This Row],[tramo cond]]+1),COND_INTERSTICIAL[llave tramo cond],0)))</f>
        <v>#N/A</v>
      </c>
      <c r="DM40" s="108" cm="1">
        <f t="array" aca="1" ref="DM4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0" s="110" t="e" cm="1">
        <f t="array" aca="1" ref="DN4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40" s="107" t="e">
        <f ca="1">COND_INTERSTICIAL[[#This Row],[gc]]+COND_INTERSTICIAL[[#This Row],[Ma_anterior cond]]</f>
        <v>#N/A</v>
      </c>
      <c r="DQ40" s="113" t="e">
        <f ca="1">IF((COND_INTERSTICIAL[[#This Row],[Ma_anterior cond]]&gt;0)*NOT(COND_INTERSTICIAL[[#This Row],[Condensa]]),TRUE,FALSE)</f>
        <v>#DIV/0!</v>
      </c>
      <c r="DR40" s="112" t="e" cm="1">
        <f t="array" aca="1" ref="DR40" ca="1">IF(COND_INTERSTICIAL[[#This Row],[evapora]],COND_INTERSTICIAL[[#This Row],[Psat]],IF(COND_INTERSTICIAL[[#This Row],[Capa]]=N_capas,COND_INTERSTICIAL[[#This Row],[Pn]],""))</f>
        <v>#DIV/0!</v>
      </c>
      <c r="DS40" s="112" t="e">
        <f ca="1">COND_INTERSTICIAL[[#This Row],[Mes]]&amp;"-"&amp;COND_INTERSTICIAL[[#This Row],[Sección]]&amp;"-"&amp;COND_INTERSTICIAL[[#This Row],[tramo ev]]</f>
        <v>#DIV/0!</v>
      </c>
      <c r="DT40" s="111" t="e" cm="1">
        <f t="array" aca="1" ref="DT40" ca="1">IF(COND_INTERSTICIAL[[#This Row],[Capa]]=1,IF(COND_INTERSTICIAL[[#This Row],[evapora]],2,1),IF(COND_INTERSTICIAL[[#This Row],[evapora]],1,0)+INDIRECT(ADDRESS(ROW()-1,COLUMN(),4)))</f>
        <v>#DIV/0!</v>
      </c>
      <c r="DU40" s="111" t="e" cm="1">
        <f t="array" aca="1" ref="DU40" ca="1">IF(COND_INTERSTICIAL[[#This Row],[tramo ev]]=1,0,IF((COND_INTERSTICIAL[[#This Row],[tramo ev]]&gt;INDIRECT(ADDRESS(ROW()-1,COLUMN(COND_INTERSTICIAL[[#This Row],[tramo ev]]),4)))+COND_INTERSTICIAL[[#This Row],[evapora]],COND_INTERSTICIAL[[#This Row],[Capa]],INDIRECT(ADDRESS(ROW()-1,COLUMN(),4))))</f>
        <v>#DIV/0!</v>
      </c>
      <c r="DV40" s="111" t="e" cm="1">
        <f t="array" aca="1" ref="DV40" ca="1">IF((COND_INTERSTICIAL[[#This Row],[Capa]]=N_capas)+(COND_INTERSTICIAL[[#This Row],[tramo ev]]=COUNTIFS(COND_INTERSTICIAL[evapora],TRUE,COND_INTERSTICIAL[Mes],CW40,COND_INTERSTICIAL[Sección],CX40)+1),N_capas,INDEX(COND_INTERSTICIAL[capa lím inf ev],MATCH(COND_INTERSTICIAL[[#This Row],[Mes]]&amp;"-"&amp;COND_INTERSTICIAL[[#This Row],[Sección]]&amp;"-"&amp;(COND_INTERSTICIAL[[#This Row],[tramo ev]]+1),COND_INTERSTICIAL[llave tramo ev],0)))</f>
        <v>#DIV/0!</v>
      </c>
      <c r="DW40" s="111" cm="1">
        <f t="array" aca="1" ref="DW4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0" s="113" t="e" cm="1">
        <f t="array" aca="1" ref="DX4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4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0" s="113" t="e">
        <f ca="1">COND_INTERSTICIAL[[#This Row],[gev]]+COND_INTERSTICIAL[[#This Row],[Ma anterior ev]]</f>
        <v>#DIV/0!</v>
      </c>
      <c r="EA40" s="115" t="e">
        <f ca="1">IF(COND_INTERSTICIAL[[#This Row],[Ma cond]]+COND_INTERSTICIAL[[#This Row],[Ma ev]]&lt;=0,0,COND_INTERSTICIAL[[#This Row],[Ma cond]]+COND_INTERSTICIAL[[#This Row],[Ma ev]])</f>
        <v>#N/A</v>
      </c>
      <c r="EB40" s="115" t="e">
        <f ca="1">IF(COND_INTERSTICIAL[[#This Row],[Ma]]&gt;0,TRUE,FALSE)</f>
        <v>#N/A</v>
      </c>
      <c r="EC40" s="115" t="e" cm="1">
        <f t="array" aca="1" ref="EC40" ca="1">IF(COND_INTERSTICIAL[[#This Row],[agua líquida]],IF(COND_INTERSTICIAL[[#This Row],[Condensa]],COND_INTERSTICIAL[[#This Row],[P límite cond]],COND_INTERSTICIAL[[#This Row],[P límite ev]]),IF(COND_INTERSTICIAL[[#This Row],[Capa]]=N_capas,COND_INTERSTICIAL[[#This Row],[Pn]],""))</f>
        <v>#N/A</v>
      </c>
      <c r="ED40" s="115" t="e">
        <f ca="1">COND_INTERSTICIAL[[#This Row],[Mes]]&amp;"-"&amp;COND_INTERSTICIAL[[#This Row],[Sección]]&amp;"-"&amp;COND_INTERSTICIAL[[#This Row],[tramo gráf]]</f>
        <v>#N/A</v>
      </c>
      <c r="EE40" s="114" t="e" cm="1">
        <f t="array" aca="1" ref="EE40" ca="1">IF(COND_INTERSTICIAL[[#This Row],[Capa]]=1,IF(COND_INTERSTICIAL[[#This Row],[agua líquida]],2,1),IF(COND_INTERSTICIAL[[#This Row],[agua líquida]],1,0)+INDIRECT(ADDRESS(ROW()-1,COLUMN(),4)))</f>
        <v>#N/A</v>
      </c>
      <c r="EF40" s="114" t="e" cm="1">
        <f t="array" aca="1" ref="EF40" ca="1">IF(COND_INTERSTICIAL[[#This Row],[tramo gráf]]=1,0,IF((COND_INTERSTICIAL[[#This Row],[tramo gráf]]&gt;INDIRECT(ADDRESS(ROW()-1,COLUMN(COND_INTERSTICIAL[[#This Row],[tramo gráf]]),4)))+COND_INTERSTICIAL[[#This Row],[agua líquida]],COND_INTERSTICIAL[[#This Row],[Capa]],INDIRECT(ADDRESS(ROW()-1,COLUMN(),4))))</f>
        <v>#N/A</v>
      </c>
      <c r="EG40" s="114" t="e" cm="1">
        <f t="array" aca="1" ref="EG40" ca="1">IF((COND_INTERSTICIAL[[#This Row],[Capa]]=N_capas)+(COND_INTERSTICIAL[[#This Row],[tramo gráf]]=COUNTIFS(COND_INTERSTICIAL[agua líquida],TRUE,COND_INTERSTICIAL[Mes],CW40,COND_INTERSTICIAL[Sección],CX40)+1),N_capas,INDEX(COND_INTERSTICIAL[capa lím inf gráf],MATCH(COND_INTERSTICIAL[[#This Row],[Mes]]&amp;"-"&amp;COND_INTERSTICIAL[[#This Row],[Sección]]&amp;"-"&amp;(COND_INTERSTICIAL[[#This Row],[tramo gráf]]+1),COND_INTERSTICIAL[llave tramo gráf],0)))</f>
        <v>#N/A</v>
      </c>
      <c r="EH40" s="114" cm="1">
        <f t="array" aca="1" ref="EH4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0" s="116" t="e" cm="1">
        <f t="array" aca="1" ref="EI4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40">
        <f t="shared" si="0"/>
        <v>7</v>
      </c>
      <c r="EM40">
        <f t="shared" si="1"/>
        <v>1</v>
      </c>
      <c r="EN40">
        <f>ROW()-ROW(INDEX(COND_INTERSTICIAL_GRÁF[],1,1))</f>
        <v>15</v>
      </c>
      <c r="EO40" t="str">
        <f>COND_INTERSTICIAL_GRÁF[[#This Row],[Mes]]&amp;"-"&amp;COND_INTERSTICIAL_GRÁF[[#This Row],[Sección]]&amp;"-"&amp;COND_INTERSTICIAL_GRÁF[[#This Row],[Capa]]</f>
        <v>7-1-15</v>
      </c>
      <c r="EP40" t="str">
        <f>"Capa "&amp;COND_INTERSTICIAL_GRÁF[[#This Row],[Capa]]&amp;": "&amp;IFERROR(INDEX(SECCIONES_CAPAS[Abreviatura],MATCH(COND_INTERSTICIAL_GRÁF[[#This Row],[Sección]]&amp;"-"&amp;COND_INTERSTICIAL_GRÁF[[#This Row],[Capa]],SECCIONES_CAPAS[llave],0)),"")</f>
        <v xml:space="preserve">Capa 15: </v>
      </c>
      <c r="EQ40" t="e">
        <f>IFERROR(IF(COND_INTERSTICIAL_GRÁF[[#This Row],[Capa]]=0,0,INDEX(SECCIONES_CAPAS[d],MATCH(COND_INTERSTICIAL_GRÁF[[#This Row],[Sección]]&amp;"-"&amp;COND_INTERSTICIAL_GRÁF[[#This Row],[Capa]],SECCIONES_CAPAS[llave],0))),NA())</f>
        <v>#N/A</v>
      </c>
      <c r="ER40" t="e">
        <f>IFERROR(IF(COND_INTERSTICIAL_GRÁF[[#This Row],[Capa]]=0,0,INDEX(SECCIONES_CAPAS[d''],MATCH(COND_INTERSTICIAL_GRÁF[[#This Row],[Sección]]&amp;"-"&amp;COND_INTERSTICIAL_GRÁF[[#This Row],[Capa]],SECCIONES_CAPAS[llave],0))),NA())</f>
        <v>#N/A</v>
      </c>
      <c r="ES40" s="377" t="e" cm="1">
        <f t="array" ref="ES40">COND_INTERSTICIAL_GRÁF[[#This Row],[d'']]/INDEX(SECCIONES[d''],COND_INTERSTICIAL_GRÁF[[#This Row],[Sección]])</f>
        <v>#N/A</v>
      </c>
      <c r="ET40" t="e" cm="1">
        <f t="array" ref="ET40">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40" s="90" t="e" cm="1">
        <f t="array" ref="EU40">IFERROR(IF(capa_interior_μ_inf,NA(),6.54+14.526*LN(COND_INTERSTICIAL_GRÁF[[#This Row],[Pn]]/1000)+0.7389*LN(COND_INTERSTICIAL_GRÁF[[#This Row],[Pn]]/1000)^2+0.09486*LN(COND_INTERSTICIAL_GRÁF[[#This Row],[Pn]]/1000)^3+0.4569*(COND_INTERSTICIAL_GRÁF[[#This Row],[Pn]]/1000)^0.1984),NA())</f>
        <v>#N/A</v>
      </c>
      <c r="EV40" t="e">
        <f>IFERROR(IF(COND_INTERSTICIAL_GRÁF[[#This Row],[Capa]]=0,0,INDEX(COND_INTERSTICIAL[Sd],MATCH(COND_INTERSTICIAL_GRÁF[[#This Row],[llave capa]],COND_INTERSTICIAL[llave capa],0))),NA())</f>
        <v>#N/A</v>
      </c>
      <c r="EW40" s="90" t="e">
        <f>IFERROR(IF(COND_INTERSTICIAL_GRÁF[[#This Row],[Capa]]=0,0,INDEX(COND_INTERSTICIAL[S''d],MATCH(COND_INTERSTICIAL_GRÁF[[#This Row],[llave capa]],COND_INTERSTICIAL[llave capa],0))),NA())</f>
        <v>#N/A</v>
      </c>
      <c r="EX40" s="377" t="e" cm="1">
        <f t="array" ref="EX40">COND_INTERSTICIAL_GRÁF[[#This Row],[S''d]]/INDEX(SECCIONES[SdT],Gráf_sección)</f>
        <v>#N/A</v>
      </c>
      <c r="EY40" s="90" t="e" cm="1">
        <f t="array" ref="EY40">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40" s="107">
        <f>IFERROR(INDEX(COND_INTERSTICIAL[Ma],MATCH(COND_INTERSTICIAL_GRÁF[[#This Row],[llave capa]],COND_INTERSTICIAL[llave capa],0)),0)</f>
        <v>0</v>
      </c>
      <c r="FA40" s="90" t="b">
        <f>IF(COND_INTERSTICIAL_GRÁF[[#This Row],[Ma]]&gt;0,TRUE,FALSE)</f>
        <v>0</v>
      </c>
      <c r="FB40" s="90" t="str">
        <f>"Interfaz "&amp;COND_INTERSTICIAL_GRÁF[[#This Row],[Capa]]</f>
        <v>Interfaz 15</v>
      </c>
      <c r="FC40" s="90" t="e">
        <f>IF(COND_INTERSTICIAL_GRÁF[[#This Row],[agua líquida]],COND_INTERSTICIAL_GRÁF[[#This Row],[Psat]],NA())</f>
        <v>#N/A</v>
      </c>
      <c r="FD40" s="90" t="e" cm="1">
        <f t="array" ref="FD40">IFERROR(IF(COND_INTERSTICIAL_GRÁF[[#This Row],[Capa]]=0,INDEX(CLIMA[Pe],COND_INTERSTICIAL_GRÁF[[#This Row],[Mes]]),INDEX(COND_INTERSTICIAL[Pn],MATCH(COND_INTERSTICIAL_GRÁF[[#This Row],[llave capa]],COND_INTERSTICIAL[llave capa],0))),NA())</f>
        <v>#N/A</v>
      </c>
      <c r="FE40" s="90" t="e" cm="1">
        <f t="array" ref="FE40">IFERROR(IF(capa_interior_μ_inf,NA(),IF(COND_INTERSTICIAL_GRÁF[[#This Row],[Capa]]=0,INDEX(CLIMA[Pe],COND_INTERSTICIAL_GRÁF[[#This Row],[Mes]]),INDEX(COND_INTERSTICIAL[Pn gráf],MATCH(COND_INTERSTICIAL_GRÁF[[#This Row],[llave capa]],COND_INTERSTICIAL[llave capa],0)))),NA())</f>
        <v>#N/A</v>
      </c>
      <c r="GD40" s="11" t="s">
        <v>136</v>
      </c>
      <c r="GE40">
        <f>Anexo!$R$13</f>
        <v>0.2</v>
      </c>
      <c r="GF40" t="s">
        <v>135</v>
      </c>
      <c r="GH40" s="12"/>
    </row>
    <row r="41" spans="32:190" x14ac:dyDescent="0.45">
      <c r="AF41" s="11" t="s">
        <v>356</v>
      </c>
      <c r="AG41" s="2" t="s">
        <v>357</v>
      </c>
      <c r="AH41" s="35" t="e">
        <f>100*ΔU/U_sin_corregir</f>
        <v>#DIV/0!</v>
      </c>
      <c r="AI41" s="12" t="s">
        <v>335</v>
      </c>
      <c r="BY41" t="s">
        <v>366</v>
      </c>
      <c r="BZ41" cm="1">
        <f t="array" aca="1" ref="BZ41" ca="1">INDEX(COND_SUPERFICIAL_CONDICIONES[Mes],MATCH(MAX(IF(ISNUMBER(COND_SUPERFICIAL_CONDICIONES[Rt_mín]),COND_SUPERFICIAL_CONDICIONES[Rt_mín])),COND_SUPERFICIAL_CONDICIONES[Rt_mín],0))</f>
        <v>7</v>
      </c>
      <c r="CK41" s="1" cm="1">
        <f t="array" ref="CK41">ROUNDUP((ROW()-$CN$18)/(N_secciones),0)</f>
        <v>11</v>
      </c>
      <c r="CL41" cm="1">
        <f t="array" ref="CL41">ROW()-ROW(INDEX(COND_SUPERFICIAL[],1,1))+1-(COND_SUPERFICIAL[[#This Row],[Mes]]-1)*N_secciones</f>
        <v>2</v>
      </c>
      <c r="CM41" s="1" t="str">
        <f>COND_SUPERFICIAL[[#This Row],[Mes]]&amp;"-"&amp;COND_SUPERFICIAL[[#This Row],[Sección]]</f>
        <v>11-2</v>
      </c>
      <c r="CN41" t="e" cm="1">
        <f t="array" ref="CN41">IF(INDEX(SECCIONES[Rtsección_condensación],COND_SUPERFICIAL[[#This Row],[Sección]])&lt;=INDEX(COND_SUPERFICIAL_CONDICIONES[Rt_mín],COND_SUPERFICIAL[[#This Row],[Mes]]),TRUE,FALSE)</f>
        <v>#N/A</v>
      </c>
      <c r="CP41" s="1" cm="1">
        <f t="array" ref="CP41">ROUNDUP((ROW()-$CN$18)/(N_secciones),0)</f>
        <v>11</v>
      </c>
      <c r="CQ41" s="1" cm="1">
        <f t="array" ref="CQ41">ROUNDUP((ROW()-$CN$18+(Mes_inicial_de_análisis-1)*N_secciones)/(N_secciones),0)-12*IF(ROW()-$CN$18&gt;(12-Mes_inicial_de_análisis+1)*N_secciones,1,0)</f>
        <v>5</v>
      </c>
      <c r="CR41" s="1" cm="1">
        <f t="array" ref="CR41">ROW()-$CN$18-(ROUNDUP((ROW()-$CN$18)/(N_secciones),0)-1)*N_secciones</f>
        <v>2</v>
      </c>
      <c r="CS41" s="107" t="str">
        <f>COND_INTERSTICIAL_AGUA_ACUMULADA[[#This Row],[orden]]&amp;"-"&amp;COND_INTERSTICIAL_AGUA_ACUMULADA[[#This Row],[Sección]]</f>
        <v>11-2</v>
      </c>
      <c r="CT41">
        <f ca="1">COUNTIFS(COND_INTERSTICIAL[agua líquida],TRUE,COND_INTERSTICIAL[Mes],COND_INTERSTICIAL_AGUA_ACUMULADA[[#This Row],[Mes]],COND_INTERSTICIAL[Sección],COND_INTERSTICIAL_AGUA_ACUMULADA[[#This Row],[Sección]])</f>
        <v>0</v>
      </c>
      <c r="CU41" s="107" t="e">
        <f ca="1">SUMIFS(COND_INTERSTICIAL[Ma],COND_INTERSTICIAL[Mes],COND_INTERSTICIAL_AGUA_ACUMULADA[[#This Row],[Mes]],COND_INTERSTICIAL[Sección],COND_INTERSTICIAL_AGUA_ACUMULADA[[#This Row],[Sección]])</f>
        <v>#N/A</v>
      </c>
      <c r="CW41" s="1" cm="1">
        <f t="array" ref="CW41">ROUNDUP((ROW()-$CN$18+(Mes_inicial_de_análisis-1)*N_capas*N_secciones)/(N_capas*N_secciones),0)-12*IF(ROW()-$CN$18&gt;(12-Mes_inicial_de_análisis+1)*N_capas*N_secciones,1,0)</f>
        <v>8</v>
      </c>
      <c r="CX41" cm="1">
        <f t="array" ref="CX41">ROUNDUP((ROW()-$CN$18)/N_capas-(ROUNDUP((ROW()-$CN$18)/(N_capas*N_secciones),0)-1)*N_secciones,0)</f>
        <v>2</v>
      </c>
      <c r="CY41" cm="1">
        <f t="array" ref="CY41">(ROW()-$CN$18)-(COND_INTERSTICIAL[[#This Row],[Sección]]-1)*N_capas-(ROUNDUP((ROW()-$CN$18)/(N_capas*N_secciones),0)-1)*N_capas*N_secciones</f>
        <v>1</v>
      </c>
      <c r="CZ41" t="str">
        <f>COND_INTERSTICIAL[[#This Row],[Mes]]&amp;"-"&amp;COND_INTERSTICIAL[[#This Row],[Sección]]&amp;"-"&amp;COND_INTERSTICIAL[[#This Row],[Capa]]</f>
        <v>8-2-1</v>
      </c>
      <c r="DA41">
        <f ca="1">INDEX(SECCIONES_CAPAS[R''n],MATCH(COND_INTERSTICIAL[[#This Row],[Sección]]&amp;"-"&amp;COND_INTERSTICIAL[[#This Row],[Capa]],SECCIONES_CAPAS[llave],0))</f>
        <v>0.04</v>
      </c>
      <c r="DB41" s="172" t="e" cm="1">
        <f t="array" aca="1" ref="DB41" ca="1">INDEX(CLIMA[ϴe],COND_INTERSTICIAL[[#This Row],[Mes]])+COND_INTERSTICIAL[[#This Row],[Rn]]*(INDEX(CLIMA[ϴi],COND_INTERSTICIAL[[#This Row],[Mes]])-INDEX(CLIMA[ϴe],COND_INTERSTICIAL[[#This Row],[Mes]]))/(INDEX(SECCIONES[Rtsección_condensación],COND_INTERSTICIAL[[#This Row],[Sección]]))</f>
        <v>#N/A</v>
      </c>
      <c r="DC41">
        <f>INDEX(SECCIONES_CAPAS[Sd],MATCH(COND_INTERSTICIAL[[#This Row],[Sección]]&amp;"-"&amp;COND_INTERSTICIAL[[#This Row],[Capa]],SECCIONES_CAPAS[llave],0))</f>
        <v>0</v>
      </c>
      <c r="DD41">
        <f ca="1">INDEX(SECCIONES_CAPAS[S''d],MATCH(COND_INTERSTICIAL[[#This Row],[Sección]]&amp;"-"&amp;COND_INTERSTICIAL[[#This Row],[Capa]],SECCIONES_CAPAS[llave],0))</f>
        <v>0</v>
      </c>
      <c r="DE41" s="90" t="e">
        <f ca="1">IF(COND_INTERSTICIAL[[#This Row],[ϴn]]&gt;=0,610.5*EXP((17.269*COND_INTERSTICIAL[[#This Row],[ϴn]])/(237.3+COND_INTERSTICIAL[[#This Row],[ϴn]])),610.5*EXP((21.875*COND_INTERSTICIAL[[#This Row],[ϴn]])/(265.5+COND_INTERSTICIAL[[#This Row],[ϴn]])))</f>
        <v>#N/A</v>
      </c>
      <c r="DF41" s="90" t="e" cm="1">
        <f t="array" aca="1" ref="DF41" ca="1">COND_INTERSTICIAL[[#This Row],[S''d]]*((INDEX(CLIMA[Pi],COND_INTERSTICIAL[[#This Row],[Mes]])-INDEX(CLIMA[Pe],COND_INTERSTICIAL[[#This Row],[Mes]]))/INDEX(SECCIONES[SdT],COND_INTERSTICIAL[[#This Row],[Sección]]))+INDEX(CLIMA[Pe],COND_INTERSTICIAL[[#This Row],[Mes]])</f>
        <v>#N/A</v>
      </c>
      <c r="DG41" s="108" t="e">
        <f ca="1">IF((COND_INTERSTICIAL[[#This Row],[Pn]]&gt;=COND_INTERSTICIAL[[#This Row],[Psat]]),TRUE,FALSE)</f>
        <v>#N/A</v>
      </c>
      <c r="DH41" s="109" t="e" cm="1">
        <f t="array" aca="1" ref="DH41" ca="1">IF(COND_INTERSTICIAL[[#This Row],[Condensa]],COND_INTERSTICIAL[[#This Row],[Psat]],IF(COND_INTERSTICIAL[[#This Row],[Capa]]=N_capas,COND_INTERSTICIAL[[#This Row],[Pn]],""))</f>
        <v>#N/A</v>
      </c>
      <c r="DI41" s="109" t="e">
        <f ca="1">COND_INTERSTICIAL[[#This Row],[Mes]]&amp;"-"&amp;COND_INTERSTICIAL[[#This Row],[Sección]]&amp;"-"&amp;COND_INTERSTICIAL[[#This Row],[tramo cond]]</f>
        <v>#N/A</v>
      </c>
      <c r="DJ41" t="e" cm="1">
        <f t="array" aca="1" ref="DJ41" ca="1">IF(COND_INTERSTICIAL[[#This Row],[Capa]]=1,IF(COND_INTERSTICIAL[[#This Row],[Condensa]],2,1),IF(COND_INTERSTICIAL[[#This Row],[Condensa]],1,0)+INDIRECT(ADDRESS(ROW()-1,COLUMN(),4)))</f>
        <v>#N/A</v>
      </c>
      <c r="DK41" s="108" t="e" cm="1">
        <f t="array" aca="1" ref="DK41" ca="1">IF(COND_INTERSTICIAL[[#This Row],[tramo cond]]=1,0,IF((COND_INTERSTICIAL[[#This Row],[tramo cond]]&gt;INDIRECT(ADDRESS(ROW()-1,COLUMN(COND_INTERSTICIAL[[#This Row],[tramo cond]]),4)))+COND_INTERSTICIAL[[#This Row],[Condensa]],COND_INTERSTICIAL[[#This Row],[Capa]],INDIRECT(ADDRESS(ROW()-1,COLUMN(),4))))</f>
        <v>#N/A</v>
      </c>
      <c r="DL41" s="108" t="e" cm="1">
        <f t="array" aca="1" ref="DL41" ca="1">IF((COND_INTERSTICIAL[[#This Row],[Capa]]=N_capas)+(COND_INTERSTICIAL[[#This Row],[tramo cond]]=COUNTIFS(COND_INTERSTICIAL[Condensa],TRUE,COND_INTERSTICIAL[Mes],CW41,COND_INTERSTICIAL[Sección],CX41)+1),N_capas,INDEX(COND_INTERSTICIAL[capa lím inf cond],MATCH(COND_INTERSTICIAL[[#This Row],[Mes]]&amp;"-"&amp;COND_INTERSTICIAL[[#This Row],[Sección]]&amp;"-"&amp;(COND_INTERSTICIAL[[#This Row],[tramo cond]]+1),COND_INTERSTICIAL[llave tramo cond],0)))</f>
        <v>#N/A</v>
      </c>
      <c r="DM41" s="108" cm="1">
        <f t="array" aca="1" ref="DM4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1" s="110" t="e" cm="1">
        <f t="array" aca="1" ref="DN4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41" s="107" t="e">
        <f ca="1">COND_INTERSTICIAL[[#This Row],[gc]]+COND_INTERSTICIAL[[#This Row],[Ma_anterior cond]]</f>
        <v>#N/A</v>
      </c>
      <c r="DQ41" s="113" t="e">
        <f ca="1">IF((COND_INTERSTICIAL[[#This Row],[Ma_anterior cond]]&gt;0)*NOT(COND_INTERSTICIAL[[#This Row],[Condensa]]),TRUE,FALSE)</f>
        <v>#DIV/0!</v>
      </c>
      <c r="DR41" s="112" t="e" cm="1">
        <f t="array" aca="1" ref="DR41" ca="1">IF(COND_INTERSTICIAL[[#This Row],[evapora]],COND_INTERSTICIAL[[#This Row],[Psat]],IF(COND_INTERSTICIAL[[#This Row],[Capa]]=N_capas,COND_INTERSTICIAL[[#This Row],[Pn]],""))</f>
        <v>#DIV/0!</v>
      </c>
      <c r="DS41" s="112" t="e">
        <f ca="1">COND_INTERSTICIAL[[#This Row],[Mes]]&amp;"-"&amp;COND_INTERSTICIAL[[#This Row],[Sección]]&amp;"-"&amp;COND_INTERSTICIAL[[#This Row],[tramo ev]]</f>
        <v>#DIV/0!</v>
      </c>
      <c r="DT41" s="111" t="e" cm="1">
        <f t="array" aca="1" ref="DT41" ca="1">IF(COND_INTERSTICIAL[[#This Row],[Capa]]=1,IF(COND_INTERSTICIAL[[#This Row],[evapora]],2,1),IF(COND_INTERSTICIAL[[#This Row],[evapora]],1,0)+INDIRECT(ADDRESS(ROW()-1,COLUMN(),4)))</f>
        <v>#DIV/0!</v>
      </c>
      <c r="DU41" s="111" t="e" cm="1">
        <f t="array" aca="1" ref="DU41" ca="1">IF(COND_INTERSTICIAL[[#This Row],[tramo ev]]=1,0,IF((COND_INTERSTICIAL[[#This Row],[tramo ev]]&gt;INDIRECT(ADDRESS(ROW()-1,COLUMN(COND_INTERSTICIAL[[#This Row],[tramo ev]]),4)))+COND_INTERSTICIAL[[#This Row],[evapora]],COND_INTERSTICIAL[[#This Row],[Capa]],INDIRECT(ADDRESS(ROW()-1,COLUMN(),4))))</f>
        <v>#DIV/0!</v>
      </c>
      <c r="DV41" s="111" t="e" cm="1">
        <f t="array" aca="1" ref="DV41" ca="1">IF((COND_INTERSTICIAL[[#This Row],[Capa]]=N_capas)+(COND_INTERSTICIAL[[#This Row],[tramo ev]]=COUNTIFS(COND_INTERSTICIAL[evapora],TRUE,COND_INTERSTICIAL[Mes],CW41,COND_INTERSTICIAL[Sección],CX41)+1),N_capas,INDEX(COND_INTERSTICIAL[capa lím inf ev],MATCH(COND_INTERSTICIAL[[#This Row],[Mes]]&amp;"-"&amp;COND_INTERSTICIAL[[#This Row],[Sección]]&amp;"-"&amp;(COND_INTERSTICIAL[[#This Row],[tramo ev]]+1),COND_INTERSTICIAL[llave tramo ev],0)))</f>
        <v>#DIV/0!</v>
      </c>
      <c r="DW41" s="111" cm="1">
        <f t="array" aca="1" ref="DW4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1" s="113" t="e" cm="1">
        <f t="array" aca="1" ref="DX4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4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1" s="113" t="e">
        <f ca="1">COND_INTERSTICIAL[[#This Row],[gev]]+COND_INTERSTICIAL[[#This Row],[Ma anterior ev]]</f>
        <v>#DIV/0!</v>
      </c>
      <c r="EA41" s="115" t="e">
        <f ca="1">IF(COND_INTERSTICIAL[[#This Row],[Ma cond]]+COND_INTERSTICIAL[[#This Row],[Ma ev]]&lt;=0,0,COND_INTERSTICIAL[[#This Row],[Ma cond]]+COND_INTERSTICIAL[[#This Row],[Ma ev]])</f>
        <v>#N/A</v>
      </c>
      <c r="EB41" s="115" t="e">
        <f ca="1">IF(COND_INTERSTICIAL[[#This Row],[Ma]]&gt;0,TRUE,FALSE)</f>
        <v>#N/A</v>
      </c>
      <c r="EC41" s="115" t="e" cm="1">
        <f t="array" aca="1" ref="EC41" ca="1">IF(COND_INTERSTICIAL[[#This Row],[agua líquida]],IF(COND_INTERSTICIAL[[#This Row],[Condensa]],COND_INTERSTICIAL[[#This Row],[P límite cond]],COND_INTERSTICIAL[[#This Row],[P límite ev]]),IF(COND_INTERSTICIAL[[#This Row],[Capa]]=N_capas,COND_INTERSTICIAL[[#This Row],[Pn]],""))</f>
        <v>#N/A</v>
      </c>
      <c r="ED41" s="115" t="e">
        <f ca="1">COND_INTERSTICIAL[[#This Row],[Mes]]&amp;"-"&amp;COND_INTERSTICIAL[[#This Row],[Sección]]&amp;"-"&amp;COND_INTERSTICIAL[[#This Row],[tramo gráf]]</f>
        <v>#N/A</v>
      </c>
      <c r="EE41" s="114" t="e" cm="1">
        <f t="array" aca="1" ref="EE41" ca="1">IF(COND_INTERSTICIAL[[#This Row],[Capa]]=1,IF(COND_INTERSTICIAL[[#This Row],[agua líquida]],2,1),IF(COND_INTERSTICIAL[[#This Row],[agua líquida]],1,0)+INDIRECT(ADDRESS(ROW()-1,COLUMN(),4)))</f>
        <v>#N/A</v>
      </c>
      <c r="EF41" s="114" t="e" cm="1">
        <f t="array" aca="1" ref="EF41" ca="1">IF(COND_INTERSTICIAL[[#This Row],[tramo gráf]]=1,0,IF((COND_INTERSTICIAL[[#This Row],[tramo gráf]]&gt;INDIRECT(ADDRESS(ROW()-1,COLUMN(COND_INTERSTICIAL[[#This Row],[tramo gráf]]),4)))+COND_INTERSTICIAL[[#This Row],[agua líquida]],COND_INTERSTICIAL[[#This Row],[Capa]],INDIRECT(ADDRESS(ROW()-1,COLUMN(),4))))</f>
        <v>#N/A</v>
      </c>
      <c r="EG41" s="114" t="e" cm="1">
        <f t="array" aca="1" ref="EG41" ca="1">IF((COND_INTERSTICIAL[[#This Row],[Capa]]=N_capas)+(COND_INTERSTICIAL[[#This Row],[tramo gráf]]=COUNTIFS(COND_INTERSTICIAL[agua líquida],TRUE,COND_INTERSTICIAL[Mes],CW41,COND_INTERSTICIAL[Sección],CX41)+1),N_capas,INDEX(COND_INTERSTICIAL[capa lím inf gráf],MATCH(COND_INTERSTICIAL[[#This Row],[Mes]]&amp;"-"&amp;COND_INTERSTICIAL[[#This Row],[Sección]]&amp;"-"&amp;(COND_INTERSTICIAL[[#This Row],[tramo gráf]]+1),COND_INTERSTICIAL[llave tramo gráf],0)))</f>
        <v>#N/A</v>
      </c>
      <c r="EH41" s="114" cm="1">
        <f t="array" aca="1" ref="EH4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1" s="116" t="e" cm="1">
        <f t="array" aca="1" ref="EI4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41">
        <f t="shared" si="0"/>
        <v>7</v>
      </c>
      <c r="EM41">
        <f t="shared" si="1"/>
        <v>1</v>
      </c>
      <c r="EN41">
        <f>ROW()-ROW(INDEX(COND_INTERSTICIAL_GRÁF[],1,1))</f>
        <v>16</v>
      </c>
      <c r="EO41" t="str">
        <f>COND_INTERSTICIAL_GRÁF[[#This Row],[Mes]]&amp;"-"&amp;COND_INTERSTICIAL_GRÁF[[#This Row],[Sección]]&amp;"-"&amp;COND_INTERSTICIAL_GRÁF[[#This Row],[Capa]]</f>
        <v>7-1-16</v>
      </c>
      <c r="EP41" t="str">
        <f>"Capa "&amp;COND_INTERSTICIAL_GRÁF[[#This Row],[Capa]]&amp;": "&amp;IFERROR(INDEX(SECCIONES_CAPAS[Abreviatura],MATCH(COND_INTERSTICIAL_GRÁF[[#This Row],[Sección]]&amp;"-"&amp;COND_INTERSTICIAL_GRÁF[[#This Row],[Capa]],SECCIONES_CAPAS[llave],0)),"")</f>
        <v xml:space="preserve">Capa 16: </v>
      </c>
      <c r="EQ41" t="e">
        <f>IFERROR(IF(COND_INTERSTICIAL_GRÁF[[#This Row],[Capa]]=0,0,INDEX(SECCIONES_CAPAS[d],MATCH(COND_INTERSTICIAL_GRÁF[[#This Row],[Sección]]&amp;"-"&amp;COND_INTERSTICIAL_GRÁF[[#This Row],[Capa]],SECCIONES_CAPAS[llave],0))),NA())</f>
        <v>#N/A</v>
      </c>
      <c r="ER41" t="e">
        <f>IFERROR(IF(COND_INTERSTICIAL_GRÁF[[#This Row],[Capa]]=0,0,INDEX(SECCIONES_CAPAS[d''],MATCH(COND_INTERSTICIAL_GRÁF[[#This Row],[Sección]]&amp;"-"&amp;COND_INTERSTICIAL_GRÁF[[#This Row],[Capa]],SECCIONES_CAPAS[llave],0))),NA())</f>
        <v>#N/A</v>
      </c>
      <c r="ES41" s="377" t="e" cm="1">
        <f t="array" ref="ES41">COND_INTERSTICIAL_GRÁF[[#This Row],[d'']]/INDEX(SECCIONES[d''],COND_INTERSTICIAL_GRÁF[[#This Row],[Sección]])</f>
        <v>#N/A</v>
      </c>
      <c r="ET41" t="e" cm="1">
        <f t="array" ref="ET4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41" s="90" t="e" cm="1">
        <f t="array" ref="EU41">IFERROR(IF(capa_interior_μ_inf,NA(),6.54+14.526*LN(COND_INTERSTICIAL_GRÁF[[#This Row],[Pn]]/1000)+0.7389*LN(COND_INTERSTICIAL_GRÁF[[#This Row],[Pn]]/1000)^2+0.09486*LN(COND_INTERSTICIAL_GRÁF[[#This Row],[Pn]]/1000)^3+0.4569*(COND_INTERSTICIAL_GRÁF[[#This Row],[Pn]]/1000)^0.1984),NA())</f>
        <v>#N/A</v>
      </c>
      <c r="EV41" t="e">
        <f>IFERROR(IF(COND_INTERSTICIAL_GRÁF[[#This Row],[Capa]]=0,0,INDEX(COND_INTERSTICIAL[Sd],MATCH(COND_INTERSTICIAL_GRÁF[[#This Row],[llave capa]],COND_INTERSTICIAL[llave capa],0))),NA())</f>
        <v>#N/A</v>
      </c>
      <c r="EW41" s="90" t="e">
        <f>IFERROR(IF(COND_INTERSTICIAL_GRÁF[[#This Row],[Capa]]=0,0,INDEX(COND_INTERSTICIAL[S''d],MATCH(COND_INTERSTICIAL_GRÁF[[#This Row],[llave capa]],COND_INTERSTICIAL[llave capa],0))),NA())</f>
        <v>#N/A</v>
      </c>
      <c r="EX41" s="377" t="e" cm="1">
        <f t="array" ref="EX41">COND_INTERSTICIAL_GRÁF[[#This Row],[S''d]]/INDEX(SECCIONES[SdT],Gráf_sección)</f>
        <v>#N/A</v>
      </c>
      <c r="EY41" s="90" t="e" cm="1">
        <f t="array" ref="EY4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41" s="107">
        <f>IFERROR(INDEX(COND_INTERSTICIAL[Ma],MATCH(COND_INTERSTICIAL_GRÁF[[#This Row],[llave capa]],COND_INTERSTICIAL[llave capa],0)),0)</f>
        <v>0</v>
      </c>
      <c r="FA41" s="90" t="b">
        <f>IF(COND_INTERSTICIAL_GRÁF[[#This Row],[Ma]]&gt;0,TRUE,FALSE)</f>
        <v>0</v>
      </c>
      <c r="FB41" s="90" t="str">
        <f>"Interfaz "&amp;COND_INTERSTICIAL_GRÁF[[#This Row],[Capa]]</f>
        <v>Interfaz 16</v>
      </c>
      <c r="FC41" s="90" t="e">
        <f>IF(COND_INTERSTICIAL_GRÁF[[#This Row],[agua líquida]],COND_INTERSTICIAL_GRÁF[[#This Row],[Psat]],NA())</f>
        <v>#N/A</v>
      </c>
      <c r="FD41" s="90" t="e" cm="1">
        <f t="array" ref="FD41">IFERROR(IF(COND_INTERSTICIAL_GRÁF[[#This Row],[Capa]]=0,INDEX(CLIMA[Pe],COND_INTERSTICIAL_GRÁF[[#This Row],[Mes]]),INDEX(COND_INTERSTICIAL[Pn],MATCH(COND_INTERSTICIAL_GRÁF[[#This Row],[llave capa]],COND_INTERSTICIAL[llave capa],0))),NA())</f>
        <v>#N/A</v>
      </c>
      <c r="FE41" s="90" t="e" cm="1">
        <f t="array" ref="FE41">IFERROR(IF(capa_interior_μ_inf,NA(),IF(COND_INTERSTICIAL_GRÁF[[#This Row],[Capa]]=0,INDEX(CLIMA[Pe],COND_INTERSTICIAL_GRÁF[[#This Row],[Mes]]),INDEX(COND_INTERSTICIAL[Pn gráf],MATCH(COND_INTERSTICIAL_GRÁF[[#This Row],[llave capa]],COND_INTERSTICIAL[llave capa],0)))),NA())</f>
        <v>#N/A</v>
      </c>
      <c r="GD41" s="11" t="s">
        <v>1459</v>
      </c>
      <c r="GE41">
        <f>GE28*GE40</f>
        <v>0.84000000000000008</v>
      </c>
      <c r="GF41" t="s">
        <v>229</v>
      </c>
      <c r="GH41" s="12"/>
    </row>
    <row r="42" spans="32:190" ht="14.65" thickBot="1" x14ac:dyDescent="0.5">
      <c r="AF42" s="19" t="s">
        <v>358</v>
      </c>
      <c r="AG42" s="176" t="s">
        <v>359</v>
      </c>
      <c r="AH42" s="20" t="e">
        <f>IF(U_sin_corregir+IF(ΔU_U&lt;=3,0,ΔU)&lt;1,ROUND(U_sin_corregir+IF(ΔU_U&lt;=3,0,ΔU),2),ROUND(U_sin_corregir+IF(ΔU_U&lt;=3,0,ΔU),1))</f>
        <v>#DIV/0!</v>
      </c>
      <c r="AI42" s="21" t="s">
        <v>348</v>
      </c>
      <c r="BY42" t="s">
        <v>368</v>
      </c>
      <c r="BZ42" s="36" cm="1">
        <f t="array" aca="1" ref="BZ42" ca="1">MAX(IF(ISNUMBER(COND_SUPERFICIAL_CONDICIONES[Rt_mín]),COND_SUPERFICIAL_CONDICIONES[Rt_mín]))</f>
        <v>0.44481009318910963</v>
      </c>
      <c r="CA42" t="s">
        <v>369</v>
      </c>
      <c r="CK42" s="1" cm="1">
        <f t="array" ref="CK42">ROUNDUP((ROW()-$CN$18)/(N_secciones),0)</f>
        <v>12</v>
      </c>
      <c r="CL42" cm="1">
        <f t="array" ref="CL42">ROW()-ROW(INDEX(COND_SUPERFICIAL[],1,1))+1-(COND_SUPERFICIAL[[#This Row],[Mes]]-1)*N_secciones</f>
        <v>1</v>
      </c>
      <c r="CM42" s="1" t="str">
        <f>COND_SUPERFICIAL[[#This Row],[Mes]]&amp;"-"&amp;COND_SUPERFICIAL[[#This Row],[Sección]]</f>
        <v>12-1</v>
      </c>
      <c r="CN42" t="e" cm="1">
        <f t="array" ref="CN42">IF(INDEX(SECCIONES[Rtsección_condensación],COND_SUPERFICIAL[[#This Row],[Sección]])&lt;=INDEX(COND_SUPERFICIAL_CONDICIONES[Rt_mín],COND_SUPERFICIAL[[#This Row],[Mes]]),TRUE,FALSE)</f>
        <v>#N/A</v>
      </c>
      <c r="CP42" s="1" cm="1">
        <f t="array" ref="CP42">ROUNDUP((ROW()-$CN$18)/(N_secciones),0)</f>
        <v>12</v>
      </c>
      <c r="CQ42" s="1" cm="1">
        <f t="array" ref="CQ42">ROUNDUP((ROW()-$CN$18+(Mes_inicial_de_análisis-1)*N_secciones)/(N_secciones),0)-12*IF(ROW()-$CN$18&gt;(12-Mes_inicial_de_análisis+1)*N_secciones,1,0)</f>
        <v>6</v>
      </c>
      <c r="CR42" s="1" cm="1">
        <f t="array" ref="CR42">ROW()-$CN$18-(ROUNDUP((ROW()-$CN$18)/(N_secciones),0)-1)*N_secciones</f>
        <v>1</v>
      </c>
      <c r="CS42" s="107" t="str">
        <f>COND_INTERSTICIAL_AGUA_ACUMULADA[[#This Row],[orden]]&amp;"-"&amp;COND_INTERSTICIAL_AGUA_ACUMULADA[[#This Row],[Sección]]</f>
        <v>12-1</v>
      </c>
      <c r="CT42">
        <f ca="1">COUNTIFS(COND_INTERSTICIAL[agua líquida],TRUE,COND_INTERSTICIAL[Mes],COND_INTERSTICIAL_AGUA_ACUMULADA[[#This Row],[Mes]],COND_INTERSTICIAL[Sección],COND_INTERSTICIAL_AGUA_ACUMULADA[[#This Row],[Sección]])</f>
        <v>0</v>
      </c>
      <c r="CU42" s="107" t="e">
        <f ca="1">SUMIFS(COND_INTERSTICIAL[Ma],COND_INTERSTICIAL[Mes],COND_INTERSTICIAL_AGUA_ACUMULADA[[#This Row],[Mes]],COND_INTERSTICIAL[Sección],COND_INTERSTICIAL_AGUA_ACUMULADA[[#This Row],[Sección]])</f>
        <v>#N/A</v>
      </c>
      <c r="CW42" s="1" cm="1">
        <f t="array" ref="CW42">ROUNDUP((ROW()-$CN$18+(Mes_inicial_de_análisis-1)*N_capas*N_secciones)/(N_capas*N_secciones),0)-12*IF(ROW()-$CN$18&gt;(12-Mes_inicial_de_análisis+1)*N_capas*N_secciones,1,0)</f>
        <v>8</v>
      </c>
      <c r="CX42" cm="1">
        <f t="array" ref="CX42">ROUNDUP((ROW()-$CN$18)/N_capas-(ROUNDUP((ROW()-$CN$18)/(N_capas*N_secciones),0)-1)*N_secciones,0)</f>
        <v>2</v>
      </c>
      <c r="CY42" cm="1">
        <f t="array" ref="CY42">(ROW()-$CN$18)-(COND_INTERSTICIAL[[#This Row],[Sección]]-1)*N_capas-(ROUNDUP((ROW()-$CN$18)/(N_capas*N_secciones),0)-1)*N_capas*N_secciones</f>
        <v>2</v>
      </c>
      <c r="CZ42" t="str">
        <f>COND_INTERSTICIAL[[#This Row],[Mes]]&amp;"-"&amp;COND_INTERSTICIAL[[#This Row],[Sección]]&amp;"-"&amp;COND_INTERSTICIAL[[#This Row],[Capa]]</f>
        <v>8-2-2</v>
      </c>
      <c r="DA42">
        <f ca="1">INDEX(SECCIONES_CAPAS[R''n],MATCH(COND_INTERSTICIAL[[#This Row],[Sección]]&amp;"-"&amp;COND_INTERSTICIAL[[#This Row],[Capa]],SECCIONES_CAPAS[llave],0))</f>
        <v>0.04</v>
      </c>
      <c r="DB42" s="172" t="e" cm="1">
        <f t="array" aca="1" ref="DB42" ca="1">INDEX(CLIMA[ϴe],COND_INTERSTICIAL[[#This Row],[Mes]])+COND_INTERSTICIAL[[#This Row],[Rn]]*(INDEX(CLIMA[ϴi],COND_INTERSTICIAL[[#This Row],[Mes]])-INDEX(CLIMA[ϴe],COND_INTERSTICIAL[[#This Row],[Mes]]))/(INDEX(SECCIONES[Rtsección_condensación],COND_INTERSTICIAL[[#This Row],[Sección]]))</f>
        <v>#N/A</v>
      </c>
      <c r="DC42">
        <f>INDEX(SECCIONES_CAPAS[Sd],MATCH(COND_INTERSTICIAL[[#This Row],[Sección]]&amp;"-"&amp;COND_INTERSTICIAL[[#This Row],[Capa]],SECCIONES_CAPAS[llave],0))</f>
        <v>0</v>
      </c>
      <c r="DD42">
        <f ca="1">INDEX(SECCIONES_CAPAS[S''d],MATCH(COND_INTERSTICIAL[[#This Row],[Sección]]&amp;"-"&amp;COND_INTERSTICIAL[[#This Row],[Capa]],SECCIONES_CAPAS[llave],0))</f>
        <v>0</v>
      </c>
      <c r="DE42" s="90" t="e">
        <f ca="1">IF(COND_INTERSTICIAL[[#This Row],[ϴn]]&gt;=0,610.5*EXP((17.269*COND_INTERSTICIAL[[#This Row],[ϴn]])/(237.3+COND_INTERSTICIAL[[#This Row],[ϴn]])),610.5*EXP((21.875*COND_INTERSTICIAL[[#This Row],[ϴn]])/(265.5+COND_INTERSTICIAL[[#This Row],[ϴn]])))</f>
        <v>#N/A</v>
      </c>
      <c r="DF42" s="90" t="e" cm="1">
        <f t="array" aca="1" ref="DF42" ca="1">COND_INTERSTICIAL[[#This Row],[S''d]]*((INDEX(CLIMA[Pi],COND_INTERSTICIAL[[#This Row],[Mes]])-INDEX(CLIMA[Pe],COND_INTERSTICIAL[[#This Row],[Mes]]))/INDEX(SECCIONES[SdT],COND_INTERSTICIAL[[#This Row],[Sección]]))+INDEX(CLIMA[Pe],COND_INTERSTICIAL[[#This Row],[Mes]])</f>
        <v>#N/A</v>
      </c>
      <c r="DG42" s="108" t="e">
        <f ca="1">IF((COND_INTERSTICIAL[[#This Row],[Pn]]&gt;=COND_INTERSTICIAL[[#This Row],[Psat]]),TRUE,FALSE)</f>
        <v>#N/A</v>
      </c>
      <c r="DH42" s="109" t="e" cm="1">
        <f t="array" aca="1" ref="DH42" ca="1">IF(COND_INTERSTICIAL[[#This Row],[Condensa]],COND_INTERSTICIAL[[#This Row],[Psat]],IF(COND_INTERSTICIAL[[#This Row],[Capa]]=N_capas,COND_INTERSTICIAL[[#This Row],[Pn]],""))</f>
        <v>#N/A</v>
      </c>
      <c r="DI42" s="109" t="e">
        <f ca="1">COND_INTERSTICIAL[[#This Row],[Mes]]&amp;"-"&amp;COND_INTERSTICIAL[[#This Row],[Sección]]&amp;"-"&amp;COND_INTERSTICIAL[[#This Row],[tramo cond]]</f>
        <v>#N/A</v>
      </c>
      <c r="DJ42" t="e" cm="1">
        <f t="array" aca="1" ref="DJ42" ca="1">IF(COND_INTERSTICIAL[[#This Row],[Capa]]=1,IF(COND_INTERSTICIAL[[#This Row],[Condensa]],2,1),IF(COND_INTERSTICIAL[[#This Row],[Condensa]],1,0)+INDIRECT(ADDRESS(ROW()-1,COLUMN(),4)))</f>
        <v>#N/A</v>
      </c>
      <c r="DK42" s="108" t="e" cm="1">
        <f t="array" aca="1" ref="DK42" ca="1">IF(COND_INTERSTICIAL[[#This Row],[tramo cond]]=1,0,IF((COND_INTERSTICIAL[[#This Row],[tramo cond]]&gt;INDIRECT(ADDRESS(ROW()-1,COLUMN(COND_INTERSTICIAL[[#This Row],[tramo cond]]),4)))+COND_INTERSTICIAL[[#This Row],[Condensa]],COND_INTERSTICIAL[[#This Row],[Capa]],INDIRECT(ADDRESS(ROW()-1,COLUMN(),4))))</f>
        <v>#N/A</v>
      </c>
      <c r="DL42" s="108" t="e" cm="1">
        <f t="array" aca="1" ref="DL42" ca="1">IF((COND_INTERSTICIAL[[#This Row],[Capa]]=N_capas)+(COND_INTERSTICIAL[[#This Row],[tramo cond]]=COUNTIFS(COND_INTERSTICIAL[Condensa],TRUE,COND_INTERSTICIAL[Mes],CW42,COND_INTERSTICIAL[Sección],CX42)+1),N_capas,INDEX(COND_INTERSTICIAL[capa lím inf cond],MATCH(COND_INTERSTICIAL[[#This Row],[Mes]]&amp;"-"&amp;COND_INTERSTICIAL[[#This Row],[Sección]]&amp;"-"&amp;(COND_INTERSTICIAL[[#This Row],[tramo cond]]+1),COND_INTERSTICIAL[llave tramo cond],0)))</f>
        <v>#N/A</v>
      </c>
      <c r="DM42" s="108" cm="1">
        <f t="array" aca="1" ref="DM4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2" s="110" t="e" cm="1">
        <f t="array" aca="1" ref="DN4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42" s="107" t="e">
        <f ca="1">COND_INTERSTICIAL[[#This Row],[gc]]+COND_INTERSTICIAL[[#This Row],[Ma_anterior cond]]</f>
        <v>#N/A</v>
      </c>
      <c r="DQ42" s="113" t="e">
        <f ca="1">IF((COND_INTERSTICIAL[[#This Row],[Ma_anterior cond]]&gt;0)*NOT(COND_INTERSTICIAL[[#This Row],[Condensa]]),TRUE,FALSE)</f>
        <v>#DIV/0!</v>
      </c>
      <c r="DR42" s="112" t="e" cm="1">
        <f t="array" aca="1" ref="DR42" ca="1">IF(COND_INTERSTICIAL[[#This Row],[evapora]],COND_INTERSTICIAL[[#This Row],[Psat]],IF(COND_INTERSTICIAL[[#This Row],[Capa]]=N_capas,COND_INTERSTICIAL[[#This Row],[Pn]],""))</f>
        <v>#DIV/0!</v>
      </c>
      <c r="DS42" s="112" t="e">
        <f ca="1">COND_INTERSTICIAL[[#This Row],[Mes]]&amp;"-"&amp;COND_INTERSTICIAL[[#This Row],[Sección]]&amp;"-"&amp;COND_INTERSTICIAL[[#This Row],[tramo ev]]</f>
        <v>#DIV/0!</v>
      </c>
      <c r="DT42" s="111" t="e" cm="1">
        <f t="array" aca="1" ref="DT42" ca="1">IF(COND_INTERSTICIAL[[#This Row],[Capa]]=1,IF(COND_INTERSTICIAL[[#This Row],[evapora]],2,1),IF(COND_INTERSTICIAL[[#This Row],[evapora]],1,0)+INDIRECT(ADDRESS(ROW()-1,COLUMN(),4)))</f>
        <v>#DIV/0!</v>
      </c>
      <c r="DU42" s="111" t="e" cm="1">
        <f t="array" aca="1" ref="DU42" ca="1">IF(COND_INTERSTICIAL[[#This Row],[tramo ev]]=1,0,IF((COND_INTERSTICIAL[[#This Row],[tramo ev]]&gt;INDIRECT(ADDRESS(ROW()-1,COLUMN(COND_INTERSTICIAL[[#This Row],[tramo ev]]),4)))+COND_INTERSTICIAL[[#This Row],[evapora]],COND_INTERSTICIAL[[#This Row],[Capa]],INDIRECT(ADDRESS(ROW()-1,COLUMN(),4))))</f>
        <v>#DIV/0!</v>
      </c>
      <c r="DV42" s="111" t="e" cm="1">
        <f t="array" aca="1" ref="DV42" ca="1">IF((COND_INTERSTICIAL[[#This Row],[Capa]]=N_capas)+(COND_INTERSTICIAL[[#This Row],[tramo ev]]=COUNTIFS(COND_INTERSTICIAL[evapora],TRUE,COND_INTERSTICIAL[Mes],CW42,COND_INTERSTICIAL[Sección],CX42)+1),N_capas,INDEX(COND_INTERSTICIAL[capa lím inf ev],MATCH(COND_INTERSTICIAL[[#This Row],[Mes]]&amp;"-"&amp;COND_INTERSTICIAL[[#This Row],[Sección]]&amp;"-"&amp;(COND_INTERSTICIAL[[#This Row],[tramo ev]]+1),COND_INTERSTICIAL[llave tramo ev],0)))</f>
        <v>#DIV/0!</v>
      </c>
      <c r="DW42" s="111" cm="1">
        <f t="array" aca="1" ref="DW4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2" s="113" t="e" cm="1">
        <f t="array" aca="1" ref="DX4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4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2" s="113" t="e">
        <f ca="1">COND_INTERSTICIAL[[#This Row],[gev]]+COND_INTERSTICIAL[[#This Row],[Ma anterior ev]]</f>
        <v>#DIV/0!</v>
      </c>
      <c r="EA42" s="115" t="e">
        <f ca="1">IF(COND_INTERSTICIAL[[#This Row],[Ma cond]]+COND_INTERSTICIAL[[#This Row],[Ma ev]]&lt;=0,0,COND_INTERSTICIAL[[#This Row],[Ma cond]]+COND_INTERSTICIAL[[#This Row],[Ma ev]])</f>
        <v>#N/A</v>
      </c>
      <c r="EB42" s="115" t="e">
        <f ca="1">IF(COND_INTERSTICIAL[[#This Row],[Ma]]&gt;0,TRUE,FALSE)</f>
        <v>#N/A</v>
      </c>
      <c r="EC42" s="115" t="e" cm="1">
        <f t="array" aca="1" ref="EC42" ca="1">IF(COND_INTERSTICIAL[[#This Row],[agua líquida]],IF(COND_INTERSTICIAL[[#This Row],[Condensa]],COND_INTERSTICIAL[[#This Row],[P límite cond]],COND_INTERSTICIAL[[#This Row],[P límite ev]]),IF(COND_INTERSTICIAL[[#This Row],[Capa]]=N_capas,COND_INTERSTICIAL[[#This Row],[Pn]],""))</f>
        <v>#N/A</v>
      </c>
      <c r="ED42" s="115" t="e">
        <f ca="1">COND_INTERSTICIAL[[#This Row],[Mes]]&amp;"-"&amp;COND_INTERSTICIAL[[#This Row],[Sección]]&amp;"-"&amp;COND_INTERSTICIAL[[#This Row],[tramo gráf]]</f>
        <v>#N/A</v>
      </c>
      <c r="EE42" s="114" t="e" cm="1">
        <f t="array" aca="1" ref="EE42" ca="1">IF(COND_INTERSTICIAL[[#This Row],[Capa]]=1,IF(COND_INTERSTICIAL[[#This Row],[agua líquida]],2,1),IF(COND_INTERSTICIAL[[#This Row],[agua líquida]],1,0)+INDIRECT(ADDRESS(ROW()-1,COLUMN(),4)))</f>
        <v>#N/A</v>
      </c>
      <c r="EF42" s="114" t="e" cm="1">
        <f t="array" aca="1" ref="EF42" ca="1">IF(COND_INTERSTICIAL[[#This Row],[tramo gráf]]=1,0,IF((COND_INTERSTICIAL[[#This Row],[tramo gráf]]&gt;INDIRECT(ADDRESS(ROW()-1,COLUMN(COND_INTERSTICIAL[[#This Row],[tramo gráf]]),4)))+COND_INTERSTICIAL[[#This Row],[agua líquida]],COND_INTERSTICIAL[[#This Row],[Capa]],INDIRECT(ADDRESS(ROW()-1,COLUMN(),4))))</f>
        <v>#N/A</v>
      </c>
      <c r="EG42" s="114" t="e" cm="1">
        <f t="array" aca="1" ref="EG42" ca="1">IF((COND_INTERSTICIAL[[#This Row],[Capa]]=N_capas)+(COND_INTERSTICIAL[[#This Row],[tramo gráf]]=COUNTIFS(COND_INTERSTICIAL[agua líquida],TRUE,COND_INTERSTICIAL[Mes],CW42,COND_INTERSTICIAL[Sección],CX42)+1),N_capas,INDEX(COND_INTERSTICIAL[capa lím inf gráf],MATCH(COND_INTERSTICIAL[[#This Row],[Mes]]&amp;"-"&amp;COND_INTERSTICIAL[[#This Row],[Sección]]&amp;"-"&amp;(COND_INTERSTICIAL[[#This Row],[tramo gráf]]+1),COND_INTERSTICIAL[llave tramo gráf],0)))</f>
        <v>#N/A</v>
      </c>
      <c r="EH42" s="114" cm="1">
        <f t="array" aca="1" ref="EH4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2" s="116" t="e" cm="1">
        <f t="array" aca="1" ref="EI4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42">
        <f t="shared" si="0"/>
        <v>7</v>
      </c>
      <c r="EM42">
        <f t="shared" si="1"/>
        <v>1</v>
      </c>
      <c r="EN42">
        <f>ROW()-ROW(INDEX(COND_INTERSTICIAL_GRÁF[],1,1))</f>
        <v>17</v>
      </c>
      <c r="EO42" t="str">
        <f>COND_INTERSTICIAL_GRÁF[[#This Row],[Mes]]&amp;"-"&amp;COND_INTERSTICIAL_GRÁF[[#This Row],[Sección]]&amp;"-"&amp;COND_INTERSTICIAL_GRÁF[[#This Row],[Capa]]</f>
        <v>7-1-17</v>
      </c>
      <c r="EP42" t="str">
        <f>"Capa "&amp;COND_INTERSTICIAL_GRÁF[[#This Row],[Capa]]&amp;": "&amp;IFERROR(INDEX(SECCIONES_CAPAS[Abreviatura],MATCH(COND_INTERSTICIAL_GRÁF[[#This Row],[Sección]]&amp;"-"&amp;COND_INTERSTICIAL_GRÁF[[#This Row],[Capa]],SECCIONES_CAPAS[llave],0)),"")</f>
        <v xml:space="preserve">Capa 17: </v>
      </c>
      <c r="EQ42" t="e">
        <f>IFERROR(IF(COND_INTERSTICIAL_GRÁF[[#This Row],[Capa]]=0,0,INDEX(SECCIONES_CAPAS[d],MATCH(COND_INTERSTICIAL_GRÁF[[#This Row],[Sección]]&amp;"-"&amp;COND_INTERSTICIAL_GRÁF[[#This Row],[Capa]],SECCIONES_CAPAS[llave],0))),NA())</f>
        <v>#N/A</v>
      </c>
      <c r="ER42" t="e">
        <f>IFERROR(IF(COND_INTERSTICIAL_GRÁF[[#This Row],[Capa]]=0,0,INDEX(SECCIONES_CAPAS[d''],MATCH(COND_INTERSTICIAL_GRÁF[[#This Row],[Sección]]&amp;"-"&amp;COND_INTERSTICIAL_GRÁF[[#This Row],[Capa]],SECCIONES_CAPAS[llave],0))),NA())</f>
        <v>#N/A</v>
      </c>
      <c r="ES42" s="377" t="e" cm="1">
        <f t="array" ref="ES42">COND_INTERSTICIAL_GRÁF[[#This Row],[d'']]/INDEX(SECCIONES[d''],COND_INTERSTICIAL_GRÁF[[#This Row],[Sección]])</f>
        <v>#N/A</v>
      </c>
      <c r="ET42" t="e" cm="1">
        <f t="array" ref="ET42">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42" s="90" t="e" cm="1">
        <f t="array" ref="EU42">IFERROR(IF(capa_interior_μ_inf,NA(),6.54+14.526*LN(COND_INTERSTICIAL_GRÁF[[#This Row],[Pn]]/1000)+0.7389*LN(COND_INTERSTICIAL_GRÁF[[#This Row],[Pn]]/1000)^2+0.09486*LN(COND_INTERSTICIAL_GRÁF[[#This Row],[Pn]]/1000)^3+0.4569*(COND_INTERSTICIAL_GRÁF[[#This Row],[Pn]]/1000)^0.1984),NA())</f>
        <v>#N/A</v>
      </c>
      <c r="EV42" t="e">
        <f>IFERROR(IF(COND_INTERSTICIAL_GRÁF[[#This Row],[Capa]]=0,0,INDEX(COND_INTERSTICIAL[Sd],MATCH(COND_INTERSTICIAL_GRÁF[[#This Row],[llave capa]],COND_INTERSTICIAL[llave capa],0))),NA())</f>
        <v>#N/A</v>
      </c>
      <c r="EW42" s="90" t="e">
        <f>IFERROR(IF(COND_INTERSTICIAL_GRÁF[[#This Row],[Capa]]=0,0,INDEX(COND_INTERSTICIAL[S''d],MATCH(COND_INTERSTICIAL_GRÁF[[#This Row],[llave capa]],COND_INTERSTICIAL[llave capa],0))),NA())</f>
        <v>#N/A</v>
      </c>
      <c r="EX42" s="377" t="e" cm="1">
        <f t="array" ref="EX42">COND_INTERSTICIAL_GRÁF[[#This Row],[S''d]]/INDEX(SECCIONES[SdT],Gráf_sección)</f>
        <v>#N/A</v>
      </c>
      <c r="EY42" s="90" t="e" cm="1">
        <f t="array" ref="EY42">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42" s="107">
        <f>IFERROR(INDEX(COND_INTERSTICIAL[Ma],MATCH(COND_INTERSTICIAL_GRÁF[[#This Row],[llave capa]],COND_INTERSTICIAL[llave capa],0)),0)</f>
        <v>0</v>
      </c>
      <c r="FA42" s="90" t="b">
        <f>IF(COND_INTERSTICIAL_GRÁF[[#This Row],[Ma]]&gt;0,TRUE,FALSE)</f>
        <v>0</v>
      </c>
      <c r="FB42" s="90" t="str">
        <f>"Interfaz "&amp;COND_INTERSTICIAL_GRÁF[[#This Row],[Capa]]</f>
        <v>Interfaz 17</v>
      </c>
      <c r="FC42" s="90" t="e">
        <f>IF(COND_INTERSTICIAL_GRÁF[[#This Row],[agua líquida]],COND_INTERSTICIAL_GRÁF[[#This Row],[Psat]],NA())</f>
        <v>#N/A</v>
      </c>
      <c r="FD42" s="90" t="e" cm="1">
        <f t="array" ref="FD42">IFERROR(IF(COND_INTERSTICIAL_GRÁF[[#This Row],[Capa]]=0,INDEX(CLIMA[Pe],COND_INTERSTICIAL_GRÁF[[#This Row],[Mes]]),INDEX(COND_INTERSTICIAL[Pn],MATCH(COND_INTERSTICIAL_GRÁF[[#This Row],[llave capa]],COND_INTERSTICIAL[llave capa],0))),NA())</f>
        <v>#N/A</v>
      </c>
      <c r="FE42" s="90" t="e" cm="1">
        <f t="array" ref="FE42">IFERROR(IF(capa_interior_μ_inf,NA(),IF(COND_INTERSTICIAL_GRÁF[[#This Row],[Capa]]=0,INDEX(CLIMA[Pe],COND_INTERSTICIAL_GRÁF[[#This Row],[Mes]]),INDEX(COND_INTERSTICIAL[Pn gráf],MATCH(COND_INTERSTICIAL_GRÁF[[#This Row],[llave capa]],COND_INTERSTICIAL[llave capa],0)))),NA())</f>
        <v>#N/A</v>
      </c>
      <c r="GD42" s="11" t="s">
        <v>1450</v>
      </c>
      <c r="GH42" s="12"/>
    </row>
    <row r="43" spans="32:190" x14ac:dyDescent="0.45">
      <c r="AG43" s="2"/>
      <c r="BY43" t="s">
        <v>1401</v>
      </c>
      <c r="BZ43">
        <f t="array" aca="1" ref="BZ43" ca="1">PRODUCT(IF(SECCIONES[cumple cond superficial],1,0))</f>
        <v>0</v>
      </c>
      <c r="CK43" s="1" cm="1">
        <f t="array" ref="CK43">ROUNDUP((ROW()-$CN$18)/(N_secciones),0)</f>
        <v>12</v>
      </c>
      <c r="CL43" cm="1">
        <f t="array" ref="CL43">ROW()-ROW(INDEX(COND_SUPERFICIAL[],1,1))+1-(COND_SUPERFICIAL[[#This Row],[Mes]]-1)*N_secciones</f>
        <v>2</v>
      </c>
      <c r="CM43" s="1" t="str">
        <f>COND_SUPERFICIAL[[#This Row],[Mes]]&amp;"-"&amp;COND_SUPERFICIAL[[#This Row],[Sección]]</f>
        <v>12-2</v>
      </c>
      <c r="CN43" t="e" cm="1">
        <f t="array" ref="CN43">IF(INDEX(SECCIONES[Rtsección_condensación],COND_SUPERFICIAL[[#This Row],[Sección]])&lt;=INDEX(COND_SUPERFICIAL_CONDICIONES[Rt_mín],COND_SUPERFICIAL[[#This Row],[Mes]]),TRUE,FALSE)</f>
        <v>#N/A</v>
      </c>
      <c r="CP43" s="1" cm="1">
        <f t="array" ref="CP43">ROUNDUP((ROW()-$CN$18)/(N_secciones),0)</f>
        <v>12</v>
      </c>
      <c r="CQ43" s="1" cm="1">
        <f t="array" ref="CQ43">ROUNDUP((ROW()-$CN$18+(Mes_inicial_de_análisis-1)*N_secciones)/(N_secciones),0)-12*IF(ROW()-$CN$18&gt;(12-Mes_inicial_de_análisis+1)*N_secciones,1,0)</f>
        <v>6</v>
      </c>
      <c r="CR43" s="1" cm="1">
        <f t="array" ref="CR43">ROW()-$CN$18-(ROUNDUP((ROW()-$CN$18)/(N_secciones),0)-1)*N_secciones</f>
        <v>2</v>
      </c>
      <c r="CS43" s="107" t="str">
        <f>COND_INTERSTICIAL_AGUA_ACUMULADA[[#This Row],[orden]]&amp;"-"&amp;COND_INTERSTICIAL_AGUA_ACUMULADA[[#This Row],[Sección]]</f>
        <v>12-2</v>
      </c>
      <c r="CT43">
        <f ca="1">COUNTIFS(COND_INTERSTICIAL[agua líquida],TRUE,COND_INTERSTICIAL[Mes],COND_INTERSTICIAL_AGUA_ACUMULADA[[#This Row],[Mes]],COND_INTERSTICIAL[Sección],COND_INTERSTICIAL_AGUA_ACUMULADA[[#This Row],[Sección]])</f>
        <v>0</v>
      </c>
      <c r="CU43" s="107" t="e">
        <f ca="1">SUMIFS(COND_INTERSTICIAL[Ma],COND_INTERSTICIAL[Mes],COND_INTERSTICIAL_AGUA_ACUMULADA[[#This Row],[Mes]],COND_INTERSTICIAL[Sección],COND_INTERSTICIAL_AGUA_ACUMULADA[[#This Row],[Sección]])</f>
        <v>#N/A</v>
      </c>
      <c r="CW43" s="1" cm="1">
        <f t="array" ref="CW43">ROUNDUP((ROW()-$CN$18+(Mes_inicial_de_análisis-1)*N_capas*N_secciones)/(N_capas*N_secciones),0)-12*IF(ROW()-$CN$18&gt;(12-Mes_inicial_de_análisis+1)*N_capas*N_secciones,1,0)</f>
        <v>8</v>
      </c>
      <c r="CX43" cm="1">
        <f t="array" ref="CX43">ROUNDUP((ROW()-$CN$18)/N_capas-(ROUNDUP((ROW()-$CN$18)/(N_capas*N_secciones),0)-1)*N_secciones,0)</f>
        <v>2</v>
      </c>
      <c r="CY43" cm="1">
        <f t="array" ref="CY43">(ROW()-$CN$18)-(COND_INTERSTICIAL[[#This Row],[Sección]]-1)*N_capas-(ROUNDUP((ROW()-$CN$18)/(N_capas*N_secciones),0)-1)*N_capas*N_secciones</f>
        <v>3</v>
      </c>
      <c r="CZ43" t="str">
        <f>COND_INTERSTICIAL[[#This Row],[Mes]]&amp;"-"&amp;COND_INTERSTICIAL[[#This Row],[Sección]]&amp;"-"&amp;COND_INTERSTICIAL[[#This Row],[Capa]]</f>
        <v>8-2-3</v>
      </c>
      <c r="DA43">
        <f ca="1">INDEX(SECCIONES_CAPAS[R''n],MATCH(COND_INTERSTICIAL[[#This Row],[Sección]]&amp;"-"&amp;COND_INTERSTICIAL[[#This Row],[Capa]],SECCIONES_CAPAS[llave],0))</f>
        <v>0.04</v>
      </c>
      <c r="DB43" s="172" t="e" cm="1">
        <f t="array" aca="1" ref="DB43" ca="1">INDEX(CLIMA[ϴe],COND_INTERSTICIAL[[#This Row],[Mes]])+COND_INTERSTICIAL[[#This Row],[Rn]]*(INDEX(CLIMA[ϴi],COND_INTERSTICIAL[[#This Row],[Mes]])-INDEX(CLIMA[ϴe],COND_INTERSTICIAL[[#This Row],[Mes]]))/(INDEX(SECCIONES[Rtsección_condensación],COND_INTERSTICIAL[[#This Row],[Sección]]))</f>
        <v>#N/A</v>
      </c>
      <c r="DC43">
        <f>INDEX(SECCIONES_CAPAS[Sd],MATCH(COND_INTERSTICIAL[[#This Row],[Sección]]&amp;"-"&amp;COND_INTERSTICIAL[[#This Row],[Capa]],SECCIONES_CAPAS[llave],0))</f>
        <v>0</v>
      </c>
      <c r="DD43">
        <f ca="1">INDEX(SECCIONES_CAPAS[S''d],MATCH(COND_INTERSTICIAL[[#This Row],[Sección]]&amp;"-"&amp;COND_INTERSTICIAL[[#This Row],[Capa]],SECCIONES_CAPAS[llave],0))</f>
        <v>0</v>
      </c>
      <c r="DE43" s="90" t="e">
        <f ca="1">IF(COND_INTERSTICIAL[[#This Row],[ϴn]]&gt;=0,610.5*EXP((17.269*COND_INTERSTICIAL[[#This Row],[ϴn]])/(237.3+COND_INTERSTICIAL[[#This Row],[ϴn]])),610.5*EXP((21.875*COND_INTERSTICIAL[[#This Row],[ϴn]])/(265.5+COND_INTERSTICIAL[[#This Row],[ϴn]])))</f>
        <v>#N/A</v>
      </c>
      <c r="DF43" s="90" t="e" cm="1">
        <f t="array" aca="1" ref="DF43" ca="1">COND_INTERSTICIAL[[#This Row],[S''d]]*((INDEX(CLIMA[Pi],COND_INTERSTICIAL[[#This Row],[Mes]])-INDEX(CLIMA[Pe],COND_INTERSTICIAL[[#This Row],[Mes]]))/INDEX(SECCIONES[SdT],COND_INTERSTICIAL[[#This Row],[Sección]]))+INDEX(CLIMA[Pe],COND_INTERSTICIAL[[#This Row],[Mes]])</f>
        <v>#N/A</v>
      </c>
      <c r="DG43" s="108" t="e">
        <f ca="1">IF((COND_INTERSTICIAL[[#This Row],[Pn]]&gt;=COND_INTERSTICIAL[[#This Row],[Psat]]),TRUE,FALSE)</f>
        <v>#N/A</v>
      </c>
      <c r="DH43" s="109" t="e" cm="1">
        <f t="array" aca="1" ref="DH43" ca="1">IF(COND_INTERSTICIAL[[#This Row],[Condensa]],COND_INTERSTICIAL[[#This Row],[Psat]],IF(COND_INTERSTICIAL[[#This Row],[Capa]]=N_capas,COND_INTERSTICIAL[[#This Row],[Pn]],""))</f>
        <v>#N/A</v>
      </c>
      <c r="DI43" s="109" t="e">
        <f ca="1">COND_INTERSTICIAL[[#This Row],[Mes]]&amp;"-"&amp;COND_INTERSTICIAL[[#This Row],[Sección]]&amp;"-"&amp;COND_INTERSTICIAL[[#This Row],[tramo cond]]</f>
        <v>#N/A</v>
      </c>
      <c r="DJ43" t="e" cm="1">
        <f t="array" aca="1" ref="DJ43" ca="1">IF(COND_INTERSTICIAL[[#This Row],[Capa]]=1,IF(COND_INTERSTICIAL[[#This Row],[Condensa]],2,1),IF(COND_INTERSTICIAL[[#This Row],[Condensa]],1,0)+INDIRECT(ADDRESS(ROW()-1,COLUMN(),4)))</f>
        <v>#N/A</v>
      </c>
      <c r="DK43" s="108" t="e" cm="1">
        <f t="array" aca="1" ref="DK43" ca="1">IF(COND_INTERSTICIAL[[#This Row],[tramo cond]]=1,0,IF((COND_INTERSTICIAL[[#This Row],[tramo cond]]&gt;INDIRECT(ADDRESS(ROW()-1,COLUMN(COND_INTERSTICIAL[[#This Row],[tramo cond]]),4)))+COND_INTERSTICIAL[[#This Row],[Condensa]],COND_INTERSTICIAL[[#This Row],[Capa]],INDIRECT(ADDRESS(ROW()-1,COLUMN(),4))))</f>
        <v>#N/A</v>
      </c>
      <c r="DL43" s="108" t="e" cm="1">
        <f t="array" aca="1" ref="DL43" ca="1">IF((COND_INTERSTICIAL[[#This Row],[Capa]]=N_capas)+(COND_INTERSTICIAL[[#This Row],[tramo cond]]=COUNTIFS(COND_INTERSTICIAL[Condensa],TRUE,COND_INTERSTICIAL[Mes],CW43,COND_INTERSTICIAL[Sección],CX43)+1),N_capas,INDEX(COND_INTERSTICIAL[capa lím inf cond],MATCH(COND_INTERSTICIAL[[#This Row],[Mes]]&amp;"-"&amp;COND_INTERSTICIAL[[#This Row],[Sección]]&amp;"-"&amp;(COND_INTERSTICIAL[[#This Row],[tramo cond]]+1),COND_INTERSTICIAL[llave tramo cond],0)))</f>
        <v>#N/A</v>
      </c>
      <c r="DM43" s="108" cm="1">
        <f t="array" aca="1" ref="DM4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3" s="110" t="e" cm="1">
        <f t="array" aca="1" ref="DN4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43" s="107" t="e">
        <f ca="1">COND_INTERSTICIAL[[#This Row],[gc]]+COND_INTERSTICIAL[[#This Row],[Ma_anterior cond]]</f>
        <v>#N/A</v>
      </c>
      <c r="DQ43" s="113" t="e">
        <f ca="1">IF((COND_INTERSTICIAL[[#This Row],[Ma_anterior cond]]&gt;0)*NOT(COND_INTERSTICIAL[[#This Row],[Condensa]]),TRUE,FALSE)</f>
        <v>#DIV/0!</v>
      </c>
      <c r="DR43" s="112" t="e" cm="1">
        <f t="array" aca="1" ref="DR43" ca="1">IF(COND_INTERSTICIAL[[#This Row],[evapora]],COND_INTERSTICIAL[[#This Row],[Psat]],IF(COND_INTERSTICIAL[[#This Row],[Capa]]=N_capas,COND_INTERSTICIAL[[#This Row],[Pn]],""))</f>
        <v>#DIV/0!</v>
      </c>
      <c r="DS43" s="112" t="e">
        <f ca="1">COND_INTERSTICIAL[[#This Row],[Mes]]&amp;"-"&amp;COND_INTERSTICIAL[[#This Row],[Sección]]&amp;"-"&amp;COND_INTERSTICIAL[[#This Row],[tramo ev]]</f>
        <v>#DIV/0!</v>
      </c>
      <c r="DT43" s="111" t="e" cm="1">
        <f t="array" aca="1" ref="DT43" ca="1">IF(COND_INTERSTICIAL[[#This Row],[Capa]]=1,IF(COND_INTERSTICIAL[[#This Row],[evapora]],2,1),IF(COND_INTERSTICIAL[[#This Row],[evapora]],1,0)+INDIRECT(ADDRESS(ROW()-1,COLUMN(),4)))</f>
        <v>#DIV/0!</v>
      </c>
      <c r="DU43" s="111" t="e" cm="1">
        <f t="array" aca="1" ref="DU43" ca="1">IF(COND_INTERSTICIAL[[#This Row],[tramo ev]]=1,0,IF((COND_INTERSTICIAL[[#This Row],[tramo ev]]&gt;INDIRECT(ADDRESS(ROW()-1,COLUMN(COND_INTERSTICIAL[[#This Row],[tramo ev]]),4)))+COND_INTERSTICIAL[[#This Row],[evapora]],COND_INTERSTICIAL[[#This Row],[Capa]],INDIRECT(ADDRESS(ROW()-1,COLUMN(),4))))</f>
        <v>#DIV/0!</v>
      </c>
      <c r="DV43" s="111" t="e" cm="1">
        <f t="array" aca="1" ref="DV43" ca="1">IF((COND_INTERSTICIAL[[#This Row],[Capa]]=N_capas)+(COND_INTERSTICIAL[[#This Row],[tramo ev]]=COUNTIFS(COND_INTERSTICIAL[evapora],TRUE,COND_INTERSTICIAL[Mes],CW43,COND_INTERSTICIAL[Sección],CX43)+1),N_capas,INDEX(COND_INTERSTICIAL[capa lím inf ev],MATCH(COND_INTERSTICIAL[[#This Row],[Mes]]&amp;"-"&amp;COND_INTERSTICIAL[[#This Row],[Sección]]&amp;"-"&amp;(COND_INTERSTICIAL[[#This Row],[tramo ev]]+1),COND_INTERSTICIAL[llave tramo ev],0)))</f>
        <v>#DIV/0!</v>
      </c>
      <c r="DW43" s="111" cm="1">
        <f t="array" aca="1" ref="DW4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3" s="113" t="e" cm="1">
        <f t="array" aca="1" ref="DX4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4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3" s="113" t="e">
        <f ca="1">COND_INTERSTICIAL[[#This Row],[gev]]+COND_INTERSTICIAL[[#This Row],[Ma anterior ev]]</f>
        <v>#DIV/0!</v>
      </c>
      <c r="EA43" s="115" t="e">
        <f ca="1">IF(COND_INTERSTICIAL[[#This Row],[Ma cond]]+COND_INTERSTICIAL[[#This Row],[Ma ev]]&lt;=0,0,COND_INTERSTICIAL[[#This Row],[Ma cond]]+COND_INTERSTICIAL[[#This Row],[Ma ev]])</f>
        <v>#N/A</v>
      </c>
      <c r="EB43" s="115" t="e">
        <f ca="1">IF(COND_INTERSTICIAL[[#This Row],[Ma]]&gt;0,TRUE,FALSE)</f>
        <v>#N/A</v>
      </c>
      <c r="EC43" s="115" t="e" cm="1">
        <f t="array" aca="1" ref="EC43" ca="1">IF(COND_INTERSTICIAL[[#This Row],[agua líquida]],IF(COND_INTERSTICIAL[[#This Row],[Condensa]],COND_INTERSTICIAL[[#This Row],[P límite cond]],COND_INTERSTICIAL[[#This Row],[P límite ev]]),IF(COND_INTERSTICIAL[[#This Row],[Capa]]=N_capas,COND_INTERSTICIAL[[#This Row],[Pn]],""))</f>
        <v>#N/A</v>
      </c>
      <c r="ED43" s="115" t="e">
        <f ca="1">COND_INTERSTICIAL[[#This Row],[Mes]]&amp;"-"&amp;COND_INTERSTICIAL[[#This Row],[Sección]]&amp;"-"&amp;COND_INTERSTICIAL[[#This Row],[tramo gráf]]</f>
        <v>#N/A</v>
      </c>
      <c r="EE43" s="114" t="e" cm="1">
        <f t="array" aca="1" ref="EE43" ca="1">IF(COND_INTERSTICIAL[[#This Row],[Capa]]=1,IF(COND_INTERSTICIAL[[#This Row],[agua líquida]],2,1),IF(COND_INTERSTICIAL[[#This Row],[agua líquida]],1,0)+INDIRECT(ADDRESS(ROW()-1,COLUMN(),4)))</f>
        <v>#N/A</v>
      </c>
      <c r="EF43" s="114" t="e" cm="1">
        <f t="array" aca="1" ref="EF43" ca="1">IF(COND_INTERSTICIAL[[#This Row],[tramo gráf]]=1,0,IF((COND_INTERSTICIAL[[#This Row],[tramo gráf]]&gt;INDIRECT(ADDRESS(ROW()-1,COLUMN(COND_INTERSTICIAL[[#This Row],[tramo gráf]]),4)))+COND_INTERSTICIAL[[#This Row],[agua líquida]],COND_INTERSTICIAL[[#This Row],[Capa]],INDIRECT(ADDRESS(ROW()-1,COLUMN(),4))))</f>
        <v>#N/A</v>
      </c>
      <c r="EG43" s="114" t="e" cm="1">
        <f t="array" aca="1" ref="EG43" ca="1">IF((COND_INTERSTICIAL[[#This Row],[Capa]]=N_capas)+(COND_INTERSTICIAL[[#This Row],[tramo gráf]]=COUNTIFS(COND_INTERSTICIAL[agua líquida],TRUE,COND_INTERSTICIAL[Mes],CW43,COND_INTERSTICIAL[Sección],CX43)+1),N_capas,INDEX(COND_INTERSTICIAL[capa lím inf gráf],MATCH(COND_INTERSTICIAL[[#This Row],[Mes]]&amp;"-"&amp;COND_INTERSTICIAL[[#This Row],[Sección]]&amp;"-"&amp;(COND_INTERSTICIAL[[#This Row],[tramo gráf]]+1),COND_INTERSTICIAL[llave tramo gráf],0)))</f>
        <v>#N/A</v>
      </c>
      <c r="EH43" s="114" cm="1">
        <f t="array" aca="1" ref="EH4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3" s="116" t="e" cm="1">
        <f t="array" aca="1" ref="EI4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43">
        <f t="shared" si="0"/>
        <v>7</v>
      </c>
      <c r="EM43">
        <f t="shared" si="1"/>
        <v>1</v>
      </c>
      <c r="EN43">
        <f>ROW()-ROW(INDEX(COND_INTERSTICIAL_GRÁF[],1,1))</f>
        <v>18</v>
      </c>
      <c r="EO43" t="str">
        <f>COND_INTERSTICIAL_GRÁF[[#This Row],[Mes]]&amp;"-"&amp;COND_INTERSTICIAL_GRÁF[[#This Row],[Sección]]&amp;"-"&amp;COND_INTERSTICIAL_GRÁF[[#This Row],[Capa]]</f>
        <v>7-1-18</v>
      </c>
      <c r="EP43" t="str">
        <f>"Capa "&amp;COND_INTERSTICIAL_GRÁF[[#This Row],[Capa]]&amp;": "&amp;IFERROR(INDEX(SECCIONES_CAPAS[Abreviatura],MATCH(COND_INTERSTICIAL_GRÁF[[#This Row],[Sección]]&amp;"-"&amp;COND_INTERSTICIAL_GRÁF[[#This Row],[Capa]],SECCIONES_CAPAS[llave],0)),"")</f>
        <v xml:space="preserve">Capa 18: </v>
      </c>
      <c r="EQ43" t="e">
        <f>IFERROR(IF(COND_INTERSTICIAL_GRÁF[[#This Row],[Capa]]=0,0,INDEX(SECCIONES_CAPAS[d],MATCH(COND_INTERSTICIAL_GRÁF[[#This Row],[Sección]]&amp;"-"&amp;COND_INTERSTICIAL_GRÁF[[#This Row],[Capa]],SECCIONES_CAPAS[llave],0))),NA())</f>
        <v>#N/A</v>
      </c>
      <c r="ER43" t="e">
        <f>IFERROR(IF(COND_INTERSTICIAL_GRÁF[[#This Row],[Capa]]=0,0,INDEX(SECCIONES_CAPAS[d''],MATCH(COND_INTERSTICIAL_GRÁF[[#This Row],[Sección]]&amp;"-"&amp;COND_INTERSTICIAL_GRÁF[[#This Row],[Capa]],SECCIONES_CAPAS[llave],0))),NA())</f>
        <v>#N/A</v>
      </c>
      <c r="ES43" s="377" t="e" cm="1">
        <f t="array" ref="ES43">COND_INTERSTICIAL_GRÁF[[#This Row],[d'']]/INDEX(SECCIONES[d''],COND_INTERSTICIAL_GRÁF[[#This Row],[Sección]])</f>
        <v>#N/A</v>
      </c>
      <c r="ET43" t="e" cm="1">
        <f t="array" ref="ET43">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43" s="90" t="e" cm="1">
        <f t="array" ref="EU43">IFERROR(IF(capa_interior_μ_inf,NA(),6.54+14.526*LN(COND_INTERSTICIAL_GRÁF[[#This Row],[Pn]]/1000)+0.7389*LN(COND_INTERSTICIAL_GRÁF[[#This Row],[Pn]]/1000)^2+0.09486*LN(COND_INTERSTICIAL_GRÁF[[#This Row],[Pn]]/1000)^3+0.4569*(COND_INTERSTICIAL_GRÁF[[#This Row],[Pn]]/1000)^0.1984),NA())</f>
        <v>#N/A</v>
      </c>
      <c r="EV43" t="e">
        <f>IFERROR(IF(COND_INTERSTICIAL_GRÁF[[#This Row],[Capa]]=0,0,INDEX(COND_INTERSTICIAL[Sd],MATCH(COND_INTERSTICIAL_GRÁF[[#This Row],[llave capa]],COND_INTERSTICIAL[llave capa],0))),NA())</f>
        <v>#N/A</v>
      </c>
      <c r="EW43" s="90" t="e">
        <f>IFERROR(IF(COND_INTERSTICIAL_GRÁF[[#This Row],[Capa]]=0,0,INDEX(COND_INTERSTICIAL[S''d],MATCH(COND_INTERSTICIAL_GRÁF[[#This Row],[llave capa]],COND_INTERSTICIAL[llave capa],0))),NA())</f>
        <v>#N/A</v>
      </c>
      <c r="EX43" s="377" t="e" cm="1">
        <f t="array" ref="EX43">COND_INTERSTICIAL_GRÁF[[#This Row],[S''d]]/INDEX(SECCIONES[SdT],Gráf_sección)</f>
        <v>#N/A</v>
      </c>
      <c r="EY43" s="90" t="e" cm="1">
        <f t="array" ref="EY43">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43" s="107">
        <f>IFERROR(INDEX(COND_INTERSTICIAL[Ma],MATCH(COND_INTERSTICIAL_GRÁF[[#This Row],[llave capa]],COND_INTERSTICIAL[llave capa],0)),0)</f>
        <v>0</v>
      </c>
      <c r="FA43" s="90" t="b">
        <f>IF(COND_INTERSTICIAL_GRÁF[[#This Row],[Ma]]&gt;0,TRUE,FALSE)</f>
        <v>0</v>
      </c>
      <c r="FB43" s="90" t="str">
        <f>"Interfaz "&amp;COND_INTERSTICIAL_GRÁF[[#This Row],[Capa]]</f>
        <v>Interfaz 18</v>
      </c>
      <c r="FC43" s="90" t="e">
        <f>IF(COND_INTERSTICIAL_GRÁF[[#This Row],[agua líquida]],COND_INTERSTICIAL_GRÁF[[#This Row],[Psat]],NA())</f>
        <v>#N/A</v>
      </c>
      <c r="FD43" s="90" t="e" cm="1">
        <f t="array" ref="FD43">IFERROR(IF(COND_INTERSTICIAL_GRÁF[[#This Row],[Capa]]=0,INDEX(CLIMA[Pe],COND_INTERSTICIAL_GRÁF[[#This Row],[Mes]]),INDEX(COND_INTERSTICIAL[Pn],MATCH(COND_INTERSTICIAL_GRÁF[[#This Row],[llave capa]],COND_INTERSTICIAL[llave capa],0))),NA())</f>
        <v>#N/A</v>
      </c>
      <c r="FE43" s="90" t="e" cm="1">
        <f t="array" ref="FE43">IFERROR(IF(capa_interior_μ_inf,NA(),IF(COND_INTERSTICIAL_GRÁF[[#This Row],[Capa]]=0,INDEX(CLIMA[Pe],COND_INTERSTICIAL_GRÁF[[#This Row],[Mes]]),INDEX(COND_INTERSTICIAL[Pn gráf],MATCH(COND_INTERSTICIAL_GRÁF[[#This Row],[llave capa]],COND_INTERSTICIAL[llave capa],0)))),NA())</f>
        <v>#N/A</v>
      </c>
      <c r="GD43" s="11" t="s">
        <v>134</v>
      </c>
      <c r="GE43">
        <f>Anexo!$R$15</f>
        <v>0.3</v>
      </c>
      <c r="GF43" t="s">
        <v>135</v>
      </c>
      <c r="GH43" s="12"/>
    </row>
    <row r="44" spans="32:190" x14ac:dyDescent="0.45">
      <c r="AF44" t="s">
        <v>1634</v>
      </c>
      <c r="AH44" cm="1">
        <f t="array" ref="AH44">IFERROR(INDEX(DATOS_REQUERIMIENTOS_TÉRMICOS[],param_emplazamiento_1,1+(CHOOSE(método_acreditación_transmitancia,1,2,1,1)-1)*3+tipo_elemento),"")</f>
        <v>0.6</v>
      </c>
      <c r="BY44" t="s">
        <v>110</v>
      </c>
      <c r="BZ44" t="str" cm="1">
        <f t="array" aca="1" ref="BZ44" ca="1">IF(Cumple_sistema_C_Sup=1,Aux!$C$119,Aux!$C$121)&amp;" "&amp;Aux!C120&amp;INDEX(lista_meses,Cálculos!$BZ$41)&amp;"."</f>
        <v>Una o más secciones no cumplen con la resistencia térmica total mínima requerida. La condición más estricta para el emplazamiento ocurre en el mes de Julio.</v>
      </c>
      <c r="CD44" s="1"/>
      <c r="CE44" s="1"/>
      <c r="CF44" s="90"/>
      <c r="CG44" s="90"/>
      <c r="CH44" s="90"/>
      <c r="CI44" s="90"/>
      <c r="CJ44" s="90"/>
      <c r="CW44" s="1" cm="1">
        <f t="array" ref="CW44">ROUNDUP((ROW()-$CN$18+(Mes_inicial_de_análisis-1)*N_capas*N_secciones)/(N_capas*N_secciones),0)-12*IF(ROW()-$CN$18&gt;(12-Mes_inicial_de_análisis+1)*N_capas*N_secciones,1,0)</f>
        <v>8</v>
      </c>
      <c r="CX44" cm="1">
        <f t="array" ref="CX44">ROUNDUP((ROW()-$CN$18)/N_capas-(ROUNDUP((ROW()-$CN$18)/(N_capas*N_secciones),0)-1)*N_secciones,0)</f>
        <v>2</v>
      </c>
      <c r="CY44" cm="1">
        <f t="array" ref="CY44">(ROW()-$CN$18)-(COND_INTERSTICIAL[[#This Row],[Sección]]-1)*N_capas-(ROUNDUP((ROW()-$CN$18)/(N_capas*N_secciones),0)-1)*N_capas*N_secciones</f>
        <v>4</v>
      </c>
      <c r="CZ44" t="str">
        <f>COND_INTERSTICIAL[[#This Row],[Mes]]&amp;"-"&amp;COND_INTERSTICIAL[[#This Row],[Sección]]&amp;"-"&amp;COND_INTERSTICIAL[[#This Row],[Capa]]</f>
        <v>8-2-4</v>
      </c>
      <c r="DA44">
        <f ca="1">INDEX(SECCIONES_CAPAS[R''n],MATCH(COND_INTERSTICIAL[[#This Row],[Sección]]&amp;"-"&amp;COND_INTERSTICIAL[[#This Row],[Capa]],SECCIONES_CAPAS[llave],0))</f>
        <v>0.04</v>
      </c>
      <c r="DB44" s="172" t="e" cm="1">
        <f t="array" aca="1" ref="DB44" ca="1">INDEX(CLIMA[ϴe],COND_INTERSTICIAL[[#This Row],[Mes]])+COND_INTERSTICIAL[[#This Row],[Rn]]*(INDEX(CLIMA[ϴi],COND_INTERSTICIAL[[#This Row],[Mes]])-INDEX(CLIMA[ϴe],COND_INTERSTICIAL[[#This Row],[Mes]]))/(INDEX(SECCIONES[Rtsección_condensación],COND_INTERSTICIAL[[#This Row],[Sección]]))</f>
        <v>#N/A</v>
      </c>
      <c r="DC44">
        <f>INDEX(SECCIONES_CAPAS[Sd],MATCH(COND_INTERSTICIAL[[#This Row],[Sección]]&amp;"-"&amp;COND_INTERSTICIAL[[#This Row],[Capa]],SECCIONES_CAPAS[llave],0))</f>
        <v>0</v>
      </c>
      <c r="DD44">
        <f ca="1">INDEX(SECCIONES_CAPAS[S''d],MATCH(COND_INTERSTICIAL[[#This Row],[Sección]]&amp;"-"&amp;COND_INTERSTICIAL[[#This Row],[Capa]],SECCIONES_CAPAS[llave],0))</f>
        <v>0</v>
      </c>
      <c r="DE44" s="90" t="e">
        <f ca="1">IF(COND_INTERSTICIAL[[#This Row],[ϴn]]&gt;=0,610.5*EXP((17.269*COND_INTERSTICIAL[[#This Row],[ϴn]])/(237.3+COND_INTERSTICIAL[[#This Row],[ϴn]])),610.5*EXP((21.875*COND_INTERSTICIAL[[#This Row],[ϴn]])/(265.5+COND_INTERSTICIAL[[#This Row],[ϴn]])))</f>
        <v>#N/A</v>
      </c>
      <c r="DF44" s="90" t="e" cm="1">
        <f t="array" aca="1" ref="DF44" ca="1">COND_INTERSTICIAL[[#This Row],[S''d]]*((INDEX(CLIMA[Pi],COND_INTERSTICIAL[[#This Row],[Mes]])-INDEX(CLIMA[Pe],COND_INTERSTICIAL[[#This Row],[Mes]]))/INDEX(SECCIONES[SdT],COND_INTERSTICIAL[[#This Row],[Sección]]))+INDEX(CLIMA[Pe],COND_INTERSTICIAL[[#This Row],[Mes]])</f>
        <v>#N/A</v>
      </c>
      <c r="DG44" s="108" t="e">
        <f ca="1">IF((COND_INTERSTICIAL[[#This Row],[Pn]]&gt;=COND_INTERSTICIAL[[#This Row],[Psat]]),TRUE,FALSE)</f>
        <v>#N/A</v>
      </c>
      <c r="DH44" s="109" t="e" cm="1">
        <f t="array" aca="1" ref="DH44" ca="1">IF(COND_INTERSTICIAL[[#This Row],[Condensa]],COND_INTERSTICIAL[[#This Row],[Psat]],IF(COND_INTERSTICIAL[[#This Row],[Capa]]=N_capas,COND_INTERSTICIAL[[#This Row],[Pn]],""))</f>
        <v>#N/A</v>
      </c>
      <c r="DI44" s="109" t="e">
        <f ca="1">COND_INTERSTICIAL[[#This Row],[Mes]]&amp;"-"&amp;COND_INTERSTICIAL[[#This Row],[Sección]]&amp;"-"&amp;COND_INTERSTICIAL[[#This Row],[tramo cond]]</f>
        <v>#N/A</v>
      </c>
      <c r="DJ44" t="e" cm="1">
        <f t="array" aca="1" ref="DJ44" ca="1">IF(COND_INTERSTICIAL[[#This Row],[Capa]]=1,IF(COND_INTERSTICIAL[[#This Row],[Condensa]],2,1),IF(COND_INTERSTICIAL[[#This Row],[Condensa]],1,0)+INDIRECT(ADDRESS(ROW()-1,COLUMN(),4)))</f>
        <v>#N/A</v>
      </c>
      <c r="DK44" s="108" t="e" cm="1">
        <f t="array" aca="1" ref="DK44" ca="1">IF(COND_INTERSTICIAL[[#This Row],[tramo cond]]=1,0,IF((COND_INTERSTICIAL[[#This Row],[tramo cond]]&gt;INDIRECT(ADDRESS(ROW()-1,COLUMN(COND_INTERSTICIAL[[#This Row],[tramo cond]]),4)))+COND_INTERSTICIAL[[#This Row],[Condensa]],COND_INTERSTICIAL[[#This Row],[Capa]],INDIRECT(ADDRESS(ROW()-1,COLUMN(),4))))</f>
        <v>#N/A</v>
      </c>
      <c r="DL44" s="108" t="e" cm="1">
        <f t="array" aca="1" ref="DL44" ca="1">IF((COND_INTERSTICIAL[[#This Row],[Capa]]=N_capas)+(COND_INTERSTICIAL[[#This Row],[tramo cond]]=COUNTIFS(COND_INTERSTICIAL[Condensa],TRUE,COND_INTERSTICIAL[Mes],CW44,COND_INTERSTICIAL[Sección],CX44)+1),N_capas,INDEX(COND_INTERSTICIAL[capa lím inf cond],MATCH(COND_INTERSTICIAL[[#This Row],[Mes]]&amp;"-"&amp;COND_INTERSTICIAL[[#This Row],[Sección]]&amp;"-"&amp;(COND_INTERSTICIAL[[#This Row],[tramo cond]]+1),COND_INTERSTICIAL[llave tramo cond],0)))</f>
        <v>#N/A</v>
      </c>
      <c r="DM44" s="108" cm="1">
        <f t="array" aca="1" ref="DM4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4" s="110" t="e" cm="1">
        <f t="array" aca="1" ref="DN4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44" s="107" t="e">
        <f ca="1">COND_INTERSTICIAL[[#This Row],[gc]]+COND_INTERSTICIAL[[#This Row],[Ma_anterior cond]]</f>
        <v>#N/A</v>
      </c>
      <c r="DQ44" s="113" t="e">
        <f ca="1">IF((COND_INTERSTICIAL[[#This Row],[Ma_anterior cond]]&gt;0)*NOT(COND_INTERSTICIAL[[#This Row],[Condensa]]),TRUE,FALSE)</f>
        <v>#DIV/0!</v>
      </c>
      <c r="DR44" s="112" t="e" cm="1">
        <f t="array" aca="1" ref="DR44" ca="1">IF(COND_INTERSTICIAL[[#This Row],[evapora]],COND_INTERSTICIAL[[#This Row],[Psat]],IF(COND_INTERSTICIAL[[#This Row],[Capa]]=N_capas,COND_INTERSTICIAL[[#This Row],[Pn]],""))</f>
        <v>#DIV/0!</v>
      </c>
      <c r="DS44" s="112" t="e">
        <f ca="1">COND_INTERSTICIAL[[#This Row],[Mes]]&amp;"-"&amp;COND_INTERSTICIAL[[#This Row],[Sección]]&amp;"-"&amp;COND_INTERSTICIAL[[#This Row],[tramo ev]]</f>
        <v>#DIV/0!</v>
      </c>
      <c r="DT44" s="111" t="e" cm="1">
        <f t="array" aca="1" ref="DT44" ca="1">IF(COND_INTERSTICIAL[[#This Row],[Capa]]=1,IF(COND_INTERSTICIAL[[#This Row],[evapora]],2,1),IF(COND_INTERSTICIAL[[#This Row],[evapora]],1,0)+INDIRECT(ADDRESS(ROW()-1,COLUMN(),4)))</f>
        <v>#DIV/0!</v>
      </c>
      <c r="DU44" s="111" t="e" cm="1">
        <f t="array" aca="1" ref="DU44" ca="1">IF(COND_INTERSTICIAL[[#This Row],[tramo ev]]=1,0,IF((COND_INTERSTICIAL[[#This Row],[tramo ev]]&gt;INDIRECT(ADDRESS(ROW()-1,COLUMN(COND_INTERSTICIAL[[#This Row],[tramo ev]]),4)))+COND_INTERSTICIAL[[#This Row],[evapora]],COND_INTERSTICIAL[[#This Row],[Capa]],INDIRECT(ADDRESS(ROW()-1,COLUMN(),4))))</f>
        <v>#DIV/0!</v>
      </c>
      <c r="DV44" s="111" t="e" cm="1">
        <f t="array" aca="1" ref="DV44" ca="1">IF((COND_INTERSTICIAL[[#This Row],[Capa]]=N_capas)+(COND_INTERSTICIAL[[#This Row],[tramo ev]]=COUNTIFS(COND_INTERSTICIAL[evapora],TRUE,COND_INTERSTICIAL[Mes],CW44,COND_INTERSTICIAL[Sección],CX44)+1),N_capas,INDEX(COND_INTERSTICIAL[capa lím inf ev],MATCH(COND_INTERSTICIAL[[#This Row],[Mes]]&amp;"-"&amp;COND_INTERSTICIAL[[#This Row],[Sección]]&amp;"-"&amp;(COND_INTERSTICIAL[[#This Row],[tramo ev]]+1),COND_INTERSTICIAL[llave tramo ev],0)))</f>
        <v>#DIV/0!</v>
      </c>
      <c r="DW44" s="111" cm="1">
        <f t="array" aca="1" ref="DW4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4" s="113" t="e" cm="1">
        <f t="array" aca="1" ref="DX4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4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4" s="113" t="e">
        <f ca="1">COND_INTERSTICIAL[[#This Row],[gev]]+COND_INTERSTICIAL[[#This Row],[Ma anterior ev]]</f>
        <v>#DIV/0!</v>
      </c>
      <c r="EA44" s="115" t="e">
        <f ca="1">IF(COND_INTERSTICIAL[[#This Row],[Ma cond]]+COND_INTERSTICIAL[[#This Row],[Ma ev]]&lt;=0,0,COND_INTERSTICIAL[[#This Row],[Ma cond]]+COND_INTERSTICIAL[[#This Row],[Ma ev]])</f>
        <v>#N/A</v>
      </c>
      <c r="EB44" s="115" t="e">
        <f ca="1">IF(COND_INTERSTICIAL[[#This Row],[Ma]]&gt;0,TRUE,FALSE)</f>
        <v>#N/A</v>
      </c>
      <c r="EC44" s="115" t="e" cm="1">
        <f t="array" aca="1" ref="EC44" ca="1">IF(COND_INTERSTICIAL[[#This Row],[agua líquida]],IF(COND_INTERSTICIAL[[#This Row],[Condensa]],COND_INTERSTICIAL[[#This Row],[P límite cond]],COND_INTERSTICIAL[[#This Row],[P límite ev]]),IF(COND_INTERSTICIAL[[#This Row],[Capa]]=N_capas,COND_INTERSTICIAL[[#This Row],[Pn]],""))</f>
        <v>#N/A</v>
      </c>
      <c r="ED44" s="115" t="e">
        <f ca="1">COND_INTERSTICIAL[[#This Row],[Mes]]&amp;"-"&amp;COND_INTERSTICIAL[[#This Row],[Sección]]&amp;"-"&amp;COND_INTERSTICIAL[[#This Row],[tramo gráf]]</f>
        <v>#N/A</v>
      </c>
      <c r="EE44" s="114" t="e" cm="1">
        <f t="array" aca="1" ref="EE44" ca="1">IF(COND_INTERSTICIAL[[#This Row],[Capa]]=1,IF(COND_INTERSTICIAL[[#This Row],[agua líquida]],2,1),IF(COND_INTERSTICIAL[[#This Row],[agua líquida]],1,0)+INDIRECT(ADDRESS(ROW()-1,COLUMN(),4)))</f>
        <v>#N/A</v>
      </c>
      <c r="EF44" s="114" t="e" cm="1">
        <f t="array" aca="1" ref="EF44" ca="1">IF(COND_INTERSTICIAL[[#This Row],[tramo gráf]]=1,0,IF((COND_INTERSTICIAL[[#This Row],[tramo gráf]]&gt;INDIRECT(ADDRESS(ROW()-1,COLUMN(COND_INTERSTICIAL[[#This Row],[tramo gráf]]),4)))+COND_INTERSTICIAL[[#This Row],[agua líquida]],COND_INTERSTICIAL[[#This Row],[Capa]],INDIRECT(ADDRESS(ROW()-1,COLUMN(),4))))</f>
        <v>#N/A</v>
      </c>
      <c r="EG44" s="114" t="e" cm="1">
        <f t="array" aca="1" ref="EG44" ca="1">IF((COND_INTERSTICIAL[[#This Row],[Capa]]=N_capas)+(COND_INTERSTICIAL[[#This Row],[tramo gráf]]=COUNTIFS(COND_INTERSTICIAL[agua líquida],TRUE,COND_INTERSTICIAL[Mes],CW44,COND_INTERSTICIAL[Sección],CX44)+1),N_capas,INDEX(COND_INTERSTICIAL[capa lím inf gráf],MATCH(COND_INTERSTICIAL[[#This Row],[Mes]]&amp;"-"&amp;COND_INTERSTICIAL[[#This Row],[Sección]]&amp;"-"&amp;(COND_INTERSTICIAL[[#This Row],[tramo gráf]]+1),COND_INTERSTICIAL[llave tramo gráf],0)))</f>
        <v>#N/A</v>
      </c>
      <c r="EH44" s="114" cm="1">
        <f t="array" aca="1" ref="EH4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4" s="116" t="e" cm="1">
        <f t="array" aca="1" ref="EI4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44">
        <f t="shared" si="0"/>
        <v>7</v>
      </c>
      <c r="EM44">
        <f t="shared" si="1"/>
        <v>1</v>
      </c>
      <c r="EN44">
        <f>ROW()-ROW(INDEX(COND_INTERSTICIAL_GRÁF[],1,1))</f>
        <v>19</v>
      </c>
      <c r="EO44" t="str">
        <f>COND_INTERSTICIAL_GRÁF[[#This Row],[Mes]]&amp;"-"&amp;COND_INTERSTICIAL_GRÁF[[#This Row],[Sección]]&amp;"-"&amp;COND_INTERSTICIAL_GRÁF[[#This Row],[Capa]]</f>
        <v>7-1-19</v>
      </c>
      <c r="EP44" t="str">
        <f>"Capa "&amp;COND_INTERSTICIAL_GRÁF[[#This Row],[Capa]]&amp;": "&amp;IFERROR(INDEX(SECCIONES_CAPAS[Abreviatura],MATCH(COND_INTERSTICIAL_GRÁF[[#This Row],[Sección]]&amp;"-"&amp;COND_INTERSTICIAL_GRÁF[[#This Row],[Capa]],SECCIONES_CAPAS[llave],0)),"")</f>
        <v xml:space="preserve">Capa 19: </v>
      </c>
      <c r="EQ44" t="e">
        <f>IFERROR(IF(COND_INTERSTICIAL_GRÁF[[#This Row],[Capa]]=0,0,INDEX(SECCIONES_CAPAS[d],MATCH(COND_INTERSTICIAL_GRÁF[[#This Row],[Sección]]&amp;"-"&amp;COND_INTERSTICIAL_GRÁF[[#This Row],[Capa]],SECCIONES_CAPAS[llave],0))),NA())</f>
        <v>#N/A</v>
      </c>
      <c r="ER44" t="e">
        <f>IFERROR(IF(COND_INTERSTICIAL_GRÁF[[#This Row],[Capa]]=0,0,INDEX(SECCIONES_CAPAS[d''],MATCH(COND_INTERSTICIAL_GRÁF[[#This Row],[Sección]]&amp;"-"&amp;COND_INTERSTICIAL_GRÁF[[#This Row],[Capa]],SECCIONES_CAPAS[llave],0))),NA())</f>
        <v>#N/A</v>
      </c>
      <c r="ES44" s="377" t="e" cm="1">
        <f t="array" ref="ES44">COND_INTERSTICIAL_GRÁF[[#This Row],[d'']]/INDEX(SECCIONES[d''],COND_INTERSTICIAL_GRÁF[[#This Row],[Sección]])</f>
        <v>#N/A</v>
      </c>
      <c r="ET44" t="e" cm="1">
        <f t="array" ref="ET44">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44" s="90" t="e" cm="1">
        <f t="array" ref="EU44">IFERROR(IF(capa_interior_μ_inf,NA(),6.54+14.526*LN(COND_INTERSTICIAL_GRÁF[[#This Row],[Pn]]/1000)+0.7389*LN(COND_INTERSTICIAL_GRÁF[[#This Row],[Pn]]/1000)^2+0.09486*LN(COND_INTERSTICIAL_GRÁF[[#This Row],[Pn]]/1000)^3+0.4569*(COND_INTERSTICIAL_GRÁF[[#This Row],[Pn]]/1000)^0.1984),NA())</f>
        <v>#N/A</v>
      </c>
      <c r="EV44" t="e">
        <f>IFERROR(IF(COND_INTERSTICIAL_GRÁF[[#This Row],[Capa]]=0,0,INDEX(COND_INTERSTICIAL[Sd],MATCH(COND_INTERSTICIAL_GRÁF[[#This Row],[llave capa]],COND_INTERSTICIAL[llave capa],0))),NA())</f>
        <v>#N/A</v>
      </c>
      <c r="EW44" s="90" t="e">
        <f>IFERROR(IF(COND_INTERSTICIAL_GRÁF[[#This Row],[Capa]]=0,0,INDEX(COND_INTERSTICIAL[S''d],MATCH(COND_INTERSTICIAL_GRÁF[[#This Row],[llave capa]],COND_INTERSTICIAL[llave capa],0))),NA())</f>
        <v>#N/A</v>
      </c>
      <c r="EX44" s="377" t="e" cm="1">
        <f t="array" ref="EX44">COND_INTERSTICIAL_GRÁF[[#This Row],[S''d]]/INDEX(SECCIONES[SdT],Gráf_sección)</f>
        <v>#N/A</v>
      </c>
      <c r="EY44" s="90" t="e" cm="1">
        <f t="array" ref="EY44">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44" s="107">
        <f>IFERROR(INDEX(COND_INTERSTICIAL[Ma],MATCH(COND_INTERSTICIAL_GRÁF[[#This Row],[llave capa]],COND_INTERSTICIAL[llave capa],0)),0)</f>
        <v>0</v>
      </c>
      <c r="FA44" s="90" t="b">
        <f>IF(COND_INTERSTICIAL_GRÁF[[#This Row],[Ma]]&gt;0,TRUE,FALSE)</f>
        <v>0</v>
      </c>
      <c r="FB44" s="90" t="str">
        <f>"Interfaz "&amp;COND_INTERSTICIAL_GRÁF[[#This Row],[Capa]]</f>
        <v>Interfaz 19</v>
      </c>
      <c r="FC44" s="90" t="e">
        <f>IF(COND_INTERSTICIAL_GRÁF[[#This Row],[agua líquida]],COND_INTERSTICIAL_GRÁF[[#This Row],[Psat]],NA())</f>
        <v>#N/A</v>
      </c>
      <c r="FD44" s="90" t="e" cm="1">
        <f t="array" ref="FD44">IFERROR(IF(COND_INTERSTICIAL_GRÁF[[#This Row],[Capa]]=0,INDEX(CLIMA[Pe],COND_INTERSTICIAL_GRÁF[[#This Row],[Mes]]),INDEX(COND_INTERSTICIAL[Pn],MATCH(COND_INTERSTICIAL_GRÁF[[#This Row],[llave capa]],COND_INTERSTICIAL[llave capa],0))),NA())</f>
        <v>#N/A</v>
      </c>
      <c r="FE44" s="90" t="e" cm="1">
        <f t="array" ref="FE44">IFERROR(IF(capa_interior_μ_inf,NA(),IF(COND_INTERSTICIAL_GRÁF[[#This Row],[Capa]]=0,INDEX(CLIMA[Pe],COND_INTERSTICIAL_GRÁF[[#This Row],[Mes]]),INDEX(COND_INTERSTICIAL[Pn gráf],MATCH(COND_INTERSTICIAL_GRÁF[[#This Row],[llave capa]],COND_INTERSTICIAL[llave capa],0)))),NA())</f>
        <v>#N/A</v>
      </c>
      <c r="GD44" s="11" t="s">
        <v>1445</v>
      </c>
      <c r="GE44">
        <f>Anexo!$R$16</f>
        <v>3</v>
      </c>
      <c r="GF44" t="s">
        <v>135</v>
      </c>
      <c r="GH44" s="12"/>
    </row>
    <row r="45" spans="32:190" ht="14.65" thickBot="1" x14ac:dyDescent="0.5">
      <c r="AF45" t="s">
        <v>1635</v>
      </c>
      <c r="AH45" cm="1">
        <f t="array" ref="AH45">IFERROR(
  CHOOSE(método_acreditación_transmitancia,
    IF((IF(contacto_terreno,U_wg_b,U_corregida)&lt;=exigencia_térmica)*(error_máximo_relativo&lt;=error_máximo_relativo_admisible),1,0),
    IF(R_100&gt;=exigencia_térmica,1,0),
    IF(U_usuario&lt;exigencia_térmica,1,0),
    IF(U_usuario&lt;exigencia_térmica,1,0)
  ),
0)</f>
        <v>0</v>
      </c>
      <c r="CD45" s="1"/>
      <c r="CE45" s="1"/>
      <c r="CF45" s="90"/>
      <c r="CG45" s="90"/>
      <c r="CH45" s="90"/>
      <c r="CI45" s="90"/>
      <c r="CJ45" s="90"/>
      <c r="CW45" s="1" cm="1">
        <f t="array" ref="CW45">ROUNDUP((ROW()-$CN$18+(Mes_inicial_de_análisis-1)*N_capas*N_secciones)/(N_capas*N_secciones),0)-12*IF(ROW()-$CN$18&gt;(12-Mes_inicial_de_análisis+1)*N_capas*N_secciones,1,0)</f>
        <v>8</v>
      </c>
      <c r="CX45" cm="1">
        <f t="array" ref="CX45">ROUNDUP((ROW()-$CN$18)/N_capas-(ROUNDUP((ROW()-$CN$18)/(N_capas*N_secciones),0)-1)*N_secciones,0)</f>
        <v>2</v>
      </c>
      <c r="CY45" cm="1">
        <f t="array" ref="CY45">(ROW()-$CN$18)-(COND_INTERSTICIAL[[#This Row],[Sección]]-1)*N_capas-(ROUNDUP((ROW()-$CN$18)/(N_capas*N_secciones),0)-1)*N_capas*N_secciones</f>
        <v>5</v>
      </c>
      <c r="CZ45" t="str">
        <f>COND_INTERSTICIAL[[#This Row],[Mes]]&amp;"-"&amp;COND_INTERSTICIAL[[#This Row],[Sección]]&amp;"-"&amp;COND_INTERSTICIAL[[#This Row],[Capa]]</f>
        <v>8-2-5</v>
      </c>
      <c r="DA45">
        <f ca="1">INDEX(SECCIONES_CAPAS[R''n],MATCH(COND_INTERSTICIAL[[#This Row],[Sección]]&amp;"-"&amp;COND_INTERSTICIAL[[#This Row],[Capa]],SECCIONES_CAPAS[llave],0))</f>
        <v>0.04</v>
      </c>
      <c r="DB45" s="172" t="e" cm="1">
        <f t="array" aca="1" ref="DB45" ca="1">INDEX(CLIMA[ϴe],COND_INTERSTICIAL[[#This Row],[Mes]])+COND_INTERSTICIAL[[#This Row],[Rn]]*(INDEX(CLIMA[ϴi],COND_INTERSTICIAL[[#This Row],[Mes]])-INDEX(CLIMA[ϴe],COND_INTERSTICIAL[[#This Row],[Mes]]))/(INDEX(SECCIONES[Rtsección_condensación],COND_INTERSTICIAL[[#This Row],[Sección]]))</f>
        <v>#N/A</v>
      </c>
      <c r="DC45">
        <f>INDEX(SECCIONES_CAPAS[Sd],MATCH(COND_INTERSTICIAL[[#This Row],[Sección]]&amp;"-"&amp;COND_INTERSTICIAL[[#This Row],[Capa]],SECCIONES_CAPAS[llave],0))</f>
        <v>0</v>
      </c>
      <c r="DD45">
        <f ca="1">INDEX(SECCIONES_CAPAS[S''d],MATCH(COND_INTERSTICIAL[[#This Row],[Sección]]&amp;"-"&amp;COND_INTERSTICIAL[[#This Row],[Capa]],SECCIONES_CAPAS[llave],0))</f>
        <v>0</v>
      </c>
      <c r="DE45" s="90" t="e">
        <f ca="1">IF(COND_INTERSTICIAL[[#This Row],[ϴn]]&gt;=0,610.5*EXP((17.269*COND_INTERSTICIAL[[#This Row],[ϴn]])/(237.3+COND_INTERSTICIAL[[#This Row],[ϴn]])),610.5*EXP((21.875*COND_INTERSTICIAL[[#This Row],[ϴn]])/(265.5+COND_INTERSTICIAL[[#This Row],[ϴn]])))</f>
        <v>#N/A</v>
      </c>
      <c r="DF45" s="90" t="e" cm="1">
        <f t="array" aca="1" ref="DF45" ca="1">COND_INTERSTICIAL[[#This Row],[S''d]]*((INDEX(CLIMA[Pi],COND_INTERSTICIAL[[#This Row],[Mes]])-INDEX(CLIMA[Pe],COND_INTERSTICIAL[[#This Row],[Mes]]))/INDEX(SECCIONES[SdT],COND_INTERSTICIAL[[#This Row],[Sección]]))+INDEX(CLIMA[Pe],COND_INTERSTICIAL[[#This Row],[Mes]])</f>
        <v>#N/A</v>
      </c>
      <c r="DG45" s="108" t="e">
        <f ca="1">IF((COND_INTERSTICIAL[[#This Row],[Pn]]&gt;=COND_INTERSTICIAL[[#This Row],[Psat]]),TRUE,FALSE)</f>
        <v>#N/A</v>
      </c>
      <c r="DH45" s="109" t="e" cm="1">
        <f t="array" aca="1" ref="DH45" ca="1">IF(COND_INTERSTICIAL[[#This Row],[Condensa]],COND_INTERSTICIAL[[#This Row],[Psat]],IF(COND_INTERSTICIAL[[#This Row],[Capa]]=N_capas,COND_INTERSTICIAL[[#This Row],[Pn]],""))</f>
        <v>#N/A</v>
      </c>
      <c r="DI45" s="109" t="e">
        <f ca="1">COND_INTERSTICIAL[[#This Row],[Mes]]&amp;"-"&amp;COND_INTERSTICIAL[[#This Row],[Sección]]&amp;"-"&amp;COND_INTERSTICIAL[[#This Row],[tramo cond]]</f>
        <v>#N/A</v>
      </c>
      <c r="DJ45" t="e" cm="1">
        <f t="array" aca="1" ref="DJ45" ca="1">IF(COND_INTERSTICIAL[[#This Row],[Capa]]=1,IF(COND_INTERSTICIAL[[#This Row],[Condensa]],2,1),IF(COND_INTERSTICIAL[[#This Row],[Condensa]],1,0)+INDIRECT(ADDRESS(ROW()-1,COLUMN(),4)))</f>
        <v>#N/A</v>
      </c>
      <c r="DK45" s="108" t="e" cm="1">
        <f t="array" aca="1" ref="DK45" ca="1">IF(COND_INTERSTICIAL[[#This Row],[tramo cond]]=1,0,IF((COND_INTERSTICIAL[[#This Row],[tramo cond]]&gt;INDIRECT(ADDRESS(ROW()-1,COLUMN(COND_INTERSTICIAL[[#This Row],[tramo cond]]),4)))+COND_INTERSTICIAL[[#This Row],[Condensa]],COND_INTERSTICIAL[[#This Row],[Capa]],INDIRECT(ADDRESS(ROW()-1,COLUMN(),4))))</f>
        <v>#N/A</v>
      </c>
      <c r="DL45" s="108" t="e" cm="1">
        <f t="array" aca="1" ref="DL45" ca="1">IF((COND_INTERSTICIAL[[#This Row],[Capa]]=N_capas)+(COND_INTERSTICIAL[[#This Row],[tramo cond]]=COUNTIFS(COND_INTERSTICIAL[Condensa],TRUE,COND_INTERSTICIAL[Mes],CW45,COND_INTERSTICIAL[Sección],CX45)+1),N_capas,INDEX(COND_INTERSTICIAL[capa lím inf cond],MATCH(COND_INTERSTICIAL[[#This Row],[Mes]]&amp;"-"&amp;COND_INTERSTICIAL[[#This Row],[Sección]]&amp;"-"&amp;(COND_INTERSTICIAL[[#This Row],[tramo cond]]+1),COND_INTERSTICIAL[llave tramo cond],0)))</f>
        <v>#N/A</v>
      </c>
      <c r="DM45" s="108" cm="1">
        <f t="array" aca="1" ref="DM4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5" s="110" t="e" cm="1">
        <f t="array" aca="1" ref="DN4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45" s="107" t="e">
        <f ca="1">COND_INTERSTICIAL[[#This Row],[gc]]+COND_INTERSTICIAL[[#This Row],[Ma_anterior cond]]</f>
        <v>#N/A</v>
      </c>
      <c r="DQ45" s="113" t="e">
        <f ca="1">IF((COND_INTERSTICIAL[[#This Row],[Ma_anterior cond]]&gt;0)*NOT(COND_INTERSTICIAL[[#This Row],[Condensa]]),TRUE,FALSE)</f>
        <v>#DIV/0!</v>
      </c>
      <c r="DR45" s="112" t="e" cm="1">
        <f t="array" aca="1" ref="DR45" ca="1">IF(COND_INTERSTICIAL[[#This Row],[evapora]],COND_INTERSTICIAL[[#This Row],[Psat]],IF(COND_INTERSTICIAL[[#This Row],[Capa]]=N_capas,COND_INTERSTICIAL[[#This Row],[Pn]],""))</f>
        <v>#DIV/0!</v>
      </c>
      <c r="DS45" s="112" t="e">
        <f ca="1">COND_INTERSTICIAL[[#This Row],[Mes]]&amp;"-"&amp;COND_INTERSTICIAL[[#This Row],[Sección]]&amp;"-"&amp;COND_INTERSTICIAL[[#This Row],[tramo ev]]</f>
        <v>#DIV/0!</v>
      </c>
      <c r="DT45" s="111" t="e" cm="1">
        <f t="array" aca="1" ref="DT45" ca="1">IF(COND_INTERSTICIAL[[#This Row],[Capa]]=1,IF(COND_INTERSTICIAL[[#This Row],[evapora]],2,1),IF(COND_INTERSTICIAL[[#This Row],[evapora]],1,0)+INDIRECT(ADDRESS(ROW()-1,COLUMN(),4)))</f>
        <v>#DIV/0!</v>
      </c>
      <c r="DU45" s="111" t="e" cm="1">
        <f t="array" aca="1" ref="DU45" ca="1">IF(COND_INTERSTICIAL[[#This Row],[tramo ev]]=1,0,IF((COND_INTERSTICIAL[[#This Row],[tramo ev]]&gt;INDIRECT(ADDRESS(ROW()-1,COLUMN(COND_INTERSTICIAL[[#This Row],[tramo ev]]),4)))+COND_INTERSTICIAL[[#This Row],[evapora]],COND_INTERSTICIAL[[#This Row],[Capa]],INDIRECT(ADDRESS(ROW()-1,COLUMN(),4))))</f>
        <v>#DIV/0!</v>
      </c>
      <c r="DV45" s="111" t="e" cm="1">
        <f t="array" aca="1" ref="DV45" ca="1">IF((COND_INTERSTICIAL[[#This Row],[Capa]]=N_capas)+(COND_INTERSTICIAL[[#This Row],[tramo ev]]=COUNTIFS(COND_INTERSTICIAL[evapora],TRUE,COND_INTERSTICIAL[Mes],CW45,COND_INTERSTICIAL[Sección],CX45)+1),N_capas,INDEX(COND_INTERSTICIAL[capa lím inf ev],MATCH(COND_INTERSTICIAL[[#This Row],[Mes]]&amp;"-"&amp;COND_INTERSTICIAL[[#This Row],[Sección]]&amp;"-"&amp;(COND_INTERSTICIAL[[#This Row],[tramo ev]]+1),COND_INTERSTICIAL[llave tramo ev],0)))</f>
        <v>#DIV/0!</v>
      </c>
      <c r="DW45" s="111" cm="1">
        <f t="array" aca="1" ref="DW4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5" s="113" t="e" cm="1">
        <f t="array" aca="1" ref="DX4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4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5" s="113" t="e">
        <f ca="1">COND_INTERSTICIAL[[#This Row],[gev]]+COND_INTERSTICIAL[[#This Row],[Ma anterior ev]]</f>
        <v>#DIV/0!</v>
      </c>
      <c r="EA45" s="115" t="e">
        <f ca="1">IF(COND_INTERSTICIAL[[#This Row],[Ma cond]]+COND_INTERSTICIAL[[#This Row],[Ma ev]]&lt;=0,0,COND_INTERSTICIAL[[#This Row],[Ma cond]]+COND_INTERSTICIAL[[#This Row],[Ma ev]])</f>
        <v>#N/A</v>
      </c>
      <c r="EB45" s="115" t="e">
        <f ca="1">IF(COND_INTERSTICIAL[[#This Row],[Ma]]&gt;0,TRUE,FALSE)</f>
        <v>#N/A</v>
      </c>
      <c r="EC45" s="115" t="e" cm="1">
        <f t="array" aca="1" ref="EC45" ca="1">IF(COND_INTERSTICIAL[[#This Row],[agua líquida]],IF(COND_INTERSTICIAL[[#This Row],[Condensa]],COND_INTERSTICIAL[[#This Row],[P límite cond]],COND_INTERSTICIAL[[#This Row],[P límite ev]]),IF(COND_INTERSTICIAL[[#This Row],[Capa]]=N_capas,COND_INTERSTICIAL[[#This Row],[Pn]],""))</f>
        <v>#N/A</v>
      </c>
      <c r="ED45" s="115" t="e">
        <f ca="1">COND_INTERSTICIAL[[#This Row],[Mes]]&amp;"-"&amp;COND_INTERSTICIAL[[#This Row],[Sección]]&amp;"-"&amp;COND_INTERSTICIAL[[#This Row],[tramo gráf]]</f>
        <v>#N/A</v>
      </c>
      <c r="EE45" s="114" t="e" cm="1">
        <f t="array" aca="1" ref="EE45" ca="1">IF(COND_INTERSTICIAL[[#This Row],[Capa]]=1,IF(COND_INTERSTICIAL[[#This Row],[agua líquida]],2,1),IF(COND_INTERSTICIAL[[#This Row],[agua líquida]],1,0)+INDIRECT(ADDRESS(ROW()-1,COLUMN(),4)))</f>
        <v>#N/A</v>
      </c>
      <c r="EF45" s="114" t="e" cm="1">
        <f t="array" aca="1" ref="EF45" ca="1">IF(COND_INTERSTICIAL[[#This Row],[tramo gráf]]=1,0,IF((COND_INTERSTICIAL[[#This Row],[tramo gráf]]&gt;INDIRECT(ADDRESS(ROW()-1,COLUMN(COND_INTERSTICIAL[[#This Row],[tramo gráf]]),4)))+COND_INTERSTICIAL[[#This Row],[agua líquida]],COND_INTERSTICIAL[[#This Row],[Capa]],INDIRECT(ADDRESS(ROW()-1,COLUMN(),4))))</f>
        <v>#N/A</v>
      </c>
      <c r="EG45" s="114" t="e" cm="1">
        <f t="array" aca="1" ref="EG45" ca="1">IF((COND_INTERSTICIAL[[#This Row],[Capa]]=N_capas)+(COND_INTERSTICIAL[[#This Row],[tramo gráf]]=COUNTIFS(COND_INTERSTICIAL[agua líquida],TRUE,COND_INTERSTICIAL[Mes],CW45,COND_INTERSTICIAL[Sección],CX45)+1),N_capas,INDEX(COND_INTERSTICIAL[capa lím inf gráf],MATCH(COND_INTERSTICIAL[[#This Row],[Mes]]&amp;"-"&amp;COND_INTERSTICIAL[[#This Row],[Sección]]&amp;"-"&amp;(COND_INTERSTICIAL[[#This Row],[tramo gráf]]+1),COND_INTERSTICIAL[llave tramo gráf],0)))</f>
        <v>#N/A</v>
      </c>
      <c r="EH45" s="114" cm="1">
        <f t="array" aca="1" ref="EH4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5" s="116" t="e" cm="1">
        <f t="array" aca="1" ref="EI4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45">
        <f t="shared" si="0"/>
        <v>7</v>
      </c>
      <c r="EM45">
        <f t="shared" si="1"/>
        <v>1</v>
      </c>
      <c r="EN45">
        <f>ROW()-ROW(INDEX(COND_INTERSTICIAL_GRÁF[],1,1))</f>
        <v>20</v>
      </c>
      <c r="EO45" t="str">
        <f>COND_INTERSTICIAL_GRÁF[[#This Row],[Mes]]&amp;"-"&amp;COND_INTERSTICIAL_GRÁF[[#This Row],[Sección]]&amp;"-"&amp;COND_INTERSTICIAL_GRÁF[[#This Row],[Capa]]</f>
        <v>7-1-20</v>
      </c>
      <c r="EP45" t="str">
        <f>"Capa "&amp;COND_INTERSTICIAL_GRÁF[[#This Row],[Capa]]&amp;": "&amp;IFERROR(INDEX(SECCIONES_CAPAS[Abreviatura],MATCH(COND_INTERSTICIAL_GRÁF[[#This Row],[Sección]]&amp;"-"&amp;COND_INTERSTICIAL_GRÁF[[#This Row],[Capa]],SECCIONES_CAPAS[llave],0)),"")</f>
        <v xml:space="preserve">Capa 20: </v>
      </c>
      <c r="EQ45" t="e">
        <f>IFERROR(IF(COND_INTERSTICIAL_GRÁF[[#This Row],[Capa]]=0,0,INDEX(SECCIONES_CAPAS[d],MATCH(COND_INTERSTICIAL_GRÁF[[#This Row],[Sección]]&amp;"-"&amp;COND_INTERSTICIAL_GRÁF[[#This Row],[Capa]],SECCIONES_CAPAS[llave],0))),NA())</f>
        <v>#N/A</v>
      </c>
      <c r="ER45" t="e">
        <f>IFERROR(IF(COND_INTERSTICIAL_GRÁF[[#This Row],[Capa]]=0,0,INDEX(SECCIONES_CAPAS[d''],MATCH(COND_INTERSTICIAL_GRÁF[[#This Row],[Sección]]&amp;"-"&amp;COND_INTERSTICIAL_GRÁF[[#This Row],[Capa]],SECCIONES_CAPAS[llave],0))),NA())</f>
        <v>#N/A</v>
      </c>
      <c r="ES45" s="377" t="e" cm="1">
        <f t="array" ref="ES45">COND_INTERSTICIAL_GRÁF[[#This Row],[d'']]/INDEX(SECCIONES[d''],COND_INTERSTICIAL_GRÁF[[#This Row],[Sección]])</f>
        <v>#N/A</v>
      </c>
      <c r="ET45" t="e" cm="1">
        <f t="array" ref="ET45">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45" s="90" t="e" cm="1">
        <f t="array" ref="EU45">IFERROR(IF(capa_interior_μ_inf,NA(),6.54+14.526*LN(COND_INTERSTICIAL_GRÁF[[#This Row],[Pn]]/1000)+0.7389*LN(COND_INTERSTICIAL_GRÁF[[#This Row],[Pn]]/1000)^2+0.09486*LN(COND_INTERSTICIAL_GRÁF[[#This Row],[Pn]]/1000)^3+0.4569*(COND_INTERSTICIAL_GRÁF[[#This Row],[Pn]]/1000)^0.1984),NA())</f>
        <v>#N/A</v>
      </c>
      <c r="EV45" t="e">
        <f>IFERROR(IF(COND_INTERSTICIAL_GRÁF[[#This Row],[Capa]]=0,0,INDEX(COND_INTERSTICIAL[Sd],MATCH(COND_INTERSTICIAL_GRÁF[[#This Row],[llave capa]],COND_INTERSTICIAL[llave capa],0))),NA())</f>
        <v>#N/A</v>
      </c>
      <c r="EW45" s="90" t="e">
        <f>IFERROR(IF(COND_INTERSTICIAL_GRÁF[[#This Row],[Capa]]=0,0,INDEX(COND_INTERSTICIAL[S''d],MATCH(COND_INTERSTICIAL_GRÁF[[#This Row],[llave capa]],COND_INTERSTICIAL[llave capa],0))),NA())</f>
        <v>#N/A</v>
      </c>
      <c r="EX45" s="377" t="e" cm="1">
        <f t="array" ref="EX45">COND_INTERSTICIAL_GRÁF[[#This Row],[S''d]]/INDEX(SECCIONES[SdT],Gráf_sección)</f>
        <v>#N/A</v>
      </c>
      <c r="EY45" s="90" t="e" cm="1">
        <f t="array" ref="EY45">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45" s="107">
        <f>IFERROR(INDEX(COND_INTERSTICIAL[Ma],MATCH(COND_INTERSTICIAL_GRÁF[[#This Row],[llave capa]],COND_INTERSTICIAL[llave capa],0)),0)</f>
        <v>0</v>
      </c>
      <c r="FA45" s="90" t="b">
        <f>IF(COND_INTERSTICIAL_GRÁF[[#This Row],[Ma]]&gt;0,TRUE,FALSE)</f>
        <v>0</v>
      </c>
      <c r="FB45" s="90" t="str">
        <f>"Interfaz "&amp;COND_INTERSTICIAL_GRÁF[[#This Row],[Capa]]</f>
        <v>Interfaz 20</v>
      </c>
      <c r="FC45" s="90" t="e">
        <f>IF(COND_INTERSTICIAL_GRÁF[[#This Row],[agua líquida]],COND_INTERSTICIAL_GRÁF[[#This Row],[Psat]],NA())</f>
        <v>#N/A</v>
      </c>
      <c r="FD45" s="90" t="e" cm="1">
        <f t="array" ref="FD45">IFERROR(IF(COND_INTERSTICIAL_GRÁF[[#This Row],[Capa]]=0,INDEX(CLIMA[Pe],COND_INTERSTICIAL_GRÁF[[#This Row],[Mes]]),INDEX(COND_INTERSTICIAL[Pn],MATCH(COND_INTERSTICIAL_GRÁF[[#This Row],[llave capa]],COND_INTERSTICIAL[llave capa],0))),NA())</f>
        <v>#N/A</v>
      </c>
      <c r="FE45" s="90" t="e" cm="1">
        <f t="array" ref="FE45">IFERROR(IF(capa_interior_μ_inf,NA(),IF(COND_INTERSTICIAL_GRÁF[[#This Row],[Capa]]=0,INDEX(CLIMA[Pe],COND_INTERSTICIAL_GRÁF[[#This Row],[Mes]]),INDEX(COND_INTERSTICIAL[Pn gráf],MATCH(COND_INTERSTICIAL_GRÁF[[#This Row],[llave capa]],COND_INTERSTICIAL[llave capa],0)))),NA())</f>
        <v>#N/A</v>
      </c>
      <c r="GD45" s="11" t="s">
        <v>1457</v>
      </c>
      <c r="GE45">
        <f>ROUNDUP(GE28/(GE43+GE44),0)</f>
        <v>2</v>
      </c>
      <c r="GH45" s="12"/>
    </row>
    <row r="46" spans="32:190" ht="14.65" thickBot="1" x14ac:dyDescent="0.5">
      <c r="BY46" s="481" t="s">
        <v>374</v>
      </c>
      <c r="BZ46" s="482"/>
      <c r="CA46" s="483"/>
      <c r="CD46" s="1"/>
      <c r="CE46" s="1"/>
      <c r="CF46" s="90"/>
      <c r="CG46" s="90"/>
      <c r="CH46" s="90"/>
      <c r="CI46" s="90"/>
      <c r="CJ46" s="90"/>
      <c r="CW46" s="1" cm="1">
        <f t="array" ref="CW46">ROUNDUP((ROW()-$CN$18+(Mes_inicial_de_análisis-1)*N_capas*N_secciones)/(N_capas*N_secciones),0)-12*IF(ROW()-$CN$18&gt;(12-Mes_inicial_de_análisis+1)*N_capas*N_secciones,1,0)</f>
        <v>8</v>
      </c>
      <c r="CX46" cm="1">
        <f t="array" ref="CX46">ROUNDUP((ROW()-$CN$18)/N_capas-(ROUNDUP((ROW()-$CN$18)/(N_capas*N_secciones),0)-1)*N_secciones,0)</f>
        <v>2</v>
      </c>
      <c r="CY46" cm="1">
        <f t="array" ref="CY46">(ROW()-$CN$18)-(COND_INTERSTICIAL[[#This Row],[Sección]]-1)*N_capas-(ROUNDUP((ROW()-$CN$18)/(N_capas*N_secciones),0)-1)*N_capas*N_secciones</f>
        <v>6</v>
      </c>
      <c r="CZ46" t="str">
        <f>COND_INTERSTICIAL[[#This Row],[Mes]]&amp;"-"&amp;COND_INTERSTICIAL[[#This Row],[Sección]]&amp;"-"&amp;COND_INTERSTICIAL[[#This Row],[Capa]]</f>
        <v>8-2-6</v>
      </c>
      <c r="DA46">
        <f ca="1">INDEX(SECCIONES_CAPAS[R''n],MATCH(COND_INTERSTICIAL[[#This Row],[Sección]]&amp;"-"&amp;COND_INTERSTICIAL[[#This Row],[Capa]],SECCIONES_CAPAS[llave],0))</f>
        <v>0.04</v>
      </c>
      <c r="DB46" s="172" t="e" cm="1">
        <f t="array" aca="1" ref="DB46" ca="1">INDEX(CLIMA[ϴe],COND_INTERSTICIAL[[#This Row],[Mes]])+COND_INTERSTICIAL[[#This Row],[Rn]]*(INDEX(CLIMA[ϴi],COND_INTERSTICIAL[[#This Row],[Mes]])-INDEX(CLIMA[ϴe],COND_INTERSTICIAL[[#This Row],[Mes]]))/(INDEX(SECCIONES[Rtsección_condensación],COND_INTERSTICIAL[[#This Row],[Sección]]))</f>
        <v>#N/A</v>
      </c>
      <c r="DC46">
        <f>INDEX(SECCIONES_CAPAS[Sd],MATCH(COND_INTERSTICIAL[[#This Row],[Sección]]&amp;"-"&amp;COND_INTERSTICIAL[[#This Row],[Capa]],SECCIONES_CAPAS[llave],0))</f>
        <v>0</v>
      </c>
      <c r="DD46">
        <f ca="1">INDEX(SECCIONES_CAPAS[S''d],MATCH(COND_INTERSTICIAL[[#This Row],[Sección]]&amp;"-"&amp;COND_INTERSTICIAL[[#This Row],[Capa]],SECCIONES_CAPAS[llave],0))</f>
        <v>0</v>
      </c>
      <c r="DE46" s="90" t="e">
        <f ca="1">IF(COND_INTERSTICIAL[[#This Row],[ϴn]]&gt;=0,610.5*EXP((17.269*COND_INTERSTICIAL[[#This Row],[ϴn]])/(237.3+COND_INTERSTICIAL[[#This Row],[ϴn]])),610.5*EXP((21.875*COND_INTERSTICIAL[[#This Row],[ϴn]])/(265.5+COND_INTERSTICIAL[[#This Row],[ϴn]])))</f>
        <v>#N/A</v>
      </c>
      <c r="DF46" s="90" t="e" cm="1">
        <f t="array" aca="1" ref="DF46" ca="1">COND_INTERSTICIAL[[#This Row],[S''d]]*((INDEX(CLIMA[Pi],COND_INTERSTICIAL[[#This Row],[Mes]])-INDEX(CLIMA[Pe],COND_INTERSTICIAL[[#This Row],[Mes]]))/INDEX(SECCIONES[SdT],COND_INTERSTICIAL[[#This Row],[Sección]]))+INDEX(CLIMA[Pe],COND_INTERSTICIAL[[#This Row],[Mes]])</f>
        <v>#N/A</v>
      </c>
      <c r="DG46" s="108" t="e">
        <f ca="1">IF((COND_INTERSTICIAL[[#This Row],[Pn]]&gt;=COND_INTERSTICIAL[[#This Row],[Psat]]),TRUE,FALSE)</f>
        <v>#N/A</v>
      </c>
      <c r="DH46" s="109" t="e" cm="1">
        <f t="array" aca="1" ref="DH46" ca="1">IF(COND_INTERSTICIAL[[#This Row],[Condensa]],COND_INTERSTICIAL[[#This Row],[Psat]],IF(COND_INTERSTICIAL[[#This Row],[Capa]]=N_capas,COND_INTERSTICIAL[[#This Row],[Pn]],""))</f>
        <v>#N/A</v>
      </c>
      <c r="DI46" s="109" t="e">
        <f ca="1">COND_INTERSTICIAL[[#This Row],[Mes]]&amp;"-"&amp;COND_INTERSTICIAL[[#This Row],[Sección]]&amp;"-"&amp;COND_INTERSTICIAL[[#This Row],[tramo cond]]</f>
        <v>#N/A</v>
      </c>
      <c r="DJ46" t="e" cm="1">
        <f t="array" aca="1" ref="DJ46" ca="1">IF(COND_INTERSTICIAL[[#This Row],[Capa]]=1,IF(COND_INTERSTICIAL[[#This Row],[Condensa]],2,1),IF(COND_INTERSTICIAL[[#This Row],[Condensa]],1,0)+INDIRECT(ADDRESS(ROW()-1,COLUMN(),4)))</f>
        <v>#N/A</v>
      </c>
      <c r="DK46" s="108" t="e" cm="1">
        <f t="array" aca="1" ref="DK46" ca="1">IF(COND_INTERSTICIAL[[#This Row],[tramo cond]]=1,0,IF((COND_INTERSTICIAL[[#This Row],[tramo cond]]&gt;INDIRECT(ADDRESS(ROW()-1,COLUMN(COND_INTERSTICIAL[[#This Row],[tramo cond]]),4)))+COND_INTERSTICIAL[[#This Row],[Condensa]],COND_INTERSTICIAL[[#This Row],[Capa]],INDIRECT(ADDRESS(ROW()-1,COLUMN(),4))))</f>
        <v>#N/A</v>
      </c>
      <c r="DL46" s="108" t="e" cm="1">
        <f t="array" aca="1" ref="DL46" ca="1">IF((COND_INTERSTICIAL[[#This Row],[Capa]]=N_capas)+(COND_INTERSTICIAL[[#This Row],[tramo cond]]=COUNTIFS(COND_INTERSTICIAL[Condensa],TRUE,COND_INTERSTICIAL[Mes],CW46,COND_INTERSTICIAL[Sección],CX46)+1),N_capas,INDEX(COND_INTERSTICIAL[capa lím inf cond],MATCH(COND_INTERSTICIAL[[#This Row],[Mes]]&amp;"-"&amp;COND_INTERSTICIAL[[#This Row],[Sección]]&amp;"-"&amp;(COND_INTERSTICIAL[[#This Row],[tramo cond]]+1),COND_INTERSTICIAL[llave tramo cond],0)))</f>
        <v>#N/A</v>
      </c>
      <c r="DM46" s="108" cm="1">
        <f t="array" aca="1" ref="DM4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6" s="110" t="e" cm="1">
        <f t="array" aca="1" ref="DN4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46" s="107" t="e">
        <f ca="1">COND_INTERSTICIAL[[#This Row],[gc]]+COND_INTERSTICIAL[[#This Row],[Ma_anterior cond]]</f>
        <v>#N/A</v>
      </c>
      <c r="DQ46" s="113" t="e">
        <f ca="1">IF((COND_INTERSTICIAL[[#This Row],[Ma_anterior cond]]&gt;0)*NOT(COND_INTERSTICIAL[[#This Row],[Condensa]]),TRUE,FALSE)</f>
        <v>#DIV/0!</v>
      </c>
      <c r="DR46" s="112" t="e" cm="1">
        <f t="array" aca="1" ref="DR46" ca="1">IF(COND_INTERSTICIAL[[#This Row],[evapora]],COND_INTERSTICIAL[[#This Row],[Psat]],IF(COND_INTERSTICIAL[[#This Row],[Capa]]=N_capas,COND_INTERSTICIAL[[#This Row],[Pn]],""))</f>
        <v>#DIV/0!</v>
      </c>
      <c r="DS46" s="112" t="e">
        <f ca="1">COND_INTERSTICIAL[[#This Row],[Mes]]&amp;"-"&amp;COND_INTERSTICIAL[[#This Row],[Sección]]&amp;"-"&amp;COND_INTERSTICIAL[[#This Row],[tramo ev]]</f>
        <v>#DIV/0!</v>
      </c>
      <c r="DT46" s="111" t="e" cm="1">
        <f t="array" aca="1" ref="DT46" ca="1">IF(COND_INTERSTICIAL[[#This Row],[Capa]]=1,IF(COND_INTERSTICIAL[[#This Row],[evapora]],2,1),IF(COND_INTERSTICIAL[[#This Row],[evapora]],1,0)+INDIRECT(ADDRESS(ROW()-1,COLUMN(),4)))</f>
        <v>#DIV/0!</v>
      </c>
      <c r="DU46" s="111" t="e" cm="1">
        <f t="array" aca="1" ref="DU46" ca="1">IF(COND_INTERSTICIAL[[#This Row],[tramo ev]]=1,0,IF((COND_INTERSTICIAL[[#This Row],[tramo ev]]&gt;INDIRECT(ADDRESS(ROW()-1,COLUMN(COND_INTERSTICIAL[[#This Row],[tramo ev]]),4)))+COND_INTERSTICIAL[[#This Row],[evapora]],COND_INTERSTICIAL[[#This Row],[Capa]],INDIRECT(ADDRESS(ROW()-1,COLUMN(),4))))</f>
        <v>#DIV/0!</v>
      </c>
      <c r="DV46" s="111" t="e" cm="1">
        <f t="array" aca="1" ref="DV46" ca="1">IF((COND_INTERSTICIAL[[#This Row],[Capa]]=N_capas)+(COND_INTERSTICIAL[[#This Row],[tramo ev]]=COUNTIFS(COND_INTERSTICIAL[evapora],TRUE,COND_INTERSTICIAL[Mes],CW46,COND_INTERSTICIAL[Sección],CX46)+1),N_capas,INDEX(COND_INTERSTICIAL[capa lím inf ev],MATCH(COND_INTERSTICIAL[[#This Row],[Mes]]&amp;"-"&amp;COND_INTERSTICIAL[[#This Row],[Sección]]&amp;"-"&amp;(COND_INTERSTICIAL[[#This Row],[tramo ev]]+1),COND_INTERSTICIAL[llave tramo ev],0)))</f>
        <v>#DIV/0!</v>
      </c>
      <c r="DW46" s="111" cm="1">
        <f t="array" aca="1" ref="DW4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6" s="113" t="e" cm="1">
        <f t="array" aca="1" ref="DX4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4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6" s="113" t="e">
        <f ca="1">COND_INTERSTICIAL[[#This Row],[gev]]+COND_INTERSTICIAL[[#This Row],[Ma anterior ev]]</f>
        <v>#DIV/0!</v>
      </c>
      <c r="EA46" s="115" t="e">
        <f ca="1">IF(COND_INTERSTICIAL[[#This Row],[Ma cond]]+COND_INTERSTICIAL[[#This Row],[Ma ev]]&lt;=0,0,COND_INTERSTICIAL[[#This Row],[Ma cond]]+COND_INTERSTICIAL[[#This Row],[Ma ev]])</f>
        <v>#N/A</v>
      </c>
      <c r="EB46" s="115" t="e">
        <f ca="1">IF(COND_INTERSTICIAL[[#This Row],[Ma]]&gt;0,TRUE,FALSE)</f>
        <v>#N/A</v>
      </c>
      <c r="EC46" s="115" t="e" cm="1">
        <f t="array" aca="1" ref="EC46" ca="1">IF(COND_INTERSTICIAL[[#This Row],[agua líquida]],IF(COND_INTERSTICIAL[[#This Row],[Condensa]],COND_INTERSTICIAL[[#This Row],[P límite cond]],COND_INTERSTICIAL[[#This Row],[P límite ev]]),IF(COND_INTERSTICIAL[[#This Row],[Capa]]=N_capas,COND_INTERSTICIAL[[#This Row],[Pn]],""))</f>
        <v>#N/A</v>
      </c>
      <c r="ED46" s="115" t="e">
        <f ca="1">COND_INTERSTICIAL[[#This Row],[Mes]]&amp;"-"&amp;COND_INTERSTICIAL[[#This Row],[Sección]]&amp;"-"&amp;COND_INTERSTICIAL[[#This Row],[tramo gráf]]</f>
        <v>#N/A</v>
      </c>
      <c r="EE46" s="114" t="e" cm="1">
        <f t="array" aca="1" ref="EE46" ca="1">IF(COND_INTERSTICIAL[[#This Row],[Capa]]=1,IF(COND_INTERSTICIAL[[#This Row],[agua líquida]],2,1),IF(COND_INTERSTICIAL[[#This Row],[agua líquida]],1,0)+INDIRECT(ADDRESS(ROW()-1,COLUMN(),4)))</f>
        <v>#N/A</v>
      </c>
      <c r="EF46" s="114" t="e" cm="1">
        <f t="array" aca="1" ref="EF46" ca="1">IF(COND_INTERSTICIAL[[#This Row],[tramo gráf]]=1,0,IF((COND_INTERSTICIAL[[#This Row],[tramo gráf]]&gt;INDIRECT(ADDRESS(ROW()-1,COLUMN(COND_INTERSTICIAL[[#This Row],[tramo gráf]]),4)))+COND_INTERSTICIAL[[#This Row],[agua líquida]],COND_INTERSTICIAL[[#This Row],[Capa]],INDIRECT(ADDRESS(ROW()-1,COLUMN(),4))))</f>
        <v>#N/A</v>
      </c>
      <c r="EG46" s="114" t="e" cm="1">
        <f t="array" aca="1" ref="EG46" ca="1">IF((COND_INTERSTICIAL[[#This Row],[Capa]]=N_capas)+(COND_INTERSTICIAL[[#This Row],[tramo gráf]]=COUNTIFS(COND_INTERSTICIAL[agua líquida],TRUE,COND_INTERSTICIAL[Mes],CW46,COND_INTERSTICIAL[Sección],CX46)+1),N_capas,INDEX(COND_INTERSTICIAL[capa lím inf gráf],MATCH(COND_INTERSTICIAL[[#This Row],[Mes]]&amp;"-"&amp;COND_INTERSTICIAL[[#This Row],[Sección]]&amp;"-"&amp;(COND_INTERSTICIAL[[#This Row],[tramo gráf]]+1),COND_INTERSTICIAL[llave tramo gráf],0)))</f>
        <v>#N/A</v>
      </c>
      <c r="EH46" s="114" cm="1">
        <f t="array" aca="1" ref="EH4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6" s="116" t="e" cm="1">
        <f t="array" aca="1" ref="EI4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FE46" s="90"/>
      <c r="GD46" s="11" t="s">
        <v>1458</v>
      </c>
      <c r="GE46">
        <f>GE45*GE43*(GE29-GE40)</f>
        <v>1.3199999999999998</v>
      </c>
      <c r="GF46" t="s">
        <v>229</v>
      </c>
      <c r="GH46" s="12"/>
    </row>
    <row r="47" spans="32:190" ht="14.65" thickBot="1" x14ac:dyDescent="0.5">
      <c r="AF47" s="26" t="s">
        <v>361</v>
      </c>
      <c r="AG47" s="179" t="s">
        <v>362</v>
      </c>
      <c r="AH47" s="27">
        <f>ΔUg+ΔUf+ΔUr</f>
        <v>0</v>
      </c>
      <c r="AI47" s="28" t="s">
        <v>348</v>
      </c>
      <c r="BY47" t="s">
        <v>1393</v>
      </c>
      <c r="BZ47" t="e">
        <f ca="1">SUMIF(COND_INTERSTICIAL_AGUA_ACUMULADA[orden],12,COND_INTERSTICIAL_AGUA_ACUMULADA[agua acumulada])</f>
        <v>#N/A</v>
      </c>
      <c r="CD47" s="1"/>
      <c r="CE47" s="1"/>
      <c r="CF47" s="90"/>
      <c r="CG47" s="90"/>
      <c r="CH47" s="90"/>
      <c r="CI47" s="90"/>
      <c r="CJ47" s="90"/>
      <c r="CW47" s="1" cm="1">
        <f t="array" ref="CW47">ROUNDUP((ROW()-$CN$18+(Mes_inicial_de_análisis-1)*N_capas*N_secciones)/(N_capas*N_secciones),0)-12*IF(ROW()-$CN$18&gt;(12-Mes_inicial_de_análisis+1)*N_capas*N_secciones,1,0)</f>
        <v>8</v>
      </c>
      <c r="CX47" cm="1">
        <f t="array" ref="CX47">ROUNDUP((ROW()-$CN$18)/N_capas-(ROUNDUP((ROW()-$CN$18)/(N_capas*N_secciones),0)-1)*N_secciones,0)</f>
        <v>2</v>
      </c>
      <c r="CY47" cm="1">
        <f t="array" ref="CY47">(ROW()-$CN$18)-(COND_INTERSTICIAL[[#This Row],[Sección]]-1)*N_capas-(ROUNDUP((ROW()-$CN$18)/(N_capas*N_secciones),0)-1)*N_capas*N_secciones</f>
        <v>7</v>
      </c>
      <c r="CZ47" t="str">
        <f>COND_INTERSTICIAL[[#This Row],[Mes]]&amp;"-"&amp;COND_INTERSTICIAL[[#This Row],[Sección]]&amp;"-"&amp;COND_INTERSTICIAL[[#This Row],[Capa]]</f>
        <v>8-2-7</v>
      </c>
      <c r="DA47">
        <f ca="1">INDEX(SECCIONES_CAPAS[R''n],MATCH(COND_INTERSTICIAL[[#This Row],[Sección]]&amp;"-"&amp;COND_INTERSTICIAL[[#This Row],[Capa]],SECCIONES_CAPAS[llave],0))</f>
        <v>0.04</v>
      </c>
      <c r="DB47" s="172" t="e" cm="1">
        <f t="array" aca="1" ref="DB47" ca="1">INDEX(CLIMA[ϴe],COND_INTERSTICIAL[[#This Row],[Mes]])+COND_INTERSTICIAL[[#This Row],[Rn]]*(INDEX(CLIMA[ϴi],COND_INTERSTICIAL[[#This Row],[Mes]])-INDEX(CLIMA[ϴe],COND_INTERSTICIAL[[#This Row],[Mes]]))/(INDEX(SECCIONES[Rtsección_condensación],COND_INTERSTICIAL[[#This Row],[Sección]]))</f>
        <v>#N/A</v>
      </c>
      <c r="DC47">
        <f>INDEX(SECCIONES_CAPAS[Sd],MATCH(COND_INTERSTICIAL[[#This Row],[Sección]]&amp;"-"&amp;COND_INTERSTICIAL[[#This Row],[Capa]],SECCIONES_CAPAS[llave],0))</f>
        <v>0</v>
      </c>
      <c r="DD47">
        <f ca="1">INDEX(SECCIONES_CAPAS[S''d],MATCH(COND_INTERSTICIAL[[#This Row],[Sección]]&amp;"-"&amp;COND_INTERSTICIAL[[#This Row],[Capa]],SECCIONES_CAPAS[llave],0))</f>
        <v>0</v>
      </c>
      <c r="DE47" s="90" t="e">
        <f ca="1">IF(COND_INTERSTICIAL[[#This Row],[ϴn]]&gt;=0,610.5*EXP((17.269*COND_INTERSTICIAL[[#This Row],[ϴn]])/(237.3+COND_INTERSTICIAL[[#This Row],[ϴn]])),610.5*EXP((21.875*COND_INTERSTICIAL[[#This Row],[ϴn]])/(265.5+COND_INTERSTICIAL[[#This Row],[ϴn]])))</f>
        <v>#N/A</v>
      </c>
      <c r="DF47" s="90" t="e" cm="1">
        <f t="array" aca="1" ref="DF47" ca="1">COND_INTERSTICIAL[[#This Row],[S''d]]*((INDEX(CLIMA[Pi],COND_INTERSTICIAL[[#This Row],[Mes]])-INDEX(CLIMA[Pe],COND_INTERSTICIAL[[#This Row],[Mes]]))/INDEX(SECCIONES[SdT],COND_INTERSTICIAL[[#This Row],[Sección]]))+INDEX(CLIMA[Pe],COND_INTERSTICIAL[[#This Row],[Mes]])</f>
        <v>#N/A</v>
      </c>
      <c r="DG47" s="108" t="e">
        <f ca="1">IF((COND_INTERSTICIAL[[#This Row],[Pn]]&gt;=COND_INTERSTICIAL[[#This Row],[Psat]]),TRUE,FALSE)</f>
        <v>#N/A</v>
      </c>
      <c r="DH47" s="109" t="e" cm="1">
        <f t="array" aca="1" ref="DH47" ca="1">IF(COND_INTERSTICIAL[[#This Row],[Condensa]],COND_INTERSTICIAL[[#This Row],[Psat]],IF(COND_INTERSTICIAL[[#This Row],[Capa]]=N_capas,COND_INTERSTICIAL[[#This Row],[Pn]],""))</f>
        <v>#N/A</v>
      </c>
      <c r="DI47" s="109" t="e">
        <f ca="1">COND_INTERSTICIAL[[#This Row],[Mes]]&amp;"-"&amp;COND_INTERSTICIAL[[#This Row],[Sección]]&amp;"-"&amp;COND_INTERSTICIAL[[#This Row],[tramo cond]]</f>
        <v>#N/A</v>
      </c>
      <c r="DJ47" t="e" cm="1">
        <f t="array" aca="1" ref="DJ47" ca="1">IF(COND_INTERSTICIAL[[#This Row],[Capa]]=1,IF(COND_INTERSTICIAL[[#This Row],[Condensa]],2,1),IF(COND_INTERSTICIAL[[#This Row],[Condensa]],1,0)+INDIRECT(ADDRESS(ROW()-1,COLUMN(),4)))</f>
        <v>#N/A</v>
      </c>
      <c r="DK47" s="108" t="e" cm="1">
        <f t="array" aca="1" ref="DK47" ca="1">IF(COND_INTERSTICIAL[[#This Row],[tramo cond]]=1,0,IF((COND_INTERSTICIAL[[#This Row],[tramo cond]]&gt;INDIRECT(ADDRESS(ROW()-1,COLUMN(COND_INTERSTICIAL[[#This Row],[tramo cond]]),4)))+COND_INTERSTICIAL[[#This Row],[Condensa]],COND_INTERSTICIAL[[#This Row],[Capa]],INDIRECT(ADDRESS(ROW()-1,COLUMN(),4))))</f>
        <v>#N/A</v>
      </c>
      <c r="DL47" s="108" t="e" cm="1">
        <f t="array" aca="1" ref="DL47" ca="1">IF((COND_INTERSTICIAL[[#This Row],[Capa]]=N_capas)+(COND_INTERSTICIAL[[#This Row],[tramo cond]]=COUNTIFS(COND_INTERSTICIAL[Condensa],TRUE,COND_INTERSTICIAL[Mes],CW47,COND_INTERSTICIAL[Sección],CX47)+1),N_capas,INDEX(COND_INTERSTICIAL[capa lím inf cond],MATCH(COND_INTERSTICIAL[[#This Row],[Mes]]&amp;"-"&amp;COND_INTERSTICIAL[[#This Row],[Sección]]&amp;"-"&amp;(COND_INTERSTICIAL[[#This Row],[tramo cond]]+1),COND_INTERSTICIAL[llave tramo cond],0)))</f>
        <v>#N/A</v>
      </c>
      <c r="DM47" s="108" cm="1">
        <f t="array" aca="1" ref="DM4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7" s="110" t="e" cm="1">
        <f t="array" aca="1" ref="DN4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47" s="107" t="e">
        <f ca="1">COND_INTERSTICIAL[[#This Row],[gc]]+COND_INTERSTICIAL[[#This Row],[Ma_anterior cond]]</f>
        <v>#N/A</v>
      </c>
      <c r="DQ47" s="113" t="e">
        <f ca="1">IF((COND_INTERSTICIAL[[#This Row],[Ma_anterior cond]]&gt;0)*NOT(COND_INTERSTICIAL[[#This Row],[Condensa]]),TRUE,FALSE)</f>
        <v>#DIV/0!</v>
      </c>
      <c r="DR47" s="112" t="e" cm="1">
        <f t="array" aca="1" ref="DR47" ca="1">IF(COND_INTERSTICIAL[[#This Row],[evapora]],COND_INTERSTICIAL[[#This Row],[Psat]],IF(COND_INTERSTICIAL[[#This Row],[Capa]]=N_capas,COND_INTERSTICIAL[[#This Row],[Pn]],""))</f>
        <v>#DIV/0!</v>
      </c>
      <c r="DS47" s="112" t="e">
        <f ca="1">COND_INTERSTICIAL[[#This Row],[Mes]]&amp;"-"&amp;COND_INTERSTICIAL[[#This Row],[Sección]]&amp;"-"&amp;COND_INTERSTICIAL[[#This Row],[tramo ev]]</f>
        <v>#DIV/0!</v>
      </c>
      <c r="DT47" s="111" t="e" cm="1">
        <f t="array" aca="1" ref="DT47" ca="1">IF(COND_INTERSTICIAL[[#This Row],[Capa]]=1,IF(COND_INTERSTICIAL[[#This Row],[evapora]],2,1),IF(COND_INTERSTICIAL[[#This Row],[evapora]],1,0)+INDIRECT(ADDRESS(ROW()-1,COLUMN(),4)))</f>
        <v>#DIV/0!</v>
      </c>
      <c r="DU47" s="111" t="e" cm="1">
        <f t="array" aca="1" ref="DU47" ca="1">IF(COND_INTERSTICIAL[[#This Row],[tramo ev]]=1,0,IF((COND_INTERSTICIAL[[#This Row],[tramo ev]]&gt;INDIRECT(ADDRESS(ROW()-1,COLUMN(COND_INTERSTICIAL[[#This Row],[tramo ev]]),4)))+COND_INTERSTICIAL[[#This Row],[evapora]],COND_INTERSTICIAL[[#This Row],[Capa]],INDIRECT(ADDRESS(ROW()-1,COLUMN(),4))))</f>
        <v>#DIV/0!</v>
      </c>
      <c r="DV47" s="111" t="e" cm="1">
        <f t="array" aca="1" ref="DV47" ca="1">IF((COND_INTERSTICIAL[[#This Row],[Capa]]=N_capas)+(COND_INTERSTICIAL[[#This Row],[tramo ev]]=COUNTIFS(COND_INTERSTICIAL[evapora],TRUE,COND_INTERSTICIAL[Mes],CW47,COND_INTERSTICIAL[Sección],CX47)+1),N_capas,INDEX(COND_INTERSTICIAL[capa lím inf ev],MATCH(COND_INTERSTICIAL[[#This Row],[Mes]]&amp;"-"&amp;COND_INTERSTICIAL[[#This Row],[Sección]]&amp;"-"&amp;(COND_INTERSTICIAL[[#This Row],[tramo ev]]+1),COND_INTERSTICIAL[llave tramo ev],0)))</f>
        <v>#DIV/0!</v>
      </c>
      <c r="DW47" s="111" cm="1">
        <f t="array" aca="1" ref="DW4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7" s="113" t="e" cm="1">
        <f t="array" aca="1" ref="DX4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4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7" s="113" t="e">
        <f ca="1">COND_INTERSTICIAL[[#This Row],[gev]]+COND_INTERSTICIAL[[#This Row],[Ma anterior ev]]</f>
        <v>#DIV/0!</v>
      </c>
      <c r="EA47" s="115" t="e">
        <f ca="1">IF(COND_INTERSTICIAL[[#This Row],[Ma cond]]+COND_INTERSTICIAL[[#This Row],[Ma ev]]&lt;=0,0,COND_INTERSTICIAL[[#This Row],[Ma cond]]+COND_INTERSTICIAL[[#This Row],[Ma ev]])</f>
        <v>#N/A</v>
      </c>
      <c r="EB47" s="115" t="e">
        <f ca="1">IF(COND_INTERSTICIAL[[#This Row],[Ma]]&gt;0,TRUE,FALSE)</f>
        <v>#N/A</v>
      </c>
      <c r="EC47" s="115" t="e" cm="1">
        <f t="array" aca="1" ref="EC47" ca="1">IF(COND_INTERSTICIAL[[#This Row],[agua líquida]],IF(COND_INTERSTICIAL[[#This Row],[Condensa]],COND_INTERSTICIAL[[#This Row],[P límite cond]],COND_INTERSTICIAL[[#This Row],[P límite ev]]),IF(COND_INTERSTICIAL[[#This Row],[Capa]]=N_capas,COND_INTERSTICIAL[[#This Row],[Pn]],""))</f>
        <v>#N/A</v>
      </c>
      <c r="ED47" s="115" t="e">
        <f ca="1">COND_INTERSTICIAL[[#This Row],[Mes]]&amp;"-"&amp;COND_INTERSTICIAL[[#This Row],[Sección]]&amp;"-"&amp;COND_INTERSTICIAL[[#This Row],[tramo gráf]]</f>
        <v>#N/A</v>
      </c>
      <c r="EE47" s="114" t="e" cm="1">
        <f t="array" aca="1" ref="EE47" ca="1">IF(COND_INTERSTICIAL[[#This Row],[Capa]]=1,IF(COND_INTERSTICIAL[[#This Row],[agua líquida]],2,1),IF(COND_INTERSTICIAL[[#This Row],[agua líquida]],1,0)+INDIRECT(ADDRESS(ROW()-1,COLUMN(),4)))</f>
        <v>#N/A</v>
      </c>
      <c r="EF47" s="114" t="e" cm="1">
        <f t="array" aca="1" ref="EF47" ca="1">IF(COND_INTERSTICIAL[[#This Row],[tramo gráf]]=1,0,IF((COND_INTERSTICIAL[[#This Row],[tramo gráf]]&gt;INDIRECT(ADDRESS(ROW()-1,COLUMN(COND_INTERSTICIAL[[#This Row],[tramo gráf]]),4)))+COND_INTERSTICIAL[[#This Row],[agua líquida]],COND_INTERSTICIAL[[#This Row],[Capa]],INDIRECT(ADDRESS(ROW()-1,COLUMN(),4))))</f>
        <v>#N/A</v>
      </c>
      <c r="EG47" s="114" t="e" cm="1">
        <f t="array" aca="1" ref="EG47" ca="1">IF((COND_INTERSTICIAL[[#This Row],[Capa]]=N_capas)+(COND_INTERSTICIAL[[#This Row],[tramo gráf]]=COUNTIFS(COND_INTERSTICIAL[agua líquida],TRUE,COND_INTERSTICIAL[Mes],CW47,COND_INTERSTICIAL[Sección],CX47)+1),N_capas,INDEX(COND_INTERSTICIAL[capa lím inf gráf],MATCH(COND_INTERSTICIAL[[#This Row],[Mes]]&amp;"-"&amp;COND_INTERSTICIAL[[#This Row],[Sección]]&amp;"-"&amp;(COND_INTERSTICIAL[[#This Row],[tramo gráf]]+1),COND_INTERSTICIAL[llave tramo gráf],0)))</f>
        <v>#N/A</v>
      </c>
      <c r="EH47" s="114" cm="1">
        <f t="array" aca="1" ref="EH4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7" s="116" t="e" cm="1">
        <f t="array" aca="1" ref="EI4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GD47" s="11" t="s">
        <v>1455</v>
      </c>
      <c r="GE47">
        <f>INT((GE29-GE40-2*GE33)/(GE35+GE33))</f>
        <v>19</v>
      </c>
      <c r="GH47" s="12"/>
    </row>
    <row r="48" spans="32:190" x14ac:dyDescent="0.45">
      <c r="AF48" s="22" t="s">
        <v>364</v>
      </c>
      <c r="AG48" s="180" t="s">
        <v>365</v>
      </c>
      <c r="AH48" s="23">
        <f>IFERROR(ΔUg_2_prima*(R_1_huecos/R_tot)^2,0)</f>
        <v>0</v>
      </c>
      <c r="AI48" s="24" t="s">
        <v>348</v>
      </c>
      <c r="BY48" t="s">
        <v>1420</v>
      </c>
      <c r="BZ48" t="str" cm="1">
        <f t="array" aca="1" ref="BZ48" ca="1">IFERROR(INDEX(Aux!$H$45:$H$56,INDEX(COND_INTERSTICIAL_AGUA_ACUMULADA[Mes],MATCH(TRUE,INDEX(COND_INTERSTICIAL_AGUA_ACUMULADA[interfases con agua líquida]&lt;&gt;0,0),0))),"n/a")</f>
        <v>n/a</v>
      </c>
      <c r="CD48" s="1"/>
      <c r="CE48" s="1"/>
      <c r="CF48" s="90"/>
      <c r="CG48" s="90"/>
      <c r="CH48" s="90"/>
      <c r="CI48" s="90"/>
      <c r="CJ48" s="90"/>
      <c r="CW48" s="1" cm="1">
        <f t="array" ref="CW48">ROUNDUP((ROW()-$CN$18+(Mes_inicial_de_análisis-1)*N_capas*N_secciones)/(N_capas*N_secciones),0)-12*IF(ROW()-$CN$18&gt;(12-Mes_inicial_de_análisis+1)*N_capas*N_secciones,1,0)</f>
        <v>9</v>
      </c>
      <c r="CX48" cm="1">
        <f t="array" ref="CX48">ROUNDUP((ROW()-$CN$18)/N_capas-(ROUNDUP((ROW()-$CN$18)/(N_capas*N_secciones),0)-1)*N_secciones,0)</f>
        <v>1</v>
      </c>
      <c r="CY48" cm="1">
        <f t="array" ref="CY48">(ROW()-$CN$18)-(COND_INTERSTICIAL[[#This Row],[Sección]]-1)*N_capas-(ROUNDUP((ROW()-$CN$18)/(N_capas*N_secciones),0)-1)*N_capas*N_secciones</f>
        <v>1</v>
      </c>
      <c r="CZ48" t="str">
        <f>COND_INTERSTICIAL[[#This Row],[Mes]]&amp;"-"&amp;COND_INTERSTICIAL[[#This Row],[Sección]]&amp;"-"&amp;COND_INTERSTICIAL[[#This Row],[Capa]]</f>
        <v>9-1-1</v>
      </c>
      <c r="DA48">
        <f ca="1">INDEX(SECCIONES_CAPAS[R''n],MATCH(COND_INTERSTICIAL[[#This Row],[Sección]]&amp;"-"&amp;COND_INTERSTICIAL[[#This Row],[Capa]],SECCIONES_CAPAS[llave],0))</f>
        <v>0.04</v>
      </c>
      <c r="DB48" s="172" t="e" cm="1">
        <f t="array" aca="1" ref="DB48" ca="1">INDEX(CLIMA[ϴe],COND_INTERSTICIAL[[#This Row],[Mes]])+COND_INTERSTICIAL[[#This Row],[Rn]]*(INDEX(CLIMA[ϴi],COND_INTERSTICIAL[[#This Row],[Mes]])-INDEX(CLIMA[ϴe],COND_INTERSTICIAL[[#This Row],[Mes]]))/(INDEX(SECCIONES[Rtsección_condensación],COND_INTERSTICIAL[[#This Row],[Sección]]))</f>
        <v>#N/A</v>
      </c>
      <c r="DC48">
        <f>INDEX(SECCIONES_CAPAS[Sd],MATCH(COND_INTERSTICIAL[[#This Row],[Sección]]&amp;"-"&amp;COND_INTERSTICIAL[[#This Row],[Capa]],SECCIONES_CAPAS[llave],0))</f>
        <v>0</v>
      </c>
      <c r="DD48">
        <f ca="1">INDEX(SECCIONES_CAPAS[S''d],MATCH(COND_INTERSTICIAL[[#This Row],[Sección]]&amp;"-"&amp;COND_INTERSTICIAL[[#This Row],[Capa]],SECCIONES_CAPAS[llave],0))</f>
        <v>0</v>
      </c>
      <c r="DE48" s="90" t="e">
        <f ca="1">IF(COND_INTERSTICIAL[[#This Row],[ϴn]]&gt;=0,610.5*EXP((17.269*COND_INTERSTICIAL[[#This Row],[ϴn]])/(237.3+COND_INTERSTICIAL[[#This Row],[ϴn]])),610.5*EXP((21.875*COND_INTERSTICIAL[[#This Row],[ϴn]])/(265.5+COND_INTERSTICIAL[[#This Row],[ϴn]])))</f>
        <v>#N/A</v>
      </c>
      <c r="DF48" s="90" t="e" cm="1">
        <f t="array" aca="1" ref="DF48" ca="1">COND_INTERSTICIAL[[#This Row],[S''d]]*((INDEX(CLIMA[Pi],COND_INTERSTICIAL[[#This Row],[Mes]])-INDEX(CLIMA[Pe],COND_INTERSTICIAL[[#This Row],[Mes]]))/INDEX(SECCIONES[SdT],COND_INTERSTICIAL[[#This Row],[Sección]]))+INDEX(CLIMA[Pe],COND_INTERSTICIAL[[#This Row],[Mes]])</f>
        <v>#N/A</v>
      </c>
      <c r="DG48" s="108" t="e">
        <f ca="1">IF((COND_INTERSTICIAL[[#This Row],[Pn]]&gt;=COND_INTERSTICIAL[[#This Row],[Psat]]),TRUE,FALSE)</f>
        <v>#N/A</v>
      </c>
      <c r="DH48" s="109" t="e" cm="1">
        <f t="array" aca="1" ref="DH48" ca="1">IF(COND_INTERSTICIAL[[#This Row],[Condensa]],COND_INTERSTICIAL[[#This Row],[Psat]],IF(COND_INTERSTICIAL[[#This Row],[Capa]]=N_capas,COND_INTERSTICIAL[[#This Row],[Pn]],""))</f>
        <v>#N/A</v>
      </c>
      <c r="DI48" s="109" t="e">
        <f ca="1">COND_INTERSTICIAL[[#This Row],[Mes]]&amp;"-"&amp;COND_INTERSTICIAL[[#This Row],[Sección]]&amp;"-"&amp;COND_INTERSTICIAL[[#This Row],[tramo cond]]</f>
        <v>#N/A</v>
      </c>
      <c r="DJ48" t="e" cm="1">
        <f t="array" aca="1" ref="DJ48" ca="1">IF(COND_INTERSTICIAL[[#This Row],[Capa]]=1,IF(COND_INTERSTICIAL[[#This Row],[Condensa]],2,1),IF(COND_INTERSTICIAL[[#This Row],[Condensa]],1,0)+INDIRECT(ADDRESS(ROW()-1,COLUMN(),4)))</f>
        <v>#N/A</v>
      </c>
      <c r="DK48" s="108" t="e" cm="1">
        <f t="array" aca="1" ref="DK48" ca="1">IF(COND_INTERSTICIAL[[#This Row],[tramo cond]]=1,0,IF((COND_INTERSTICIAL[[#This Row],[tramo cond]]&gt;INDIRECT(ADDRESS(ROW()-1,COLUMN(COND_INTERSTICIAL[[#This Row],[tramo cond]]),4)))+COND_INTERSTICIAL[[#This Row],[Condensa]],COND_INTERSTICIAL[[#This Row],[Capa]],INDIRECT(ADDRESS(ROW()-1,COLUMN(),4))))</f>
        <v>#N/A</v>
      </c>
      <c r="DL48" s="108" t="e" cm="1">
        <f t="array" aca="1" ref="DL48" ca="1">IF((COND_INTERSTICIAL[[#This Row],[Capa]]=N_capas)+(COND_INTERSTICIAL[[#This Row],[tramo cond]]=COUNTIFS(COND_INTERSTICIAL[Condensa],TRUE,COND_INTERSTICIAL[Mes],CW48,COND_INTERSTICIAL[Sección],CX48)+1),N_capas,INDEX(COND_INTERSTICIAL[capa lím inf cond],MATCH(COND_INTERSTICIAL[[#This Row],[Mes]]&amp;"-"&amp;COND_INTERSTICIAL[[#This Row],[Sección]]&amp;"-"&amp;(COND_INTERSTICIAL[[#This Row],[tramo cond]]+1),COND_INTERSTICIAL[llave tramo cond],0)))</f>
        <v>#N/A</v>
      </c>
      <c r="DM48" s="108" cm="1">
        <f t="array" aca="1" ref="DM4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8" s="110" t="e" cm="1">
        <f t="array" aca="1" ref="DN4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48" s="107" t="e">
        <f ca="1">COND_INTERSTICIAL[[#This Row],[gc]]+COND_INTERSTICIAL[[#This Row],[Ma_anterior cond]]</f>
        <v>#N/A</v>
      </c>
      <c r="DQ48" s="113" t="e">
        <f ca="1">IF((COND_INTERSTICIAL[[#This Row],[Ma_anterior cond]]&gt;0)*NOT(COND_INTERSTICIAL[[#This Row],[Condensa]]),TRUE,FALSE)</f>
        <v>#N/A</v>
      </c>
      <c r="DR48" s="112" t="e" cm="1">
        <f t="array" aca="1" ref="DR48" ca="1">IF(COND_INTERSTICIAL[[#This Row],[evapora]],COND_INTERSTICIAL[[#This Row],[Psat]],IF(COND_INTERSTICIAL[[#This Row],[Capa]]=N_capas,COND_INTERSTICIAL[[#This Row],[Pn]],""))</f>
        <v>#N/A</v>
      </c>
      <c r="DS48" s="112" t="e">
        <f ca="1">COND_INTERSTICIAL[[#This Row],[Mes]]&amp;"-"&amp;COND_INTERSTICIAL[[#This Row],[Sección]]&amp;"-"&amp;COND_INTERSTICIAL[[#This Row],[tramo ev]]</f>
        <v>#N/A</v>
      </c>
      <c r="DT48" s="111" t="e" cm="1">
        <f t="array" aca="1" ref="DT48" ca="1">IF(COND_INTERSTICIAL[[#This Row],[Capa]]=1,IF(COND_INTERSTICIAL[[#This Row],[evapora]],2,1),IF(COND_INTERSTICIAL[[#This Row],[evapora]],1,0)+INDIRECT(ADDRESS(ROW()-1,COLUMN(),4)))</f>
        <v>#N/A</v>
      </c>
      <c r="DU48" s="111" t="e" cm="1">
        <f t="array" aca="1" ref="DU48" ca="1">IF(COND_INTERSTICIAL[[#This Row],[tramo ev]]=1,0,IF((COND_INTERSTICIAL[[#This Row],[tramo ev]]&gt;INDIRECT(ADDRESS(ROW()-1,COLUMN(COND_INTERSTICIAL[[#This Row],[tramo ev]]),4)))+COND_INTERSTICIAL[[#This Row],[evapora]],COND_INTERSTICIAL[[#This Row],[Capa]],INDIRECT(ADDRESS(ROW()-1,COLUMN(),4))))</f>
        <v>#N/A</v>
      </c>
      <c r="DV48" s="111" t="e" cm="1">
        <f t="array" aca="1" ref="DV48" ca="1">IF((COND_INTERSTICIAL[[#This Row],[Capa]]=N_capas)+(COND_INTERSTICIAL[[#This Row],[tramo ev]]=COUNTIFS(COND_INTERSTICIAL[evapora],TRUE,COND_INTERSTICIAL[Mes],CW48,COND_INTERSTICIAL[Sección],CX48)+1),N_capas,INDEX(COND_INTERSTICIAL[capa lím inf ev],MATCH(COND_INTERSTICIAL[[#This Row],[Mes]]&amp;"-"&amp;COND_INTERSTICIAL[[#This Row],[Sección]]&amp;"-"&amp;(COND_INTERSTICIAL[[#This Row],[tramo ev]]+1),COND_INTERSTICIAL[llave tramo ev],0)))</f>
        <v>#N/A</v>
      </c>
      <c r="DW48" s="111" cm="1">
        <f t="array" aca="1" ref="DW4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8" s="113" t="e" cm="1">
        <f t="array" aca="1" ref="DX4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4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8" s="113" t="e">
        <f ca="1">COND_INTERSTICIAL[[#This Row],[gev]]+COND_INTERSTICIAL[[#This Row],[Ma anterior ev]]</f>
        <v>#N/A</v>
      </c>
      <c r="EA48" s="115" t="e">
        <f ca="1">IF(COND_INTERSTICIAL[[#This Row],[Ma cond]]+COND_INTERSTICIAL[[#This Row],[Ma ev]]&lt;=0,0,COND_INTERSTICIAL[[#This Row],[Ma cond]]+COND_INTERSTICIAL[[#This Row],[Ma ev]])</f>
        <v>#N/A</v>
      </c>
      <c r="EB48" s="115" t="e">
        <f ca="1">IF(COND_INTERSTICIAL[[#This Row],[Ma]]&gt;0,TRUE,FALSE)</f>
        <v>#N/A</v>
      </c>
      <c r="EC48" s="115" t="e" cm="1">
        <f t="array" aca="1" ref="EC48" ca="1">IF(COND_INTERSTICIAL[[#This Row],[agua líquida]],IF(COND_INTERSTICIAL[[#This Row],[Condensa]],COND_INTERSTICIAL[[#This Row],[P límite cond]],COND_INTERSTICIAL[[#This Row],[P límite ev]]),IF(COND_INTERSTICIAL[[#This Row],[Capa]]=N_capas,COND_INTERSTICIAL[[#This Row],[Pn]],""))</f>
        <v>#N/A</v>
      </c>
      <c r="ED48" s="115" t="e">
        <f ca="1">COND_INTERSTICIAL[[#This Row],[Mes]]&amp;"-"&amp;COND_INTERSTICIAL[[#This Row],[Sección]]&amp;"-"&amp;COND_INTERSTICIAL[[#This Row],[tramo gráf]]</f>
        <v>#N/A</v>
      </c>
      <c r="EE48" s="114" t="e" cm="1">
        <f t="array" aca="1" ref="EE48" ca="1">IF(COND_INTERSTICIAL[[#This Row],[Capa]]=1,IF(COND_INTERSTICIAL[[#This Row],[agua líquida]],2,1),IF(COND_INTERSTICIAL[[#This Row],[agua líquida]],1,0)+INDIRECT(ADDRESS(ROW()-1,COLUMN(),4)))</f>
        <v>#N/A</v>
      </c>
      <c r="EF48" s="114" t="e" cm="1">
        <f t="array" aca="1" ref="EF48" ca="1">IF(COND_INTERSTICIAL[[#This Row],[tramo gráf]]=1,0,IF((COND_INTERSTICIAL[[#This Row],[tramo gráf]]&gt;INDIRECT(ADDRESS(ROW()-1,COLUMN(COND_INTERSTICIAL[[#This Row],[tramo gráf]]),4)))+COND_INTERSTICIAL[[#This Row],[agua líquida]],COND_INTERSTICIAL[[#This Row],[Capa]],INDIRECT(ADDRESS(ROW()-1,COLUMN(),4))))</f>
        <v>#N/A</v>
      </c>
      <c r="EG48" s="114" t="e" cm="1">
        <f t="array" aca="1" ref="EG48" ca="1">IF((COND_INTERSTICIAL[[#This Row],[Capa]]=N_capas)+(COND_INTERSTICIAL[[#This Row],[tramo gráf]]=COUNTIFS(COND_INTERSTICIAL[agua líquida],TRUE,COND_INTERSTICIAL[Mes],CW48,COND_INTERSTICIAL[Sección],CX48)+1),N_capas,INDEX(COND_INTERSTICIAL[capa lím inf gráf],MATCH(COND_INTERSTICIAL[[#This Row],[Mes]]&amp;"-"&amp;COND_INTERSTICIAL[[#This Row],[Sección]]&amp;"-"&amp;(COND_INTERSTICIAL[[#This Row],[tramo gráf]]+1),COND_INTERSTICIAL[llave tramo gráf],0)))</f>
        <v>#N/A</v>
      </c>
      <c r="EH48" s="114" cm="1">
        <f t="array" aca="1" ref="EH4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8" s="116" t="e" cm="1">
        <f t="array" aca="1" ref="EI4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GD48" s="11" t="s">
        <v>1456</v>
      </c>
      <c r="GE48">
        <f>INT((GE28-GE45*GE43-GE45*2*GE32)/(GE37+GE32))</f>
        <v>11</v>
      </c>
      <c r="GH48" s="12"/>
    </row>
    <row r="49" spans="6:190" x14ac:dyDescent="0.45">
      <c r="AF49" s="11" t="s">
        <v>367</v>
      </c>
      <c r="AG49" s="2"/>
      <c r="AH49">
        <f>MATCH(Transmitancia!$B$6,correción_huecos[Nivel],0)</f>
        <v>1</v>
      </c>
      <c r="AI49" s="12"/>
      <c r="BY49" t="s">
        <v>1421</v>
      </c>
      <c r="BZ49">
        <f ca="1">MAX(SECCIONES[meses de condensación])</f>
        <v>0</v>
      </c>
      <c r="CD49" s="1"/>
      <c r="CE49" s="1"/>
      <c r="CF49" s="90"/>
      <c r="CG49" s="90"/>
      <c r="CH49" s="90"/>
      <c r="CI49" s="90"/>
      <c r="CJ49" s="90"/>
      <c r="CW49" s="1" cm="1">
        <f t="array" ref="CW49">ROUNDUP((ROW()-$CN$18+(Mes_inicial_de_análisis-1)*N_capas*N_secciones)/(N_capas*N_secciones),0)-12*IF(ROW()-$CN$18&gt;(12-Mes_inicial_de_análisis+1)*N_capas*N_secciones,1,0)</f>
        <v>9</v>
      </c>
      <c r="CX49" cm="1">
        <f t="array" ref="CX49">ROUNDUP((ROW()-$CN$18)/N_capas-(ROUNDUP((ROW()-$CN$18)/(N_capas*N_secciones),0)-1)*N_secciones,0)</f>
        <v>1</v>
      </c>
      <c r="CY49" cm="1">
        <f t="array" ref="CY49">(ROW()-$CN$18)-(COND_INTERSTICIAL[[#This Row],[Sección]]-1)*N_capas-(ROUNDUP((ROW()-$CN$18)/(N_capas*N_secciones),0)-1)*N_capas*N_secciones</f>
        <v>2</v>
      </c>
      <c r="CZ49" t="str">
        <f>COND_INTERSTICIAL[[#This Row],[Mes]]&amp;"-"&amp;COND_INTERSTICIAL[[#This Row],[Sección]]&amp;"-"&amp;COND_INTERSTICIAL[[#This Row],[Capa]]</f>
        <v>9-1-2</v>
      </c>
      <c r="DA49">
        <f ca="1">INDEX(SECCIONES_CAPAS[R''n],MATCH(COND_INTERSTICIAL[[#This Row],[Sección]]&amp;"-"&amp;COND_INTERSTICIAL[[#This Row],[Capa]],SECCIONES_CAPAS[llave],0))</f>
        <v>0.04</v>
      </c>
      <c r="DB49" s="172" t="e" cm="1">
        <f t="array" aca="1" ref="DB49" ca="1">INDEX(CLIMA[ϴe],COND_INTERSTICIAL[[#This Row],[Mes]])+COND_INTERSTICIAL[[#This Row],[Rn]]*(INDEX(CLIMA[ϴi],COND_INTERSTICIAL[[#This Row],[Mes]])-INDEX(CLIMA[ϴe],COND_INTERSTICIAL[[#This Row],[Mes]]))/(INDEX(SECCIONES[Rtsección_condensación],COND_INTERSTICIAL[[#This Row],[Sección]]))</f>
        <v>#N/A</v>
      </c>
      <c r="DC49">
        <f>INDEX(SECCIONES_CAPAS[Sd],MATCH(COND_INTERSTICIAL[[#This Row],[Sección]]&amp;"-"&amp;COND_INTERSTICIAL[[#This Row],[Capa]],SECCIONES_CAPAS[llave],0))</f>
        <v>0</v>
      </c>
      <c r="DD49">
        <f ca="1">INDEX(SECCIONES_CAPAS[S''d],MATCH(COND_INTERSTICIAL[[#This Row],[Sección]]&amp;"-"&amp;COND_INTERSTICIAL[[#This Row],[Capa]],SECCIONES_CAPAS[llave],0))</f>
        <v>0</v>
      </c>
      <c r="DE49" s="90" t="e">
        <f ca="1">IF(COND_INTERSTICIAL[[#This Row],[ϴn]]&gt;=0,610.5*EXP((17.269*COND_INTERSTICIAL[[#This Row],[ϴn]])/(237.3+COND_INTERSTICIAL[[#This Row],[ϴn]])),610.5*EXP((21.875*COND_INTERSTICIAL[[#This Row],[ϴn]])/(265.5+COND_INTERSTICIAL[[#This Row],[ϴn]])))</f>
        <v>#N/A</v>
      </c>
      <c r="DF49" s="90" t="e" cm="1">
        <f t="array" aca="1" ref="DF49" ca="1">COND_INTERSTICIAL[[#This Row],[S''d]]*((INDEX(CLIMA[Pi],COND_INTERSTICIAL[[#This Row],[Mes]])-INDEX(CLIMA[Pe],COND_INTERSTICIAL[[#This Row],[Mes]]))/INDEX(SECCIONES[SdT],COND_INTERSTICIAL[[#This Row],[Sección]]))+INDEX(CLIMA[Pe],COND_INTERSTICIAL[[#This Row],[Mes]])</f>
        <v>#N/A</v>
      </c>
      <c r="DG49" s="108" t="e">
        <f ca="1">IF((COND_INTERSTICIAL[[#This Row],[Pn]]&gt;=COND_INTERSTICIAL[[#This Row],[Psat]]),TRUE,FALSE)</f>
        <v>#N/A</v>
      </c>
      <c r="DH49" s="109" t="e" cm="1">
        <f t="array" aca="1" ref="DH49" ca="1">IF(COND_INTERSTICIAL[[#This Row],[Condensa]],COND_INTERSTICIAL[[#This Row],[Psat]],IF(COND_INTERSTICIAL[[#This Row],[Capa]]=N_capas,COND_INTERSTICIAL[[#This Row],[Pn]],""))</f>
        <v>#N/A</v>
      </c>
      <c r="DI49" s="109" t="e">
        <f ca="1">COND_INTERSTICIAL[[#This Row],[Mes]]&amp;"-"&amp;COND_INTERSTICIAL[[#This Row],[Sección]]&amp;"-"&amp;COND_INTERSTICIAL[[#This Row],[tramo cond]]</f>
        <v>#N/A</v>
      </c>
      <c r="DJ49" t="e" cm="1">
        <f t="array" aca="1" ref="DJ49" ca="1">IF(COND_INTERSTICIAL[[#This Row],[Capa]]=1,IF(COND_INTERSTICIAL[[#This Row],[Condensa]],2,1),IF(COND_INTERSTICIAL[[#This Row],[Condensa]],1,0)+INDIRECT(ADDRESS(ROW()-1,COLUMN(),4)))</f>
        <v>#N/A</v>
      </c>
      <c r="DK49" s="108" t="e" cm="1">
        <f t="array" aca="1" ref="DK49" ca="1">IF(COND_INTERSTICIAL[[#This Row],[tramo cond]]=1,0,IF((COND_INTERSTICIAL[[#This Row],[tramo cond]]&gt;INDIRECT(ADDRESS(ROW()-1,COLUMN(COND_INTERSTICIAL[[#This Row],[tramo cond]]),4)))+COND_INTERSTICIAL[[#This Row],[Condensa]],COND_INTERSTICIAL[[#This Row],[Capa]],INDIRECT(ADDRESS(ROW()-1,COLUMN(),4))))</f>
        <v>#N/A</v>
      </c>
      <c r="DL49" s="108" t="e" cm="1">
        <f t="array" aca="1" ref="DL49" ca="1">IF((COND_INTERSTICIAL[[#This Row],[Capa]]=N_capas)+(COND_INTERSTICIAL[[#This Row],[tramo cond]]=COUNTIFS(COND_INTERSTICIAL[Condensa],TRUE,COND_INTERSTICIAL[Mes],CW49,COND_INTERSTICIAL[Sección],CX49)+1),N_capas,INDEX(COND_INTERSTICIAL[capa lím inf cond],MATCH(COND_INTERSTICIAL[[#This Row],[Mes]]&amp;"-"&amp;COND_INTERSTICIAL[[#This Row],[Sección]]&amp;"-"&amp;(COND_INTERSTICIAL[[#This Row],[tramo cond]]+1),COND_INTERSTICIAL[llave tramo cond],0)))</f>
        <v>#N/A</v>
      </c>
      <c r="DM49" s="108" cm="1">
        <f t="array" aca="1" ref="DM4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9" s="110" t="e" cm="1">
        <f t="array" aca="1" ref="DN4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49" s="107" t="e">
        <f ca="1">COND_INTERSTICIAL[[#This Row],[gc]]+COND_INTERSTICIAL[[#This Row],[Ma_anterior cond]]</f>
        <v>#N/A</v>
      </c>
      <c r="DQ49" s="113" t="e">
        <f ca="1">IF((COND_INTERSTICIAL[[#This Row],[Ma_anterior cond]]&gt;0)*NOT(COND_INTERSTICIAL[[#This Row],[Condensa]]),TRUE,FALSE)</f>
        <v>#N/A</v>
      </c>
      <c r="DR49" s="112" t="e" cm="1">
        <f t="array" aca="1" ref="DR49" ca="1">IF(COND_INTERSTICIAL[[#This Row],[evapora]],COND_INTERSTICIAL[[#This Row],[Psat]],IF(COND_INTERSTICIAL[[#This Row],[Capa]]=N_capas,COND_INTERSTICIAL[[#This Row],[Pn]],""))</f>
        <v>#N/A</v>
      </c>
      <c r="DS49" s="112" t="e">
        <f ca="1">COND_INTERSTICIAL[[#This Row],[Mes]]&amp;"-"&amp;COND_INTERSTICIAL[[#This Row],[Sección]]&amp;"-"&amp;COND_INTERSTICIAL[[#This Row],[tramo ev]]</f>
        <v>#N/A</v>
      </c>
      <c r="DT49" s="111" t="e" cm="1">
        <f t="array" aca="1" ref="DT49" ca="1">IF(COND_INTERSTICIAL[[#This Row],[Capa]]=1,IF(COND_INTERSTICIAL[[#This Row],[evapora]],2,1),IF(COND_INTERSTICIAL[[#This Row],[evapora]],1,0)+INDIRECT(ADDRESS(ROW()-1,COLUMN(),4)))</f>
        <v>#N/A</v>
      </c>
      <c r="DU49" s="111" t="e" cm="1">
        <f t="array" aca="1" ref="DU49" ca="1">IF(COND_INTERSTICIAL[[#This Row],[tramo ev]]=1,0,IF((COND_INTERSTICIAL[[#This Row],[tramo ev]]&gt;INDIRECT(ADDRESS(ROW()-1,COLUMN(COND_INTERSTICIAL[[#This Row],[tramo ev]]),4)))+COND_INTERSTICIAL[[#This Row],[evapora]],COND_INTERSTICIAL[[#This Row],[Capa]],INDIRECT(ADDRESS(ROW()-1,COLUMN(),4))))</f>
        <v>#N/A</v>
      </c>
      <c r="DV49" s="111" t="e" cm="1">
        <f t="array" aca="1" ref="DV49" ca="1">IF((COND_INTERSTICIAL[[#This Row],[Capa]]=N_capas)+(COND_INTERSTICIAL[[#This Row],[tramo ev]]=COUNTIFS(COND_INTERSTICIAL[evapora],TRUE,COND_INTERSTICIAL[Mes],CW49,COND_INTERSTICIAL[Sección],CX49)+1),N_capas,INDEX(COND_INTERSTICIAL[capa lím inf ev],MATCH(COND_INTERSTICIAL[[#This Row],[Mes]]&amp;"-"&amp;COND_INTERSTICIAL[[#This Row],[Sección]]&amp;"-"&amp;(COND_INTERSTICIAL[[#This Row],[tramo ev]]+1),COND_INTERSTICIAL[llave tramo ev],0)))</f>
        <v>#N/A</v>
      </c>
      <c r="DW49" s="111" cm="1">
        <f t="array" aca="1" ref="DW4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9" s="113" t="e" cm="1">
        <f t="array" aca="1" ref="DX4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4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9" s="113" t="e">
        <f ca="1">COND_INTERSTICIAL[[#This Row],[gev]]+COND_INTERSTICIAL[[#This Row],[Ma anterior ev]]</f>
        <v>#N/A</v>
      </c>
      <c r="EA49" s="115" t="e">
        <f ca="1">IF(COND_INTERSTICIAL[[#This Row],[Ma cond]]+COND_INTERSTICIAL[[#This Row],[Ma ev]]&lt;=0,0,COND_INTERSTICIAL[[#This Row],[Ma cond]]+COND_INTERSTICIAL[[#This Row],[Ma ev]])</f>
        <v>#N/A</v>
      </c>
      <c r="EB49" s="115" t="e">
        <f ca="1">IF(COND_INTERSTICIAL[[#This Row],[Ma]]&gt;0,TRUE,FALSE)</f>
        <v>#N/A</v>
      </c>
      <c r="EC49" s="115" t="e" cm="1">
        <f t="array" aca="1" ref="EC49" ca="1">IF(COND_INTERSTICIAL[[#This Row],[agua líquida]],IF(COND_INTERSTICIAL[[#This Row],[Condensa]],COND_INTERSTICIAL[[#This Row],[P límite cond]],COND_INTERSTICIAL[[#This Row],[P límite ev]]),IF(COND_INTERSTICIAL[[#This Row],[Capa]]=N_capas,COND_INTERSTICIAL[[#This Row],[Pn]],""))</f>
        <v>#N/A</v>
      </c>
      <c r="ED49" s="115" t="e">
        <f ca="1">COND_INTERSTICIAL[[#This Row],[Mes]]&amp;"-"&amp;COND_INTERSTICIAL[[#This Row],[Sección]]&amp;"-"&amp;COND_INTERSTICIAL[[#This Row],[tramo gráf]]</f>
        <v>#N/A</v>
      </c>
      <c r="EE49" s="114" t="e" cm="1">
        <f t="array" aca="1" ref="EE49" ca="1">IF(COND_INTERSTICIAL[[#This Row],[Capa]]=1,IF(COND_INTERSTICIAL[[#This Row],[agua líquida]],2,1),IF(COND_INTERSTICIAL[[#This Row],[agua líquida]],1,0)+INDIRECT(ADDRESS(ROW()-1,COLUMN(),4)))</f>
        <v>#N/A</v>
      </c>
      <c r="EF49" s="114" t="e" cm="1">
        <f t="array" aca="1" ref="EF49" ca="1">IF(COND_INTERSTICIAL[[#This Row],[tramo gráf]]=1,0,IF((COND_INTERSTICIAL[[#This Row],[tramo gráf]]&gt;INDIRECT(ADDRESS(ROW()-1,COLUMN(COND_INTERSTICIAL[[#This Row],[tramo gráf]]),4)))+COND_INTERSTICIAL[[#This Row],[agua líquida]],COND_INTERSTICIAL[[#This Row],[Capa]],INDIRECT(ADDRESS(ROW()-1,COLUMN(),4))))</f>
        <v>#N/A</v>
      </c>
      <c r="EG49" s="114" t="e" cm="1">
        <f t="array" aca="1" ref="EG49" ca="1">IF((COND_INTERSTICIAL[[#This Row],[Capa]]=N_capas)+(COND_INTERSTICIAL[[#This Row],[tramo gráf]]=COUNTIFS(COND_INTERSTICIAL[agua líquida],TRUE,COND_INTERSTICIAL[Mes],CW49,COND_INTERSTICIAL[Sección],CX49)+1),N_capas,INDEX(COND_INTERSTICIAL[capa lím inf gráf],MATCH(COND_INTERSTICIAL[[#This Row],[Mes]]&amp;"-"&amp;COND_INTERSTICIAL[[#This Row],[Sección]]&amp;"-"&amp;(COND_INTERSTICIAL[[#This Row],[tramo gráf]]+1),COND_INTERSTICIAL[llave tramo gráf],0)))</f>
        <v>#N/A</v>
      </c>
      <c r="EH49" s="114" cm="1">
        <f t="array" aca="1" ref="EH4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9" s="116" t="e" cm="1">
        <f t="array" aca="1" ref="EI4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GD49" s="11" t="s">
        <v>1460</v>
      </c>
      <c r="GE49">
        <f>GE47*GE48</f>
        <v>209</v>
      </c>
      <c r="GH49" s="12"/>
    </row>
    <row r="50" spans="6:190" x14ac:dyDescent="0.45">
      <c r="AF50" s="11" t="s">
        <v>370</v>
      </c>
      <c r="AG50" s="2" t="s">
        <v>371</v>
      </c>
      <c r="AH50" cm="1">
        <f t="array" ref="AH50">INDEX(correción_huecos[corrección],Cálculos!$AH$49)</f>
        <v>0</v>
      </c>
      <c r="AI50" s="12" t="s">
        <v>348</v>
      </c>
      <c r="BY50" t="s">
        <v>1425</v>
      </c>
      <c r="BZ50" t="str" cm="1">
        <f t="array" aca="1" ref="BZ50" ca="1">IF(BZ49=0,"n/a",INDEX(Aux!$H$45:$H$56,INDEX(COND_INTERSTICIAL_AGUA_ACUMULADA[Mes],MATCH(MAX(COND_INTERSTICIAL_AGUA_ACUMULADA[agua acumulada]),COND_INTERSTICIAL_AGUA_ACUMULADA[agua acumulada],0))))</f>
        <v>n/a</v>
      </c>
      <c r="CW50" s="1" cm="1">
        <f t="array" ref="CW50">ROUNDUP((ROW()-$CN$18+(Mes_inicial_de_análisis-1)*N_capas*N_secciones)/(N_capas*N_secciones),0)-12*IF(ROW()-$CN$18&gt;(12-Mes_inicial_de_análisis+1)*N_capas*N_secciones,1,0)</f>
        <v>9</v>
      </c>
      <c r="CX50" cm="1">
        <f t="array" ref="CX50">ROUNDUP((ROW()-$CN$18)/N_capas-(ROUNDUP((ROW()-$CN$18)/(N_capas*N_secciones),0)-1)*N_secciones,0)</f>
        <v>1</v>
      </c>
      <c r="CY50" cm="1">
        <f t="array" ref="CY50">(ROW()-$CN$18)-(COND_INTERSTICIAL[[#This Row],[Sección]]-1)*N_capas-(ROUNDUP((ROW()-$CN$18)/(N_capas*N_secciones),0)-1)*N_capas*N_secciones</f>
        <v>3</v>
      </c>
      <c r="CZ50" t="str">
        <f>COND_INTERSTICIAL[[#This Row],[Mes]]&amp;"-"&amp;COND_INTERSTICIAL[[#This Row],[Sección]]&amp;"-"&amp;COND_INTERSTICIAL[[#This Row],[Capa]]</f>
        <v>9-1-3</v>
      </c>
      <c r="DA50">
        <f ca="1">INDEX(SECCIONES_CAPAS[R''n],MATCH(COND_INTERSTICIAL[[#This Row],[Sección]]&amp;"-"&amp;COND_INTERSTICIAL[[#This Row],[Capa]],SECCIONES_CAPAS[llave],0))</f>
        <v>0.04</v>
      </c>
      <c r="DB50" s="172" t="e" cm="1">
        <f t="array" aca="1" ref="DB50" ca="1">INDEX(CLIMA[ϴe],COND_INTERSTICIAL[[#This Row],[Mes]])+COND_INTERSTICIAL[[#This Row],[Rn]]*(INDEX(CLIMA[ϴi],COND_INTERSTICIAL[[#This Row],[Mes]])-INDEX(CLIMA[ϴe],COND_INTERSTICIAL[[#This Row],[Mes]]))/(INDEX(SECCIONES[Rtsección_condensación],COND_INTERSTICIAL[[#This Row],[Sección]]))</f>
        <v>#N/A</v>
      </c>
      <c r="DC50">
        <f>INDEX(SECCIONES_CAPAS[Sd],MATCH(COND_INTERSTICIAL[[#This Row],[Sección]]&amp;"-"&amp;COND_INTERSTICIAL[[#This Row],[Capa]],SECCIONES_CAPAS[llave],0))</f>
        <v>0</v>
      </c>
      <c r="DD50">
        <f ca="1">INDEX(SECCIONES_CAPAS[S''d],MATCH(COND_INTERSTICIAL[[#This Row],[Sección]]&amp;"-"&amp;COND_INTERSTICIAL[[#This Row],[Capa]],SECCIONES_CAPAS[llave],0))</f>
        <v>0</v>
      </c>
      <c r="DE50" s="90" t="e">
        <f ca="1">IF(COND_INTERSTICIAL[[#This Row],[ϴn]]&gt;=0,610.5*EXP((17.269*COND_INTERSTICIAL[[#This Row],[ϴn]])/(237.3+COND_INTERSTICIAL[[#This Row],[ϴn]])),610.5*EXP((21.875*COND_INTERSTICIAL[[#This Row],[ϴn]])/(265.5+COND_INTERSTICIAL[[#This Row],[ϴn]])))</f>
        <v>#N/A</v>
      </c>
      <c r="DF50" s="90" t="e" cm="1">
        <f t="array" aca="1" ref="DF50" ca="1">COND_INTERSTICIAL[[#This Row],[S''d]]*((INDEX(CLIMA[Pi],COND_INTERSTICIAL[[#This Row],[Mes]])-INDEX(CLIMA[Pe],COND_INTERSTICIAL[[#This Row],[Mes]]))/INDEX(SECCIONES[SdT],COND_INTERSTICIAL[[#This Row],[Sección]]))+INDEX(CLIMA[Pe],COND_INTERSTICIAL[[#This Row],[Mes]])</f>
        <v>#N/A</v>
      </c>
      <c r="DG50" s="108" t="e">
        <f ca="1">IF((COND_INTERSTICIAL[[#This Row],[Pn]]&gt;=COND_INTERSTICIAL[[#This Row],[Psat]]),TRUE,FALSE)</f>
        <v>#N/A</v>
      </c>
      <c r="DH50" s="109" t="e" cm="1">
        <f t="array" aca="1" ref="DH50" ca="1">IF(COND_INTERSTICIAL[[#This Row],[Condensa]],COND_INTERSTICIAL[[#This Row],[Psat]],IF(COND_INTERSTICIAL[[#This Row],[Capa]]=N_capas,COND_INTERSTICIAL[[#This Row],[Pn]],""))</f>
        <v>#N/A</v>
      </c>
      <c r="DI50" s="109" t="e">
        <f ca="1">COND_INTERSTICIAL[[#This Row],[Mes]]&amp;"-"&amp;COND_INTERSTICIAL[[#This Row],[Sección]]&amp;"-"&amp;COND_INTERSTICIAL[[#This Row],[tramo cond]]</f>
        <v>#N/A</v>
      </c>
      <c r="DJ50" t="e" cm="1">
        <f t="array" aca="1" ref="DJ50" ca="1">IF(COND_INTERSTICIAL[[#This Row],[Capa]]=1,IF(COND_INTERSTICIAL[[#This Row],[Condensa]],2,1),IF(COND_INTERSTICIAL[[#This Row],[Condensa]],1,0)+INDIRECT(ADDRESS(ROW()-1,COLUMN(),4)))</f>
        <v>#N/A</v>
      </c>
      <c r="DK50" s="108" t="e" cm="1">
        <f t="array" aca="1" ref="DK50" ca="1">IF(COND_INTERSTICIAL[[#This Row],[tramo cond]]=1,0,IF((COND_INTERSTICIAL[[#This Row],[tramo cond]]&gt;INDIRECT(ADDRESS(ROW()-1,COLUMN(COND_INTERSTICIAL[[#This Row],[tramo cond]]),4)))+COND_INTERSTICIAL[[#This Row],[Condensa]],COND_INTERSTICIAL[[#This Row],[Capa]],INDIRECT(ADDRESS(ROW()-1,COLUMN(),4))))</f>
        <v>#N/A</v>
      </c>
      <c r="DL50" s="108" t="e" cm="1">
        <f t="array" aca="1" ref="DL50" ca="1">IF((COND_INTERSTICIAL[[#This Row],[Capa]]=N_capas)+(COND_INTERSTICIAL[[#This Row],[tramo cond]]=COUNTIFS(COND_INTERSTICIAL[Condensa],TRUE,COND_INTERSTICIAL[Mes],CW50,COND_INTERSTICIAL[Sección],CX50)+1),N_capas,INDEX(COND_INTERSTICIAL[capa lím inf cond],MATCH(COND_INTERSTICIAL[[#This Row],[Mes]]&amp;"-"&amp;COND_INTERSTICIAL[[#This Row],[Sección]]&amp;"-"&amp;(COND_INTERSTICIAL[[#This Row],[tramo cond]]+1),COND_INTERSTICIAL[llave tramo cond],0)))</f>
        <v>#N/A</v>
      </c>
      <c r="DM50" s="108" cm="1">
        <f t="array" aca="1" ref="DM5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0" s="110" t="e" cm="1">
        <f t="array" aca="1" ref="DN5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0" s="107" t="e">
        <f ca="1">COND_INTERSTICIAL[[#This Row],[gc]]+COND_INTERSTICIAL[[#This Row],[Ma_anterior cond]]</f>
        <v>#N/A</v>
      </c>
      <c r="DQ50" s="113" t="e">
        <f ca="1">IF((COND_INTERSTICIAL[[#This Row],[Ma_anterior cond]]&gt;0)*NOT(COND_INTERSTICIAL[[#This Row],[Condensa]]),TRUE,FALSE)</f>
        <v>#N/A</v>
      </c>
      <c r="DR50" s="112" t="e" cm="1">
        <f t="array" aca="1" ref="DR50" ca="1">IF(COND_INTERSTICIAL[[#This Row],[evapora]],COND_INTERSTICIAL[[#This Row],[Psat]],IF(COND_INTERSTICIAL[[#This Row],[Capa]]=N_capas,COND_INTERSTICIAL[[#This Row],[Pn]],""))</f>
        <v>#N/A</v>
      </c>
      <c r="DS50" s="112" t="e">
        <f ca="1">COND_INTERSTICIAL[[#This Row],[Mes]]&amp;"-"&amp;COND_INTERSTICIAL[[#This Row],[Sección]]&amp;"-"&amp;COND_INTERSTICIAL[[#This Row],[tramo ev]]</f>
        <v>#N/A</v>
      </c>
      <c r="DT50" s="111" t="e" cm="1">
        <f t="array" aca="1" ref="DT50" ca="1">IF(COND_INTERSTICIAL[[#This Row],[Capa]]=1,IF(COND_INTERSTICIAL[[#This Row],[evapora]],2,1),IF(COND_INTERSTICIAL[[#This Row],[evapora]],1,0)+INDIRECT(ADDRESS(ROW()-1,COLUMN(),4)))</f>
        <v>#N/A</v>
      </c>
      <c r="DU50" s="111" t="e" cm="1">
        <f t="array" aca="1" ref="DU50" ca="1">IF(COND_INTERSTICIAL[[#This Row],[tramo ev]]=1,0,IF((COND_INTERSTICIAL[[#This Row],[tramo ev]]&gt;INDIRECT(ADDRESS(ROW()-1,COLUMN(COND_INTERSTICIAL[[#This Row],[tramo ev]]),4)))+COND_INTERSTICIAL[[#This Row],[evapora]],COND_INTERSTICIAL[[#This Row],[Capa]],INDIRECT(ADDRESS(ROW()-1,COLUMN(),4))))</f>
        <v>#N/A</v>
      </c>
      <c r="DV50" s="111" t="e" cm="1">
        <f t="array" aca="1" ref="DV50" ca="1">IF((COND_INTERSTICIAL[[#This Row],[Capa]]=N_capas)+(COND_INTERSTICIAL[[#This Row],[tramo ev]]=COUNTIFS(COND_INTERSTICIAL[evapora],TRUE,COND_INTERSTICIAL[Mes],CW50,COND_INTERSTICIAL[Sección],CX50)+1),N_capas,INDEX(COND_INTERSTICIAL[capa lím inf ev],MATCH(COND_INTERSTICIAL[[#This Row],[Mes]]&amp;"-"&amp;COND_INTERSTICIAL[[#This Row],[Sección]]&amp;"-"&amp;(COND_INTERSTICIAL[[#This Row],[tramo ev]]+1),COND_INTERSTICIAL[llave tramo ev],0)))</f>
        <v>#N/A</v>
      </c>
      <c r="DW50" s="111" cm="1">
        <f t="array" aca="1" ref="DW5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0" s="113" t="e" cm="1">
        <f t="array" aca="1" ref="DX5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0" s="113" t="e">
        <f ca="1">COND_INTERSTICIAL[[#This Row],[gev]]+COND_INTERSTICIAL[[#This Row],[Ma anterior ev]]</f>
        <v>#N/A</v>
      </c>
      <c r="EA50" s="115" t="e">
        <f ca="1">IF(COND_INTERSTICIAL[[#This Row],[Ma cond]]+COND_INTERSTICIAL[[#This Row],[Ma ev]]&lt;=0,0,COND_INTERSTICIAL[[#This Row],[Ma cond]]+COND_INTERSTICIAL[[#This Row],[Ma ev]])</f>
        <v>#N/A</v>
      </c>
      <c r="EB50" s="115" t="e">
        <f ca="1">IF(COND_INTERSTICIAL[[#This Row],[Ma]]&gt;0,TRUE,FALSE)</f>
        <v>#N/A</v>
      </c>
      <c r="EC50" s="115" t="e" cm="1">
        <f t="array" aca="1" ref="EC50" ca="1">IF(COND_INTERSTICIAL[[#This Row],[agua líquida]],IF(COND_INTERSTICIAL[[#This Row],[Condensa]],COND_INTERSTICIAL[[#This Row],[P límite cond]],COND_INTERSTICIAL[[#This Row],[P límite ev]]),IF(COND_INTERSTICIAL[[#This Row],[Capa]]=N_capas,COND_INTERSTICIAL[[#This Row],[Pn]],""))</f>
        <v>#N/A</v>
      </c>
      <c r="ED50" s="115" t="e">
        <f ca="1">COND_INTERSTICIAL[[#This Row],[Mes]]&amp;"-"&amp;COND_INTERSTICIAL[[#This Row],[Sección]]&amp;"-"&amp;COND_INTERSTICIAL[[#This Row],[tramo gráf]]</f>
        <v>#N/A</v>
      </c>
      <c r="EE50" s="114" t="e" cm="1">
        <f t="array" aca="1" ref="EE50" ca="1">IF(COND_INTERSTICIAL[[#This Row],[Capa]]=1,IF(COND_INTERSTICIAL[[#This Row],[agua líquida]],2,1),IF(COND_INTERSTICIAL[[#This Row],[agua líquida]],1,0)+INDIRECT(ADDRESS(ROW()-1,COLUMN(),4)))</f>
        <v>#N/A</v>
      </c>
      <c r="EF50" s="114" t="e" cm="1">
        <f t="array" aca="1" ref="EF50" ca="1">IF(COND_INTERSTICIAL[[#This Row],[tramo gráf]]=1,0,IF((COND_INTERSTICIAL[[#This Row],[tramo gráf]]&gt;INDIRECT(ADDRESS(ROW()-1,COLUMN(COND_INTERSTICIAL[[#This Row],[tramo gráf]]),4)))+COND_INTERSTICIAL[[#This Row],[agua líquida]],COND_INTERSTICIAL[[#This Row],[Capa]],INDIRECT(ADDRESS(ROW()-1,COLUMN(),4))))</f>
        <v>#N/A</v>
      </c>
      <c r="EG50" s="114" t="e" cm="1">
        <f t="array" aca="1" ref="EG50" ca="1">IF((COND_INTERSTICIAL[[#This Row],[Capa]]=N_capas)+(COND_INTERSTICIAL[[#This Row],[tramo gráf]]=COUNTIFS(COND_INTERSTICIAL[agua líquida],TRUE,COND_INTERSTICIAL[Mes],CW50,COND_INTERSTICIAL[Sección],CX50)+1),N_capas,INDEX(COND_INTERSTICIAL[capa lím inf gráf],MATCH(COND_INTERSTICIAL[[#This Row],[Mes]]&amp;"-"&amp;COND_INTERSTICIAL[[#This Row],[Sección]]&amp;"-"&amp;(COND_INTERSTICIAL[[#This Row],[tramo gráf]]+1),COND_INTERSTICIAL[llave tramo gráf],0)))</f>
        <v>#N/A</v>
      </c>
      <c r="EH50" s="114" cm="1">
        <f t="array" aca="1" ref="EH5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0" s="116" t="e" cm="1">
        <f t="array" aca="1" ref="EI5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GD50" s="11"/>
      <c r="GE50" t="s">
        <v>337</v>
      </c>
      <c r="GF50" t="s">
        <v>156</v>
      </c>
      <c r="GH50" s="12"/>
    </row>
    <row r="51" spans="6:190" x14ac:dyDescent="0.45">
      <c r="AF51" s="13" t="s">
        <v>372</v>
      </c>
      <c r="AG51" s="181" t="s">
        <v>373</v>
      </c>
      <c r="AH51" s="8" cm="1">
        <f t="array" ref="AH51">MAX(SECCIONES[R100 capa aislante]/100)</f>
        <v>0</v>
      </c>
      <c r="AI51" s="14" t="s">
        <v>100</v>
      </c>
      <c r="BY51" t="s">
        <v>1394</v>
      </c>
      <c r="BZ51" t="b">
        <f ca="1">IF(INDEX(COND_INTERSTICIAL_AGUA_ACUMULADA[interfases con agua líquida],1)&gt;0,TRUE,FALSE)</f>
        <v>0</v>
      </c>
      <c r="CW51" s="1" cm="1">
        <f t="array" ref="CW51">ROUNDUP((ROW()-$CN$18+(Mes_inicial_de_análisis-1)*N_capas*N_secciones)/(N_capas*N_secciones),0)-12*IF(ROW()-$CN$18&gt;(12-Mes_inicial_de_análisis+1)*N_capas*N_secciones,1,0)</f>
        <v>9</v>
      </c>
      <c r="CX51" cm="1">
        <f t="array" ref="CX51">ROUNDUP((ROW()-$CN$18)/N_capas-(ROUNDUP((ROW()-$CN$18)/(N_capas*N_secciones),0)-1)*N_secciones,0)</f>
        <v>1</v>
      </c>
      <c r="CY51" cm="1">
        <f t="array" ref="CY51">(ROW()-$CN$18)-(COND_INTERSTICIAL[[#This Row],[Sección]]-1)*N_capas-(ROUNDUP((ROW()-$CN$18)/(N_capas*N_secciones),0)-1)*N_capas*N_secciones</f>
        <v>4</v>
      </c>
      <c r="CZ51" t="str">
        <f>COND_INTERSTICIAL[[#This Row],[Mes]]&amp;"-"&amp;COND_INTERSTICIAL[[#This Row],[Sección]]&amp;"-"&amp;COND_INTERSTICIAL[[#This Row],[Capa]]</f>
        <v>9-1-4</v>
      </c>
      <c r="DA51">
        <f ca="1">INDEX(SECCIONES_CAPAS[R''n],MATCH(COND_INTERSTICIAL[[#This Row],[Sección]]&amp;"-"&amp;COND_INTERSTICIAL[[#This Row],[Capa]],SECCIONES_CAPAS[llave],0))</f>
        <v>0.04</v>
      </c>
      <c r="DB51" s="172" t="e" cm="1">
        <f t="array" aca="1" ref="DB51" ca="1">INDEX(CLIMA[ϴe],COND_INTERSTICIAL[[#This Row],[Mes]])+COND_INTERSTICIAL[[#This Row],[Rn]]*(INDEX(CLIMA[ϴi],COND_INTERSTICIAL[[#This Row],[Mes]])-INDEX(CLIMA[ϴe],COND_INTERSTICIAL[[#This Row],[Mes]]))/(INDEX(SECCIONES[Rtsección_condensación],COND_INTERSTICIAL[[#This Row],[Sección]]))</f>
        <v>#N/A</v>
      </c>
      <c r="DC51">
        <f>INDEX(SECCIONES_CAPAS[Sd],MATCH(COND_INTERSTICIAL[[#This Row],[Sección]]&amp;"-"&amp;COND_INTERSTICIAL[[#This Row],[Capa]],SECCIONES_CAPAS[llave],0))</f>
        <v>0</v>
      </c>
      <c r="DD51">
        <f ca="1">INDEX(SECCIONES_CAPAS[S''d],MATCH(COND_INTERSTICIAL[[#This Row],[Sección]]&amp;"-"&amp;COND_INTERSTICIAL[[#This Row],[Capa]],SECCIONES_CAPAS[llave],0))</f>
        <v>0</v>
      </c>
      <c r="DE51" s="90" t="e">
        <f ca="1">IF(COND_INTERSTICIAL[[#This Row],[ϴn]]&gt;=0,610.5*EXP((17.269*COND_INTERSTICIAL[[#This Row],[ϴn]])/(237.3+COND_INTERSTICIAL[[#This Row],[ϴn]])),610.5*EXP((21.875*COND_INTERSTICIAL[[#This Row],[ϴn]])/(265.5+COND_INTERSTICIAL[[#This Row],[ϴn]])))</f>
        <v>#N/A</v>
      </c>
      <c r="DF51" s="90" t="e" cm="1">
        <f t="array" aca="1" ref="DF51" ca="1">COND_INTERSTICIAL[[#This Row],[S''d]]*((INDEX(CLIMA[Pi],COND_INTERSTICIAL[[#This Row],[Mes]])-INDEX(CLIMA[Pe],COND_INTERSTICIAL[[#This Row],[Mes]]))/INDEX(SECCIONES[SdT],COND_INTERSTICIAL[[#This Row],[Sección]]))+INDEX(CLIMA[Pe],COND_INTERSTICIAL[[#This Row],[Mes]])</f>
        <v>#N/A</v>
      </c>
      <c r="DG51" s="108" t="e">
        <f ca="1">IF((COND_INTERSTICIAL[[#This Row],[Pn]]&gt;=COND_INTERSTICIAL[[#This Row],[Psat]]),TRUE,FALSE)</f>
        <v>#N/A</v>
      </c>
      <c r="DH51" s="109" t="e" cm="1">
        <f t="array" aca="1" ref="DH51" ca="1">IF(COND_INTERSTICIAL[[#This Row],[Condensa]],COND_INTERSTICIAL[[#This Row],[Psat]],IF(COND_INTERSTICIAL[[#This Row],[Capa]]=N_capas,COND_INTERSTICIAL[[#This Row],[Pn]],""))</f>
        <v>#N/A</v>
      </c>
      <c r="DI51" s="109" t="e">
        <f ca="1">COND_INTERSTICIAL[[#This Row],[Mes]]&amp;"-"&amp;COND_INTERSTICIAL[[#This Row],[Sección]]&amp;"-"&amp;COND_INTERSTICIAL[[#This Row],[tramo cond]]</f>
        <v>#N/A</v>
      </c>
      <c r="DJ51" t="e" cm="1">
        <f t="array" aca="1" ref="DJ51" ca="1">IF(COND_INTERSTICIAL[[#This Row],[Capa]]=1,IF(COND_INTERSTICIAL[[#This Row],[Condensa]],2,1),IF(COND_INTERSTICIAL[[#This Row],[Condensa]],1,0)+INDIRECT(ADDRESS(ROW()-1,COLUMN(),4)))</f>
        <v>#N/A</v>
      </c>
      <c r="DK51" s="108" t="e" cm="1">
        <f t="array" aca="1" ref="DK51" ca="1">IF(COND_INTERSTICIAL[[#This Row],[tramo cond]]=1,0,IF((COND_INTERSTICIAL[[#This Row],[tramo cond]]&gt;INDIRECT(ADDRESS(ROW()-1,COLUMN(COND_INTERSTICIAL[[#This Row],[tramo cond]]),4)))+COND_INTERSTICIAL[[#This Row],[Condensa]],COND_INTERSTICIAL[[#This Row],[Capa]],INDIRECT(ADDRESS(ROW()-1,COLUMN(),4))))</f>
        <v>#N/A</v>
      </c>
      <c r="DL51" s="108" t="e" cm="1">
        <f t="array" aca="1" ref="DL51" ca="1">IF((COND_INTERSTICIAL[[#This Row],[Capa]]=N_capas)+(COND_INTERSTICIAL[[#This Row],[tramo cond]]=COUNTIFS(COND_INTERSTICIAL[Condensa],TRUE,COND_INTERSTICIAL[Mes],CW51,COND_INTERSTICIAL[Sección],CX51)+1),N_capas,INDEX(COND_INTERSTICIAL[capa lím inf cond],MATCH(COND_INTERSTICIAL[[#This Row],[Mes]]&amp;"-"&amp;COND_INTERSTICIAL[[#This Row],[Sección]]&amp;"-"&amp;(COND_INTERSTICIAL[[#This Row],[tramo cond]]+1),COND_INTERSTICIAL[llave tramo cond],0)))</f>
        <v>#N/A</v>
      </c>
      <c r="DM51" s="108" cm="1">
        <f t="array" aca="1" ref="DM5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1" s="110" t="e" cm="1">
        <f t="array" aca="1" ref="DN5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1" s="107" t="e">
        <f ca="1">COND_INTERSTICIAL[[#This Row],[gc]]+COND_INTERSTICIAL[[#This Row],[Ma_anterior cond]]</f>
        <v>#N/A</v>
      </c>
      <c r="DQ51" s="113" t="e">
        <f ca="1">IF((COND_INTERSTICIAL[[#This Row],[Ma_anterior cond]]&gt;0)*NOT(COND_INTERSTICIAL[[#This Row],[Condensa]]),TRUE,FALSE)</f>
        <v>#N/A</v>
      </c>
      <c r="DR51" s="112" t="e" cm="1">
        <f t="array" aca="1" ref="DR51" ca="1">IF(COND_INTERSTICIAL[[#This Row],[evapora]],COND_INTERSTICIAL[[#This Row],[Psat]],IF(COND_INTERSTICIAL[[#This Row],[Capa]]=N_capas,COND_INTERSTICIAL[[#This Row],[Pn]],""))</f>
        <v>#N/A</v>
      </c>
      <c r="DS51" s="112" t="e">
        <f ca="1">COND_INTERSTICIAL[[#This Row],[Mes]]&amp;"-"&amp;COND_INTERSTICIAL[[#This Row],[Sección]]&amp;"-"&amp;COND_INTERSTICIAL[[#This Row],[tramo ev]]</f>
        <v>#N/A</v>
      </c>
      <c r="DT51" s="111" t="e" cm="1">
        <f t="array" aca="1" ref="DT51" ca="1">IF(COND_INTERSTICIAL[[#This Row],[Capa]]=1,IF(COND_INTERSTICIAL[[#This Row],[evapora]],2,1),IF(COND_INTERSTICIAL[[#This Row],[evapora]],1,0)+INDIRECT(ADDRESS(ROW()-1,COLUMN(),4)))</f>
        <v>#N/A</v>
      </c>
      <c r="DU51" s="111" t="e" cm="1">
        <f t="array" aca="1" ref="DU51" ca="1">IF(COND_INTERSTICIAL[[#This Row],[tramo ev]]=1,0,IF((COND_INTERSTICIAL[[#This Row],[tramo ev]]&gt;INDIRECT(ADDRESS(ROW()-1,COLUMN(COND_INTERSTICIAL[[#This Row],[tramo ev]]),4)))+COND_INTERSTICIAL[[#This Row],[evapora]],COND_INTERSTICIAL[[#This Row],[Capa]],INDIRECT(ADDRESS(ROW()-1,COLUMN(),4))))</f>
        <v>#N/A</v>
      </c>
      <c r="DV51" s="111" t="e" cm="1">
        <f t="array" aca="1" ref="DV51" ca="1">IF((COND_INTERSTICIAL[[#This Row],[Capa]]=N_capas)+(COND_INTERSTICIAL[[#This Row],[tramo ev]]=COUNTIFS(COND_INTERSTICIAL[evapora],TRUE,COND_INTERSTICIAL[Mes],CW51,COND_INTERSTICIAL[Sección],CX51)+1),N_capas,INDEX(COND_INTERSTICIAL[capa lím inf ev],MATCH(COND_INTERSTICIAL[[#This Row],[Mes]]&amp;"-"&amp;COND_INTERSTICIAL[[#This Row],[Sección]]&amp;"-"&amp;(COND_INTERSTICIAL[[#This Row],[tramo ev]]+1),COND_INTERSTICIAL[llave tramo ev],0)))</f>
        <v>#N/A</v>
      </c>
      <c r="DW51" s="111" cm="1">
        <f t="array" aca="1" ref="DW5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1" s="113" t="e" cm="1">
        <f t="array" aca="1" ref="DX5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1" s="113" t="e">
        <f ca="1">COND_INTERSTICIAL[[#This Row],[gev]]+COND_INTERSTICIAL[[#This Row],[Ma anterior ev]]</f>
        <v>#N/A</v>
      </c>
      <c r="EA51" s="115" t="e">
        <f ca="1">IF(COND_INTERSTICIAL[[#This Row],[Ma cond]]+COND_INTERSTICIAL[[#This Row],[Ma ev]]&lt;=0,0,COND_INTERSTICIAL[[#This Row],[Ma cond]]+COND_INTERSTICIAL[[#This Row],[Ma ev]])</f>
        <v>#N/A</v>
      </c>
      <c r="EB51" s="115" t="e">
        <f ca="1">IF(COND_INTERSTICIAL[[#This Row],[Ma]]&gt;0,TRUE,FALSE)</f>
        <v>#N/A</v>
      </c>
      <c r="EC51" s="115" t="e" cm="1">
        <f t="array" aca="1" ref="EC51" ca="1">IF(COND_INTERSTICIAL[[#This Row],[agua líquida]],IF(COND_INTERSTICIAL[[#This Row],[Condensa]],COND_INTERSTICIAL[[#This Row],[P límite cond]],COND_INTERSTICIAL[[#This Row],[P límite ev]]),IF(COND_INTERSTICIAL[[#This Row],[Capa]]=N_capas,COND_INTERSTICIAL[[#This Row],[Pn]],""))</f>
        <v>#N/A</v>
      </c>
      <c r="ED51" s="115" t="e">
        <f ca="1">COND_INTERSTICIAL[[#This Row],[Mes]]&amp;"-"&amp;COND_INTERSTICIAL[[#This Row],[Sección]]&amp;"-"&amp;COND_INTERSTICIAL[[#This Row],[tramo gráf]]</f>
        <v>#N/A</v>
      </c>
      <c r="EE51" s="114" t="e" cm="1">
        <f t="array" aca="1" ref="EE51" ca="1">IF(COND_INTERSTICIAL[[#This Row],[Capa]]=1,IF(COND_INTERSTICIAL[[#This Row],[agua líquida]],2,1),IF(COND_INTERSTICIAL[[#This Row],[agua líquida]],1,0)+INDIRECT(ADDRESS(ROW()-1,COLUMN(),4)))</f>
        <v>#N/A</v>
      </c>
      <c r="EF51" s="114" t="e" cm="1">
        <f t="array" aca="1" ref="EF51" ca="1">IF(COND_INTERSTICIAL[[#This Row],[tramo gráf]]=1,0,IF((COND_INTERSTICIAL[[#This Row],[tramo gráf]]&gt;INDIRECT(ADDRESS(ROW()-1,COLUMN(COND_INTERSTICIAL[[#This Row],[tramo gráf]]),4)))+COND_INTERSTICIAL[[#This Row],[agua líquida]],COND_INTERSTICIAL[[#This Row],[Capa]],INDIRECT(ADDRESS(ROW()-1,COLUMN(),4))))</f>
        <v>#N/A</v>
      </c>
      <c r="EG51" s="114" t="e" cm="1">
        <f t="array" aca="1" ref="EG51" ca="1">IF((COND_INTERSTICIAL[[#This Row],[Capa]]=N_capas)+(COND_INTERSTICIAL[[#This Row],[tramo gráf]]=COUNTIFS(COND_INTERSTICIAL[agua líquida],TRUE,COND_INTERSTICIAL[Mes],CW51,COND_INTERSTICIAL[Sección],CX51)+1),N_capas,INDEX(COND_INTERSTICIAL[capa lím inf gráf],MATCH(COND_INTERSTICIAL[[#This Row],[Mes]]&amp;"-"&amp;COND_INTERSTICIAL[[#This Row],[Sección]]&amp;"-"&amp;(COND_INTERSTICIAL[[#This Row],[tramo gráf]]+1),COND_INTERSTICIAL[llave tramo gráf],0)))</f>
        <v>#N/A</v>
      </c>
      <c r="EH51" s="114" cm="1">
        <f t="array" aca="1" ref="EH5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1" s="116" t="e" cm="1">
        <f t="array" aca="1" ref="EI5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GD51" s="11" t="s">
        <v>1453</v>
      </c>
      <c r="GE51">
        <f>GE41+GE46</f>
        <v>2.16</v>
      </c>
      <c r="GF51" s="52">
        <f>GE51/$GE$54</f>
        <v>0.2142857142857143</v>
      </c>
      <c r="GH51" s="12"/>
    </row>
    <row r="52" spans="6:190" x14ac:dyDescent="0.45">
      <c r="AF52" s="11"/>
      <c r="AG52" s="2"/>
      <c r="AI52" s="12"/>
      <c r="BY52" t="s">
        <v>1461</v>
      </c>
      <c r="CW52" s="1" cm="1">
        <f t="array" ref="CW52">ROUNDUP((ROW()-$CN$18+(Mes_inicial_de_análisis-1)*N_capas*N_secciones)/(N_capas*N_secciones),0)-12*IF(ROW()-$CN$18&gt;(12-Mes_inicial_de_análisis+1)*N_capas*N_secciones,1,0)</f>
        <v>9</v>
      </c>
      <c r="CX52" cm="1">
        <f t="array" ref="CX52">ROUNDUP((ROW()-$CN$18)/N_capas-(ROUNDUP((ROW()-$CN$18)/(N_capas*N_secciones),0)-1)*N_secciones,0)</f>
        <v>1</v>
      </c>
      <c r="CY52" cm="1">
        <f t="array" ref="CY52">(ROW()-$CN$18)-(COND_INTERSTICIAL[[#This Row],[Sección]]-1)*N_capas-(ROUNDUP((ROW()-$CN$18)/(N_capas*N_secciones),0)-1)*N_capas*N_secciones</f>
        <v>5</v>
      </c>
      <c r="CZ52" t="str">
        <f>COND_INTERSTICIAL[[#This Row],[Mes]]&amp;"-"&amp;COND_INTERSTICIAL[[#This Row],[Sección]]&amp;"-"&amp;COND_INTERSTICIAL[[#This Row],[Capa]]</f>
        <v>9-1-5</v>
      </c>
      <c r="DA52">
        <f ca="1">INDEX(SECCIONES_CAPAS[R''n],MATCH(COND_INTERSTICIAL[[#This Row],[Sección]]&amp;"-"&amp;COND_INTERSTICIAL[[#This Row],[Capa]],SECCIONES_CAPAS[llave],0))</f>
        <v>0.04</v>
      </c>
      <c r="DB52" s="172" t="e" cm="1">
        <f t="array" aca="1" ref="DB52" ca="1">INDEX(CLIMA[ϴe],COND_INTERSTICIAL[[#This Row],[Mes]])+COND_INTERSTICIAL[[#This Row],[Rn]]*(INDEX(CLIMA[ϴi],COND_INTERSTICIAL[[#This Row],[Mes]])-INDEX(CLIMA[ϴe],COND_INTERSTICIAL[[#This Row],[Mes]]))/(INDEX(SECCIONES[Rtsección_condensación],COND_INTERSTICIAL[[#This Row],[Sección]]))</f>
        <v>#N/A</v>
      </c>
      <c r="DC52">
        <f>INDEX(SECCIONES_CAPAS[Sd],MATCH(COND_INTERSTICIAL[[#This Row],[Sección]]&amp;"-"&amp;COND_INTERSTICIAL[[#This Row],[Capa]],SECCIONES_CAPAS[llave],0))</f>
        <v>0</v>
      </c>
      <c r="DD52">
        <f ca="1">INDEX(SECCIONES_CAPAS[S''d],MATCH(COND_INTERSTICIAL[[#This Row],[Sección]]&amp;"-"&amp;COND_INTERSTICIAL[[#This Row],[Capa]],SECCIONES_CAPAS[llave],0))</f>
        <v>0</v>
      </c>
      <c r="DE52" s="90" t="e">
        <f ca="1">IF(COND_INTERSTICIAL[[#This Row],[ϴn]]&gt;=0,610.5*EXP((17.269*COND_INTERSTICIAL[[#This Row],[ϴn]])/(237.3+COND_INTERSTICIAL[[#This Row],[ϴn]])),610.5*EXP((21.875*COND_INTERSTICIAL[[#This Row],[ϴn]])/(265.5+COND_INTERSTICIAL[[#This Row],[ϴn]])))</f>
        <v>#N/A</v>
      </c>
      <c r="DF52" s="90" t="e" cm="1">
        <f t="array" aca="1" ref="DF52" ca="1">COND_INTERSTICIAL[[#This Row],[S''d]]*((INDEX(CLIMA[Pi],COND_INTERSTICIAL[[#This Row],[Mes]])-INDEX(CLIMA[Pe],COND_INTERSTICIAL[[#This Row],[Mes]]))/INDEX(SECCIONES[SdT],COND_INTERSTICIAL[[#This Row],[Sección]]))+INDEX(CLIMA[Pe],COND_INTERSTICIAL[[#This Row],[Mes]])</f>
        <v>#N/A</v>
      </c>
      <c r="DG52" s="108" t="e">
        <f ca="1">IF((COND_INTERSTICIAL[[#This Row],[Pn]]&gt;=COND_INTERSTICIAL[[#This Row],[Psat]]),TRUE,FALSE)</f>
        <v>#N/A</v>
      </c>
      <c r="DH52" s="109" t="e" cm="1">
        <f t="array" aca="1" ref="DH52" ca="1">IF(COND_INTERSTICIAL[[#This Row],[Condensa]],COND_INTERSTICIAL[[#This Row],[Psat]],IF(COND_INTERSTICIAL[[#This Row],[Capa]]=N_capas,COND_INTERSTICIAL[[#This Row],[Pn]],""))</f>
        <v>#N/A</v>
      </c>
      <c r="DI52" s="109" t="e">
        <f ca="1">COND_INTERSTICIAL[[#This Row],[Mes]]&amp;"-"&amp;COND_INTERSTICIAL[[#This Row],[Sección]]&amp;"-"&amp;COND_INTERSTICIAL[[#This Row],[tramo cond]]</f>
        <v>#N/A</v>
      </c>
      <c r="DJ52" t="e" cm="1">
        <f t="array" aca="1" ref="DJ52" ca="1">IF(COND_INTERSTICIAL[[#This Row],[Capa]]=1,IF(COND_INTERSTICIAL[[#This Row],[Condensa]],2,1),IF(COND_INTERSTICIAL[[#This Row],[Condensa]],1,0)+INDIRECT(ADDRESS(ROW()-1,COLUMN(),4)))</f>
        <v>#N/A</v>
      </c>
      <c r="DK52" s="108" t="e" cm="1">
        <f t="array" aca="1" ref="DK52" ca="1">IF(COND_INTERSTICIAL[[#This Row],[tramo cond]]=1,0,IF((COND_INTERSTICIAL[[#This Row],[tramo cond]]&gt;INDIRECT(ADDRESS(ROW()-1,COLUMN(COND_INTERSTICIAL[[#This Row],[tramo cond]]),4)))+COND_INTERSTICIAL[[#This Row],[Condensa]],COND_INTERSTICIAL[[#This Row],[Capa]],INDIRECT(ADDRESS(ROW()-1,COLUMN(),4))))</f>
        <v>#N/A</v>
      </c>
      <c r="DL52" s="108" t="e" cm="1">
        <f t="array" aca="1" ref="DL52" ca="1">IF((COND_INTERSTICIAL[[#This Row],[Capa]]=N_capas)+(COND_INTERSTICIAL[[#This Row],[tramo cond]]=COUNTIFS(COND_INTERSTICIAL[Condensa],TRUE,COND_INTERSTICIAL[Mes],CW52,COND_INTERSTICIAL[Sección],CX52)+1),N_capas,INDEX(COND_INTERSTICIAL[capa lím inf cond],MATCH(COND_INTERSTICIAL[[#This Row],[Mes]]&amp;"-"&amp;COND_INTERSTICIAL[[#This Row],[Sección]]&amp;"-"&amp;(COND_INTERSTICIAL[[#This Row],[tramo cond]]+1),COND_INTERSTICIAL[llave tramo cond],0)))</f>
        <v>#N/A</v>
      </c>
      <c r="DM52" s="108" cm="1">
        <f t="array" aca="1" ref="DM5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2" s="110" t="e" cm="1">
        <f t="array" aca="1" ref="DN5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2" s="107" t="e">
        <f ca="1">COND_INTERSTICIAL[[#This Row],[gc]]+COND_INTERSTICIAL[[#This Row],[Ma_anterior cond]]</f>
        <v>#N/A</v>
      </c>
      <c r="DQ52" s="113" t="e">
        <f ca="1">IF((COND_INTERSTICIAL[[#This Row],[Ma_anterior cond]]&gt;0)*NOT(COND_INTERSTICIAL[[#This Row],[Condensa]]),TRUE,FALSE)</f>
        <v>#N/A</v>
      </c>
      <c r="DR52" s="112" t="e" cm="1">
        <f t="array" aca="1" ref="DR52" ca="1">IF(COND_INTERSTICIAL[[#This Row],[evapora]],COND_INTERSTICIAL[[#This Row],[Psat]],IF(COND_INTERSTICIAL[[#This Row],[Capa]]=N_capas,COND_INTERSTICIAL[[#This Row],[Pn]],""))</f>
        <v>#N/A</v>
      </c>
      <c r="DS52" s="112" t="e">
        <f ca="1">COND_INTERSTICIAL[[#This Row],[Mes]]&amp;"-"&amp;COND_INTERSTICIAL[[#This Row],[Sección]]&amp;"-"&amp;COND_INTERSTICIAL[[#This Row],[tramo ev]]</f>
        <v>#N/A</v>
      </c>
      <c r="DT52" s="111" t="e" cm="1">
        <f t="array" aca="1" ref="DT52" ca="1">IF(COND_INTERSTICIAL[[#This Row],[Capa]]=1,IF(COND_INTERSTICIAL[[#This Row],[evapora]],2,1),IF(COND_INTERSTICIAL[[#This Row],[evapora]],1,0)+INDIRECT(ADDRESS(ROW()-1,COLUMN(),4)))</f>
        <v>#N/A</v>
      </c>
      <c r="DU52" s="111" t="e" cm="1">
        <f t="array" aca="1" ref="DU52" ca="1">IF(COND_INTERSTICIAL[[#This Row],[tramo ev]]=1,0,IF((COND_INTERSTICIAL[[#This Row],[tramo ev]]&gt;INDIRECT(ADDRESS(ROW()-1,COLUMN(COND_INTERSTICIAL[[#This Row],[tramo ev]]),4)))+COND_INTERSTICIAL[[#This Row],[evapora]],COND_INTERSTICIAL[[#This Row],[Capa]],INDIRECT(ADDRESS(ROW()-1,COLUMN(),4))))</f>
        <v>#N/A</v>
      </c>
      <c r="DV52" s="111" t="e" cm="1">
        <f t="array" aca="1" ref="DV52" ca="1">IF((COND_INTERSTICIAL[[#This Row],[Capa]]=N_capas)+(COND_INTERSTICIAL[[#This Row],[tramo ev]]=COUNTIFS(COND_INTERSTICIAL[evapora],TRUE,COND_INTERSTICIAL[Mes],CW52,COND_INTERSTICIAL[Sección],CX52)+1),N_capas,INDEX(COND_INTERSTICIAL[capa lím inf ev],MATCH(COND_INTERSTICIAL[[#This Row],[Mes]]&amp;"-"&amp;COND_INTERSTICIAL[[#This Row],[Sección]]&amp;"-"&amp;(COND_INTERSTICIAL[[#This Row],[tramo ev]]+1),COND_INTERSTICIAL[llave tramo ev],0)))</f>
        <v>#N/A</v>
      </c>
      <c r="DW52" s="111" cm="1">
        <f t="array" aca="1" ref="DW5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2" s="113" t="e" cm="1">
        <f t="array" aca="1" ref="DX5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2" s="113" t="e">
        <f ca="1">COND_INTERSTICIAL[[#This Row],[gev]]+COND_INTERSTICIAL[[#This Row],[Ma anterior ev]]</f>
        <v>#N/A</v>
      </c>
      <c r="EA52" s="115" t="e">
        <f ca="1">IF(COND_INTERSTICIAL[[#This Row],[Ma cond]]+COND_INTERSTICIAL[[#This Row],[Ma ev]]&lt;=0,0,COND_INTERSTICIAL[[#This Row],[Ma cond]]+COND_INTERSTICIAL[[#This Row],[Ma ev]])</f>
        <v>#N/A</v>
      </c>
      <c r="EB52" s="115" t="e">
        <f ca="1">IF(COND_INTERSTICIAL[[#This Row],[Ma]]&gt;0,TRUE,FALSE)</f>
        <v>#N/A</v>
      </c>
      <c r="EC52" s="115" t="e" cm="1">
        <f t="array" aca="1" ref="EC52" ca="1">IF(COND_INTERSTICIAL[[#This Row],[agua líquida]],IF(COND_INTERSTICIAL[[#This Row],[Condensa]],COND_INTERSTICIAL[[#This Row],[P límite cond]],COND_INTERSTICIAL[[#This Row],[P límite ev]]),IF(COND_INTERSTICIAL[[#This Row],[Capa]]=N_capas,COND_INTERSTICIAL[[#This Row],[Pn]],""))</f>
        <v>#N/A</v>
      </c>
      <c r="ED52" s="115" t="e">
        <f ca="1">COND_INTERSTICIAL[[#This Row],[Mes]]&amp;"-"&amp;COND_INTERSTICIAL[[#This Row],[Sección]]&amp;"-"&amp;COND_INTERSTICIAL[[#This Row],[tramo gráf]]</f>
        <v>#N/A</v>
      </c>
      <c r="EE52" s="114" t="e" cm="1">
        <f t="array" aca="1" ref="EE52" ca="1">IF(COND_INTERSTICIAL[[#This Row],[Capa]]=1,IF(COND_INTERSTICIAL[[#This Row],[agua líquida]],2,1),IF(COND_INTERSTICIAL[[#This Row],[agua líquida]],1,0)+INDIRECT(ADDRESS(ROW()-1,COLUMN(),4)))</f>
        <v>#N/A</v>
      </c>
      <c r="EF52" s="114" t="e" cm="1">
        <f t="array" aca="1" ref="EF52" ca="1">IF(COND_INTERSTICIAL[[#This Row],[tramo gráf]]=1,0,IF((COND_INTERSTICIAL[[#This Row],[tramo gráf]]&gt;INDIRECT(ADDRESS(ROW()-1,COLUMN(COND_INTERSTICIAL[[#This Row],[tramo gráf]]),4)))+COND_INTERSTICIAL[[#This Row],[agua líquida]],COND_INTERSTICIAL[[#This Row],[Capa]],INDIRECT(ADDRESS(ROW()-1,COLUMN(),4))))</f>
        <v>#N/A</v>
      </c>
      <c r="EG52" s="114" t="e" cm="1">
        <f t="array" aca="1" ref="EG52" ca="1">IF((COND_INTERSTICIAL[[#This Row],[Capa]]=N_capas)+(COND_INTERSTICIAL[[#This Row],[tramo gráf]]=COUNTIFS(COND_INTERSTICIAL[agua líquida],TRUE,COND_INTERSTICIAL[Mes],CW52,COND_INTERSTICIAL[Sección],CX52)+1),N_capas,INDEX(COND_INTERSTICIAL[capa lím inf gráf],MATCH(COND_INTERSTICIAL[[#This Row],[Mes]]&amp;"-"&amp;COND_INTERSTICIAL[[#This Row],[Sección]]&amp;"-"&amp;(COND_INTERSTICIAL[[#This Row],[tramo gráf]]+1),COND_INTERSTICIAL[llave tramo gráf],0)))</f>
        <v>#N/A</v>
      </c>
      <c r="EH52" s="114" cm="1">
        <f t="array" aca="1" ref="EH5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2" s="116" t="e" cm="1">
        <f t="array" aca="1" ref="EI5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GD52" s="11" t="s">
        <v>1438</v>
      </c>
      <c r="GE52">
        <f>GE54-GE51-GE53</f>
        <v>2.4651000000000005</v>
      </c>
      <c r="GF52" s="52">
        <f t="shared" ref="GF52:GF54" si="2">GE52/$GE$54</f>
        <v>0.24455357142857148</v>
      </c>
      <c r="GH52" s="12"/>
    </row>
    <row r="53" spans="6:190" x14ac:dyDescent="0.45">
      <c r="AF53" s="15" t="s">
        <v>375</v>
      </c>
      <c r="AG53" s="182" t="s">
        <v>376</v>
      </c>
      <c r="AH53" s="4">
        <f>IFERROR(α_fijaciones*λ_f*A_f*n_f*((R_1_fijaciones/R_tot)^2)/d_1,0)</f>
        <v>0</v>
      </c>
      <c r="AI53" s="10" t="s">
        <v>348</v>
      </c>
      <c r="CW53" s="1" cm="1">
        <f t="array" ref="CW53">ROUNDUP((ROW()-$CN$18+(Mes_inicial_de_análisis-1)*N_capas*N_secciones)/(N_capas*N_secciones),0)-12*IF(ROW()-$CN$18&gt;(12-Mes_inicial_de_análisis+1)*N_capas*N_secciones,1,0)</f>
        <v>9</v>
      </c>
      <c r="CX53" cm="1">
        <f t="array" ref="CX53">ROUNDUP((ROW()-$CN$18)/N_capas-(ROUNDUP((ROW()-$CN$18)/(N_capas*N_secciones),0)-1)*N_secciones,0)</f>
        <v>1</v>
      </c>
      <c r="CY53" cm="1">
        <f t="array" ref="CY53">(ROW()-$CN$18)-(COND_INTERSTICIAL[[#This Row],[Sección]]-1)*N_capas-(ROUNDUP((ROW()-$CN$18)/(N_capas*N_secciones),0)-1)*N_capas*N_secciones</f>
        <v>6</v>
      </c>
      <c r="CZ53" t="str">
        <f>COND_INTERSTICIAL[[#This Row],[Mes]]&amp;"-"&amp;COND_INTERSTICIAL[[#This Row],[Sección]]&amp;"-"&amp;COND_INTERSTICIAL[[#This Row],[Capa]]</f>
        <v>9-1-6</v>
      </c>
      <c r="DA53">
        <f ca="1">INDEX(SECCIONES_CAPAS[R''n],MATCH(COND_INTERSTICIAL[[#This Row],[Sección]]&amp;"-"&amp;COND_INTERSTICIAL[[#This Row],[Capa]],SECCIONES_CAPAS[llave],0))</f>
        <v>0.04</v>
      </c>
      <c r="DB53" s="172" t="e" cm="1">
        <f t="array" aca="1" ref="DB53" ca="1">INDEX(CLIMA[ϴe],COND_INTERSTICIAL[[#This Row],[Mes]])+COND_INTERSTICIAL[[#This Row],[Rn]]*(INDEX(CLIMA[ϴi],COND_INTERSTICIAL[[#This Row],[Mes]])-INDEX(CLIMA[ϴe],COND_INTERSTICIAL[[#This Row],[Mes]]))/(INDEX(SECCIONES[Rtsección_condensación],COND_INTERSTICIAL[[#This Row],[Sección]]))</f>
        <v>#N/A</v>
      </c>
      <c r="DC53">
        <f>INDEX(SECCIONES_CAPAS[Sd],MATCH(COND_INTERSTICIAL[[#This Row],[Sección]]&amp;"-"&amp;COND_INTERSTICIAL[[#This Row],[Capa]],SECCIONES_CAPAS[llave],0))</f>
        <v>0</v>
      </c>
      <c r="DD53">
        <f ca="1">INDEX(SECCIONES_CAPAS[S''d],MATCH(COND_INTERSTICIAL[[#This Row],[Sección]]&amp;"-"&amp;COND_INTERSTICIAL[[#This Row],[Capa]],SECCIONES_CAPAS[llave],0))</f>
        <v>0</v>
      </c>
      <c r="DE53" s="90" t="e">
        <f ca="1">IF(COND_INTERSTICIAL[[#This Row],[ϴn]]&gt;=0,610.5*EXP((17.269*COND_INTERSTICIAL[[#This Row],[ϴn]])/(237.3+COND_INTERSTICIAL[[#This Row],[ϴn]])),610.5*EXP((21.875*COND_INTERSTICIAL[[#This Row],[ϴn]])/(265.5+COND_INTERSTICIAL[[#This Row],[ϴn]])))</f>
        <v>#N/A</v>
      </c>
      <c r="DF53" s="90" t="e" cm="1">
        <f t="array" aca="1" ref="DF53" ca="1">COND_INTERSTICIAL[[#This Row],[S''d]]*((INDEX(CLIMA[Pi],COND_INTERSTICIAL[[#This Row],[Mes]])-INDEX(CLIMA[Pe],COND_INTERSTICIAL[[#This Row],[Mes]]))/INDEX(SECCIONES[SdT],COND_INTERSTICIAL[[#This Row],[Sección]]))+INDEX(CLIMA[Pe],COND_INTERSTICIAL[[#This Row],[Mes]])</f>
        <v>#N/A</v>
      </c>
      <c r="DG53" s="108" t="e">
        <f ca="1">IF((COND_INTERSTICIAL[[#This Row],[Pn]]&gt;=COND_INTERSTICIAL[[#This Row],[Psat]]),TRUE,FALSE)</f>
        <v>#N/A</v>
      </c>
      <c r="DH53" s="109" t="e" cm="1">
        <f t="array" aca="1" ref="DH53" ca="1">IF(COND_INTERSTICIAL[[#This Row],[Condensa]],COND_INTERSTICIAL[[#This Row],[Psat]],IF(COND_INTERSTICIAL[[#This Row],[Capa]]=N_capas,COND_INTERSTICIAL[[#This Row],[Pn]],""))</f>
        <v>#N/A</v>
      </c>
      <c r="DI53" s="109" t="e">
        <f ca="1">COND_INTERSTICIAL[[#This Row],[Mes]]&amp;"-"&amp;COND_INTERSTICIAL[[#This Row],[Sección]]&amp;"-"&amp;COND_INTERSTICIAL[[#This Row],[tramo cond]]</f>
        <v>#N/A</v>
      </c>
      <c r="DJ53" t="e" cm="1">
        <f t="array" aca="1" ref="DJ53" ca="1">IF(COND_INTERSTICIAL[[#This Row],[Capa]]=1,IF(COND_INTERSTICIAL[[#This Row],[Condensa]],2,1),IF(COND_INTERSTICIAL[[#This Row],[Condensa]],1,0)+INDIRECT(ADDRESS(ROW()-1,COLUMN(),4)))</f>
        <v>#N/A</v>
      </c>
      <c r="DK53" s="108" t="e" cm="1">
        <f t="array" aca="1" ref="DK53" ca="1">IF(COND_INTERSTICIAL[[#This Row],[tramo cond]]=1,0,IF((COND_INTERSTICIAL[[#This Row],[tramo cond]]&gt;INDIRECT(ADDRESS(ROW()-1,COLUMN(COND_INTERSTICIAL[[#This Row],[tramo cond]]),4)))+COND_INTERSTICIAL[[#This Row],[Condensa]],COND_INTERSTICIAL[[#This Row],[Capa]],INDIRECT(ADDRESS(ROW()-1,COLUMN(),4))))</f>
        <v>#N/A</v>
      </c>
      <c r="DL53" s="108" t="e" cm="1">
        <f t="array" aca="1" ref="DL53" ca="1">IF((COND_INTERSTICIAL[[#This Row],[Capa]]=N_capas)+(COND_INTERSTICIAL[[#This Row],[tramo cond]]=COUNTIFS(COND_INTERSTICIAL[Condensa],TRUE,COND_INTERSTICIAL[Mes],CW53,COND_INTERSTICIAL[Sección],CX53)+1),N_capas,INDEX(COND_INTERSTICIAL[capa lím inf cond],MATCH(COND_INTERSTICIAL[[#This Row],[Mes]]&amp;"-"&amp;COND_INTERSTICIAL[[#This Row],[Sección]]&amp;"-"&amp;(COND_INTERSTICIAL[[#This Row],[tramo cond]]+1),COND_INTERSTICIAL[llave tramo cond],0)))</f>
        <v>#N/A</v>
      </c>
      <c r="DM53" s="108" cm="1">
        <f t="array" aca="1" ref="DM5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3" s="110" t="e" cm="1">
        <f t="array" aca="1" ref="DN5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3" s="107" t="e">
        <f ca="1">COND_INTERSTICIAL[[#This Row],[gc]]+COND_INTERSTICIAL[[#This Row],[Ma_anterior cond]]</f>
        <v>#N/A</v>
      </c>
      <c r="DQ53" s="113" t="e">
        <f ca="1">IF((COND_INTERSTICIAL[[#This Row],[Ma_anterior cond]]&gt;0)*NOT(COND_INTERSTICIAL[[#This Row],[Condensa]]),TRUE,FALSE)</f>
        <v>#N/A</v>
      </c>
      <c r="DR53" s="112" t="e" cm="1">
        <f t="array" aca="1" ref="DR53" ca="1">IF(COND_INTERSTICIAL[[#This Row],[evapora]],COND_INTERSTICIAL[[#This Row],[Psat]],IF(COND_INTERSTICIAL[[#This Row],[Capa]]=N_capas,COND_INTERSTICIAL[[#This Row],[Pn]],""))</f>
        <v>#N/A</v>
      </c>
      <c r="DS53" s="112" t="e">
        <f ca="1">COND_INTERSTICIAL[[#This Row],[Mes]]&amp;"-"&amp;COND_INTERSTICIAL[[#This Row],[Sección]]&amp;"-"&amp;COND_INTERSTICIAL[[#This Row],[tramo ev]]</f>
        <v>#N/A</v>
      </c>
      <c r="DT53" s="111" t="e" cm="1">
        <f t="array" aca="1" ref="DT53" ca="1">IF(COND_INTERSTICIAL[[#This Row],[Capa]]=1,IF(COND_INTERSTICIAL[[#This Row],[evapora]],2,1),IF(COND_INTERSTICIAL[[#This Row],[evapora]],1,0)+INDIRECT(ADDRESS(ROW()-1,COLUMN(),4)))</f>
        <v>#N/A</v>
      </c>
      <c r="DU53" s="111" t="e" cm="1">
        <f t="array" aca="1" ref="DU53" ca="1">IF(COND_INTERSTICIAL[[#This Row],[tramo ev]]=1,0,IF((COND_INTERSTICIAL[[#This Row],[tramo ev]]&gt;INDIRECT(ADDRESS(ROW()-1,COLUMN(COND_INTERSTICIAL[[#This Row],[tramo ev]]),4)))+COND_INTERSTICIAL[[#This Row],[evapora]],COND_INTERSTICIAL[[#This Row],[Capa]],INDIRECT(ADDRESS(ROW()-1,COLUMN(),4))))</f>
        <v>#N/A</v>
      </c>
      <c r="DV53" s="111" t="e" cm="1">
        <f t="array" aca="1" ref="DV53" ca="1">IF((COND_INTERSTICIAL[[#This Row],[Capa]]=N_capas)+(COND_INTERSTICIAL[[#This Row],[tramo ev]]=COUNTIFS(COND_INTERSTICIAL[evapora],TRUE,COND_INTERSTICIAL[Mes],CW53,COND_INTERSTICIAL[Sección],CX53)+1),N_capas,INDEX(COND_INTERSTICIAL[capa lím inf ev],MATCH(COND_INTERSTICIAL[[#This Row],[Mes]]&amp;"-"&amp;COND_INTERSTICIAL[[#This Row],[Sección]]&amp;"-"&amp;(COND_INTERSTICIAL[[#This Row],[tramo ev]]+1),COND_INTERSTICIAL[llave tramo ev],0)))</f>
        <v>#N/A</v>
      </c>
      <c r="DW53" s="111" cm="1">
        <f t="array" aca="1" ref="DW5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3" s="113" t="e" cm="1">
        <f t="array" aca="1" ref="DX5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3" s="113" t="e">
        <f ca="1">COND_INTERSTICIAL[[#This Row],[gev]]+COND_INTERSTICIAL[[#This Row],[Ma anterior ev]]</f>
        <v>#N/A</v>
      </c>
      <c r="EA53" s="115" t="e">
        <f ca="1">IF(COND_INTERSTICIAL[[#This Row],[Ma cond]]+COND_INTERSTICIAL[[#This Row],[Ma ev]]&lt;=0,0,COND_INTERSTICIAL[[#This Row],[Ma cond]]+COND_INTERSTICIAL[[#This Row],[Ma ev]])</f>
        <v>#N/A</v>
      </c>
      <c r="EB53" s="115" t="e">
        <f ca="1">IF(COND_INTERSTICIAL[[#This Row],[Ma]]&gt;0,TRUE,FALSE)</f>
        <v>#N/A</v>
      </c>
      <c r="EC53" s="115" t="e" cm="1">
        <f t="array" aca="1" ref="EC53" ca="1">IF(COND_INTERSTICIAL[[#This Row],[agua líquida]],IF(COND_INTERSTICIAL[[#This Row],[Condensa]],COND_INTERSTICIAL[[#This Row],[P límite cond]],COND_INTERSTICIAL[[#This Row],[P límite ev]]),IF(COND_INTERSTICIAL[[#This Row],[Capa]]=N_capas,COND_INTERSTICIAL[[#This Row],[Pn]],""))</f>
        <v>#N/A</v>
      </c>
      <c r="ED53" s="115" t="e">
        <f ca="1">COND_INTERSTICIAL[[#This Row],[Mes]]&amp;"-"&amp;COND_INTERSTICIAL[[#This Row],[Sección]]&amp;"-"&amp;COND_INTERSTICIAL[[#This Row],[tramo gráf]]</f>
        <v>#N/A</v>
      </c>
      <c r="EE53" s="114" t="e" cm="1">
        <f t="array" aca="1" ref="EE53" ca="1">IF(COND_INTERSTICIAL[[#This Row],[Capa]]=1,IF(COND_INTERSTICIAL[[#This Row],[agua líquida]],2,1),IF(COND_INTERSTICIAL[[#This Row],[agua líquida]],1,0)+INDIRECT(ADDRESS(ROW()-1,COLUMN(),4)))</f>
        <v>#N/A</v>
      </c>
      <c r="EF53" s="114" t="e" cm="1">
        <f t="array" aca="1" ref="EF53" ca="1">IF(COND_INTERSTICIAL[[#This Row],[tramo gráf]]=1,0,IF((COND_INTERSTICIAL[[#This Row],[tramo gráf]]&gt;INDIRECT(ADDRESS(ROW()-1,COLUMN(COND_INTERSTICIAL[[#This Row],[tramo gráf]]),4)))+COND_INTERSTICIAL[[#This Row],[agua líquida]],COND_INTERSTICIAL[[#This Row],[Capa]],INDIRECT(ADDRESS(ROW()-1,COLUMN(),4))))</f>
        <v>#N/A</v>
      </c>
      <c r="EG53" s="114" t="e" cm="1">
        <f t="array" aca="1" ref="EG53" ca="1">IF((COND_INTERSTICIAL[[#This Row],[Capa]]=N_capas)+(COND_INTERSTICIAL[[#This Row],[tramo gráf]]=COUNTIFS(COND_INTERSTICIAL[agua líquida],TRUE,COND_INTERSTICIAL[Mes],CW53,COND_INTERSTICIAL[Sección],CX53)+1),N_capas,INDEX(COND_INTERSTICIAL[capa lím inf gráf],MATCH(COND_INTERSTICIAL[[#This Row],[Mes]]&amp;"-"&amp;COND_INTERSTICIAL[[#This Row],[Sección]]&amp;"-"&amp;(COND_INTERSTICIAL[[#This Row],[tramo gráf]]+1),COND_INTERSTICIAL[llave tramo gráf],0)))</f>
        <v>#N/A</v>
      </c>
      <c r="EH53" s="114" cm="1">
        <f t="array" aca="1" ref="EH5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3" s="116" t="e" cm="1">
        <f t="array" aca="1" ref="EI5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GD53" s="11" t="s">
        <v>1439</v>
      </c>
      <c r="GE53">
        <f>GE49*GE38</f>
        <v>5.4548999999999994</v>
      </c>
      <c r="GF53" s="52">
        <f t="shared" si="2"/>
        <v>0.54116071428571422</v>
      </c>
      <c r="GH53" s="12"/>
    </row>
    <row r="54" spans="6:190" ht="14.65" thickBot="1" x14ac:dyDescent="0.5">
      <c r="AF54" s="16" t="s">
        <v>377</v>
      </c>
      <c r="AG54" s="183"/>
      <c r="AH54">
        <v>1</v>
      </c>
      <c r="AI54" s="12" t="str" cm="1">
        <f t="array" ref="AI54">INDEX(lista_corrección_fijaciones,$AH$54)</f>
        <v>Nivel 0</v>
      </c>
      <c r="BY54" t="s">
        <v>1401</v>
      </c>
      <c r="BZ54">
        <f ca="1">PRODUCT(SECCIONES[verif intersticial])</f>
        <v>1</v>
      </c>
      <c r="CW54" s="1" cm="1">
        <f t="array" ref="CW54">ROUNDUP((ROW()-$CN$18+(Mes_inicial_de_análisis-1)*N_capas*N_secciones)/(N_capas*N_secciones),0)-12*IF(ROW()-$CN$18&gt;(12-Mes_inicial_de_análisis+1)*N_capas*N_secciones,1,0)</f>
        <v>9</v>
      </c>
      <c r="CX54" cm="1">
        <f t="array" ref="CX54">ROUNDUP((ROW()-$CN$18)/N_capas-(ROUNDUP((ROW()-$CN$18)/(N_capas*N_secciones),0)-1)*N_secciones,0)</f>
        <v>1</v>
      </c>
      <c r="CY54" cm="1">
        <f t="array" ref="CY54">(ROW()-$CN$18)-(COND_INTERSTICIAL[[#This Row],[Sección]]-1)*N_capas-(ROUNDUP((ROW()-$CN$18)/(N_capas*N_secciones),0)-1)*N_capas*N_secciones</f>
        <v>7</v>
      </c>
      <c r="CZ54" t="str">
        <f>COND_INTERSTICIAL[[#This Row],[Mes]]&amp;"-"&amp;COND_INTERSTICIAL[[#This Row],[Sección]]&amp;"-"&amp;COND_INTERSTICIAL[[#This Row],[Capa]]</f>
        <v>9-1-7</v>
      </c>
      <c r="DA54">
        <f ca="1">INDEX(SECCIONES_CAPAS[R''n],MATCH(COND_INTERSTICIAL[[#This Row],[Sección]]&amp;"-"&amp;COND_INTERSTICIAL[[#This Row],[Capa]],SECCIONES_CAPAS[llave],0))</f>
        <v>0.04</v>
      </c>
      <c r="DB54" s="172" t="e" cm="1">
        <f t="array" aca="1" ref="DB54" ca="1">INDEX(CLIMA[ϴe],COND_INTERSTICIAL[[#This Row],[Mes]])+COND_INTERSTICIAL[[#This Row],[Rn]]*(INDEX(CLIMA[ϴi],COND_INTERSTICIAL[[#This Row],[Mes]])-INDEX(CLIMA[ϴe],COND_INTERSTICIAL[[#This Row],[Mes]]))/(INDEX(SECCIONES[Rtsección_condensación],COND_INTERSTICIAL[[#This Row],[Sección]]))</f>
        <v>#N/A</v>
      </c>
      <c r="DC54">
        <f>INDEX(SECCIONES_CAPAS[Sd],MATCH(COND_INTERSTICIAL[[#This Row],[Sección]]&amp;"-"&amp;COND_INTERSTICIAL[[#This Row],[Capa]],SECCIONES_CAPAS[llave],0))</f>
        <v>0</v>
      </c>
      <c r="DD54">
        <f ca="1">INDEX(SECCIONES_CAPAS[S''d],MATCH(COND_INTERSTICIAL[[#This Row],[Sección]]&amp;"-"&amp;COND_INTERSTICIAL[[#This Row],[Capa]],SECCIONES_CAPAS[llave],0))</f>
        <v>0</v>
      </c>
      <c r="DE54" s="90" t="e">
        <f ca="1">IF(COND_INTERSTICIAL[[#This Row],[ϴn]]&gt;=0,610.5*EXP((17.269*COND_INTERSTICIAL[[#This Row],[ϴn]])/(237.3+COND_INTERSTICIAL[[#This Row],[ϴn]])),610.5*EXP((21.875*COND_INTERSTICIAL[[#This Row],[ϴn]])/(265.5+COND_INTERSTICIAL[[#This Row],[ϴn]])))</f>
        <v>#N/A</v>
      </c>
      <c r="DF54" s="90" t="e" cm="1">
        <f t="array" aca="1" ref="DF54" ca="1">COND_INTERSTICIAL[[#This Row],[S''d]]*((INDEX(CLIMA[Pi],COND_INTERSTICIAL[[#This Row],[Mes]])-INDEX(CLIMA[Pe],COND_INTERSTICIAL[[#This Row],[Mes]]))/INDEX(SECCIONES[SdT],COND_INTERSTICIAL[[#This Row],[Sección]]))+INDEX(CLIMA[Pe],COND_INTERSTICIAL[[#This Row],[Mes]])</f>
        <v>#N/A</v>
      </c>
      <c r="DG54" s="108" t="e">
        <f ca="1">IF((COND_INTERSTICIAL[[#This Row],[Pn]]&gt;=COND_INTERSTICIAL[[#This Row],[Psat]]),TRUE,FALSE)</f>
        <v>#N/A</v>
      </c>
      <c r="DH54" s="109" t="e" cm="1">
        <f t="array" aca="1" ref="DH54" ca="1">IF(COND_INTERSTICIAL[[#This Row],[Condensa]],COND_INTERSTICIAL[[#This Row],[Psat]],IF(COND_INTERSTICIAL[[#This Row],[Capa]]=N_capas,COND_INTERSTICIAL[[#This Row],[Pn]],""))</f>
        <v>#N/A</v>
      </c>
      <c r="DI54" s="109" t="e">
        <f ca="1">COND_INTERSTICIAL[[#This Row],[Mes]]&amp;"-"&amp;COND_INTERSTICIAL[[#This Row],[Sección]]&amp;"-"&amp;COND_INTERSTICIAL[[#This Row],[tramo cond]]</f>
        <v>#N/A</v>
      </c>
      <c r="DJ54" t="e" cm="1">
        <f t="array" aca="1" ref="DJ54" ca="1">IF(COND_INTERSTICIAL[[#This Row],[Capa]]=1,IF(COND_INTERSTICIAL[[#This Row],[Condensa]],2,1),IF(COND_INTERSTICIAL[[#This Row],[Condensa]],1,0)+INDIRECT(ADDRESS(ROW()-1,COLUMN(),4)))</f>
        <v>#N/A</v>
      </c>
      <c r="DK54" s="108" t="e" cm="1">
        <f t="array" aca="1" ref="DK54" ca="1">IF(COND_INTERSTICIAL[[#This Row],[tramo cond]]=1,0,IF((COND_INTERSTICIAL[[#This Row],[tramo cond]]&gt;INDIRECT(ADDRESS(ROW()-1,COLUMN(COND_INTERSTICIAL[[#This Row],[tramo cond]]),4)))+COND_INTERSTICIAL[[#This Row],[Condensa]],COND_INTERSTICIAL[[#This Row],[Capa]],INDIRECT(ADDRESS(ROW()-1,COLUMN(),4))))</f>
        <v>#N/A</v>
      </c>
      <c r="DL54" s="108" t="e" cm="1">
        <f t="array" aca="1" ref="DL54" ca="1">IF((COND_INTERSTICIAL[[#This Row],[Capa]]=N_capas)+(COND_INTERSTICIAL[[#This Row],[tramo cond]]=COUNTIFS(COND_INTERSTICIAL[Condensa],TRUE,COND_INTERSTICIAL[Mes],CW54,COND_INTERSTICIAL[Sección],CX54)+1),N_capas,INDEX(COND_INTERSTICIAL[capa lím inf cond],MATCH(COND_INTERSTICIAL[[#This Row],[Mes]]&amp;"-"&amp;COND_INTERSTICIAL[[#This Row],[Sección]]&amp;"-"&amp;(COND_INTERSTICIAL[[#This Row],[tramo cond]]+1),COND_INTERSTICIAL[llave tramo cond],0)))</f>
        <v>#N/A</v>
      </c>
      <c r="DM54" s="108" cm="1">
        <f t="array" aca="1" ref="DM5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4" s="110" t="e" cm="1">
        <f t="array" aca="1" ref="DN5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4" s="107" t="e">
        <f ca="1">COND_INTERSTICIAL[[#This Row],[gc]]+COND_INTERSTICIAL[[#This Row],[Ma_anterior cond]]</f>
        <v>#N/A</v>
      </c>
      <c r="DQ54" s="113" t="e">
        <f ca="1">IF((COND_INTERSTICIAL[[#This Row],[Ma_anterior cond]]&gt;0)*NOT(COND_INTERSTICIAL[[#This Row],[Condensa]]),TRUE,FALSE)</f>
        <v>#N/A</v>
      </c>
      <c r="DR54" s="112" t="e" cm="1">
        <f t="array" aca="1" ref="DR54" ca="1">IF(COND_INTERSTICIAL[[#This Row],[evapora]],COND_INTERSTICIAL[[#This Row],[Psat]],IF(COND_INTERSTICIAL[[#This Row],[Capa]]=N_capas,COND_INTERSTICIAL[[#This Row],[Pn]],""))</f>
        <v>#N/A</v>
      </c>
      <c r="DS54" s="112" t="e">
        <f ca="1">COND_INTERSTICIAL[[#This Row],[Mes]]&amp;"-"&amp;COND_INTERSTICIAL[[#This Row],[Sección]]&amp;"-"&amp;COND_INTERSTICIAL[[#This Row],[tramo ev]]</f>
        <v>#N/A</v>
      </c>
      <c r="DT54" s="111" t="e" cm="1">
        <f t="array" aca="1" ref="DT54" ca="1">IF(COND_INTERSTICIAL[[#This Row],[Capa]]=1,IF(COND_INTERSTICIAL[[#This Row],[evapora]],2,1),IF(COND_INTERSTICIAL[[#This Row],[evapora]],1,0)+INDIRECT(ADDRESS(ROW()-1,COLUMN(),4)))</f>
        <v>#N/A</v>
      </c>
      <c r="DU54" s="111" t="e" cm="1">
        <f t="array" aca="1" ref="DU54" ca="1">IF(COND_INTERSTICIAL[[#This Row],[tramo ev]]=1,0,IF((COND_INTERSTICIAL[[#This Row],[tramo ev]]&gt;INDIRECT(ADDRESS(ROW()-1,COLUMN(COND_INTERSTICIAL[[#This Row],[tramo ev]]),4)))+COND_INTERSTICIAL[[#This Row],[evapora]],COND_INTERSTICIAL[[#This Row],[Capa]],INDIRECT(ADDRESS(ROW()-1,COLUMN(),4))))</f>
        <v>#N/A</v>
      </c>
      <c r="DV54" s="111" t="e" cm="1">
        <f t="array" aca="1" ref="DV54" ca="1">IF((COND_INTERSTICIAL[[#This Row],[Capa]]=N_capas)+(COND_INTERSTICIAL[[#This Row],[tramo ev]]=COUNTIFS(COND_INTERSTICIAL[evapora],TRUE,COND_INTERSTICIAL[Mes],CW54,COND_INTERSTICIAL[Sección],CX54)+1),N_capas,INDEX(COND_INTERSTICIAL[capa lím inf ev],MATCH(COND_INTERSTICIAL[[#This Row],[Mes]]&amp;"-"&amp;COND_INTERSTICIAL[[#This Row],[Sección]]&amp;"-"&amp;(COND_INTERSTICIAL[[#This Row],[tramo ev]]+1),COND_INTERSTICIAL[llave tramo ev],0)))</f>
        <v>#N/A</v>
      </c>
      <c r="DW54" s="111" cm="1">
        <f t="array" aca="1" ref="DW5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4" s="113" t="e" cm="1">
        <f t="array" aca="1" ref="DX5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4" s="113" t="e">
        <f ca="1">COND_INTERSTICIAL[[#This Row],[gev]]+COND_INTERSTICIAL[[#This Row],[Ma anterior ev]]</f>
        <v>#N/A</v>
      </c>
      <c r="EA54" s="115" t="e">
        <f ca="1">IF(COND_INTERSTICIAL[[#This Row],[Ma cond]]+COND_INTERSTICIAL[[#This Row],[Ma ev]]&lt;=0,0,COND_INTERSTICIAL[[#This Row],[Ma cond]]+COND_INTERSTICIAL[[#This Row],[Ma ev]])</f>
        <v>#N/A</v>
      </c>
      <c r="EB54" s="115" t="e">
        <f ca="1">IF(COND_INTERSTICIAL[[#This Row],[Ma]]&gt;0,TRUE,FALSE)</f>
        <v>#N/A</v>
      </c>
      <c r="EC54" s="115" t="e" cm="1">
        <f t="array" aca="1" ref="EC54" ca="1">IF(COND_INTERSTICIAL[[#This Row],[agua líquida]],IF(COND_INTERSTICIAL[[#This Row],[Condensa]],COND_INTERSTICIAL[[#This Row],[P límite cond]],COND_INTERSTICIAL[[#This Row],[P límite ev]]),IF(COND_INTERSTICIAL[[#This Row],[Capa]]=N_capas,COND_INTERSTICIAL[[#This Row],[Pn]],""))</f>
        <v>#N/A</v>
      </c>
      <c r="ED54" s="115" t="e">
        <f ca="1">COND_INTERSTICIAL[[#This Row],[Mes]]&amp;"-"&amp;COND_INTERSTICIAL[[#This Row],[Sección]]&amp;"-"&amp;COND_INTERSTICIAL[[#This Row],[tramo gráf]]</f>
        <v>#N/A</v>
      </c>
      <c r="EE54" s="114" t="e" cm="1">
        <f t="array" aca="1" ref="EE54" ca="1">IF(COND_INTERSTICIAL[[#This Row],[Capa]]=1,IF(COND_INTERSTICIAL[[#This Row],[agua líquida]],2,1),IF(COND_INTERSTICIAL[[#This Row],[agua líquida]],1,0)+INDIRECT(ADDRESS(ROW()-1,COLUMN(),4)))</f>
        <v>#N/A</v>
      </c>
      <c r="EF54" s="114" t="e" cm="1">
        <f t="array" aca="1" ref="EF54" ca="1">IF(COND_INTERSTICIAL[[#This Row],[tramo gráf]]=1,0,IF((COND_INTERSTICIAL[[#This Row],[tramo gráf]]&gt;INDIRECT(ADDRESS(ROW()-1,COLUMN(COND_INTERSTICIAL[[#This Row],[tramo gráf]]),4)))+COND_INTERSTICIAL[[#This Row],[agua líquida]],COND_INTERSTICIAL[[#This Row],[Capa]],INDIRECT(ADDRESS(ROW()-1,COLUMN(),4))))</f>
        <v>#N/A</v>
      </c>
      <c r="EG54" s="114" t="e" cm="1">
        <f t="array" aca="1" ref="EG54" ca="1">IF((COND_INTERSTICIAL[[#This Row],[Capa]]=N_capas)+(COND_INTERSTICIAL[[#This Row],[tramo gráf]]=COUNTIFS(COND_INTERSTICIAL[agua líquida],TRUE,COND_INTERSTICIAL[Mes],CW54,COND_INTERSTICIAL[Sección],CX54)+1),N_capas,INDEX(COND_INTERSTICIAL[capa lím inf gráf],MATCH(COND_INTERSTICIAL[[#This Row],[Mes]]&amp;"-"&amp;COND_INTERSTICIAL[[#This Row],[Sección]]&amp;"-"&amp;(COND_INTERSTICIAL[[#This Row],[tramo gráf]]+1),COND_INTERSTICIAL[llave tramo gráf],0)))</f>
        <v>#N/A</v>
      </c>
      <c r="EH54" s="114" cm="1">
        <f t="array" aca="1" ref="EH5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4" s="116" t="e" cm="1">
        <f t="array" aca="1" ref="EI5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GD54" s="19" t="s">
        <v>158</v>
      </c>
      <c r="GE54" s="20">
        <f>GE29*GE28</f>
        <v>10.08</v>
      </c>
      <c r="GF54" s="296">
        <f t="shared" si="2"/>
        <v>1</v>
      </c>
      <c r="GG54" s="20"/>
      <c r="GH54" s="21"/>
    </row>
    <row r="55" spans="6:190" x14ac:dyDescent="0.45">
      <c r="AF55" s="16" t="s">
        <v>378</v>
      </c>
      <c r="AG55" s="154" t="s">
        <v>379</v>
      </c>
      <c r="AH55">
        <f>IFERROR(0.8*d_1/d_0,0)</f>
        <v>0</v>
      </c>
      <c r="AI55" s="12"/>
      <c r="BY55" t="s">
        <v>124</v>
      </c>
      <c r="BZ55" t="str" cm="1">
        <f t="array" aca="1" ref="BZ55" ca="1">IF(capa_interior_μ_inf,"Eximido del análisis",IF((Método_temperatura_exterior=3)*(Método_humedad_relativa_exterior=3),IF(Cumple_sistema_C_Inter=0,"Una o más interfaces presenta condensación.","No se predice condensación en ninguna interfaz de ninguna sección."),CHOOSE(MAX(SECCIONES[Criterio condensación interst]),
Aux!$C$123,
Aux!$C$124&amp;MAX(COND_INTERSTICIAL_AGUA_ACUMULADA[interfases con agua líquida])&amp;Aux!$D$124&amp;$BZ$48&amp;Aux!$E$124&amp;$BZ$49&amp;Aux!$F$124&amp;$BZ$50&amp;Aux!$G$124&amp;ROUND(MAX(COND_INTERSTICIAL_AGUA_ACUMULADA[agua acumulada]),3)&amp;Aux!$H$124,
Aux!$C$125&amp;MAX(COND_INTERSTICIAL_AGUA_ACUMULADA[interfases con agua líquida])&amp;Aux!$D$125&amp;$BZ$48&amp;Aux!$E$125&amp;$BZ$49&amp;Aux!$F$125&amp;$BZ$50&amp;Aux!$G$125&amp;ROUND(MAX(COND_INTERSTICIAL_AGUA_ACUMULADA[agua acumulada]),3)&amp;Aux!$H$125,
Aux!$C$126)))</f>
        <v>No se predice condensación en ninguna interfaz de ninguna sección.</v>
      </c>
      <c r="CW55" s="1" cm="1">
        <f t="array" ref="CW55">ROUNDUP((ROW()-$CN$18+(Mes_inicial_de_análisis-1)*N_capas*N_secciones)/(N_capas*N_secciones),0)-12*IF(ROW()-$CN$18&gt;(12-Mes_inicial_de_análisis+1)*N_capas*N_secciones,1,0)</f>
        <v>9</v>
      </c>
      <c r="CX55" cm="1">
        <f t="array" ref="CX55">ROUNDUP((ROW()-$CN$18)/N_capas-(ROUNDUP((ROW()-$CN$18)/(N_capas*N_secciones),0)-1)*N_secciones,0)</f>
        <v>2</v>
      </c>
      <c r="CY55" cm="1">
        <f t="array" ref="CY55">(ROW()-$CN$18)-(COND_INTERSTICIAL[[#This Row],[Sección]]-1)*N_capas-(ROUNDUP((ROW()-$CN$18)/(N_capas*N_secciones),0)-1)*N_capas*N_secciones</f>
        <v>1</v>
      </c>
      <c r="CZ55" t="str">
        <f>COND_INTERSTICIAL[[#This Row],[Mes]]&amp;"-"&amp;COND_INTERSTICIAL[[#This Row],[Sección]]&amp;"-"&amp;COND_INTERSTICIAL[[#This Row],[Capa]]</f>
        <v>9-2-1</v>
      </c>
      <c r="DA55">
        <f ca="1">INDEX(SECCIONES_CAPAS[R''n],MATCH(COND_INTERSTICIAL[[#This Row],[Sección]]&amp;"-"&amp;COND_INTERSTICIAL[[#This Row],[Capa]],SECCIONES_CAPAS[llave],0))</f>
        <v>0.04</v>
      </c>
      <c r="DB55" s="172" t="e" cm="1">
        <f t="array" aca="1" ref="DB55" ca="1">INDEX(CLIMA[ϴe],COND_INTERSTICIAL[[#This Row],[Mes]])+COND_INTERSTICIAL[[#This Row],[Rn]]*(INDEX(CLIMA[ϴi],COND_INTERSTICIAL[[#This Row],[Mes]])-INDEX(CLIMA[ϴe],COND_INTERSTICIAL[[#This Row],[Mes]]))/(INDEX(SECCIONES[Rtsección_condensación],COND_INTERSTICIAL[[#This Row],[Sección]]))</f>
        <v>#N/A</v>
      </c>
      <c r="DC55">
        <f>INDEX(SECCIONES_CAPAS[Sd],MATCH(COND_INTERSTICIAL[[#This Row],[Sección]]&amp;"-"&amp;COND_INTERSTICIAL[[#This Row],[Capa]],SECCIONES_CAPAS[llave],0))</f>
        <v>0</v>
      </c>
      <c r="DD55">
        <f ca="1">INDEX(SECCIONES_CAPAS[S''d],MATCH(COND_INTERSTICIAL[[#This Row],[Sección]]&amp;"-"&amp;COND_INTERSTICIAL[[#This Row],[Capa]],SECCIONES_CAPAS[llave],0))</f>
        <v>0</v>
      </c>
      <c r="DE55" s="90" t="e">
        <f ca="1">IF(COND_INTERSTICIAL[[#This Row],[ϴn]]&gt;=0,610.5*EXP((17.269*COND_INTERSTICIAL[[#This Row],[ϴn]])/(237.3+COND_INTERSTICIAL[[#This Row],[ϴn]])),610.5*EXP((21.875*COND_INTERSTICIAL[[#This Row],[ϴn]])/(265.5+COND_INTERSTICIAL[[#This Row],[ϴn]])))</f>
        <v>#N/A</v>
      </c>
      <c r="DF55" s="90" t="e" cm="1">
        <f t="array" aca="1" ref="DF55" ca="1">COND_INTERSTICIAL[[#This Row],[S''d]]*((INDEX(CLIMA[Pi],COND_INTERSTICIAL[[#This Row],[Mes]])-INDEX(CLIMA[Pe],COND_INTERSTICIAL[[#This Row],[Mes]]))/INDEX(SECCIONES[SdT],COND_INTERSTICIAL[[#This Row],[Sección]]))+INDEX(CLIMA[Pe],COND_INTERSTICIAL[[#This Row],[Mes]])</f>
        <v>#N/A</v>
      </c>
      <c r="DG55" s="108" t="e">
        <f ca="1">IF((COND_INTERSTICIAL[[#This Row],[Pn]]&gt;=COND_INTERSTICIAL[[#This Row],[Psat]]),TRUE,FALSE)</f>
        <v>#N/A</v>
      </c>
      <c r="DH55" s="109" t="e" cm="1">
        <f t="array" aca="1" ref="DH55" ca="1">IF(COND_INTERSTICIAL[[#This Row],[Condensa]],COND_INTERSTICIAL[[#This Row],[Psat]],IF(COND_INTERSTICIAL[[#This Row],[Capa]]=N_capas,COND_INTERSTICIAL[[#This Row],[Pn]],""))</f>
        <v>#N/A</v>
      </c>
      <c r="DI55" s="109" t="e">
        <f ca="1">COND_INTERSTICIAL[[#This Row],[Mes]]&amp;"-"&amp;COND_INTERSTICIAL[[#This Row],[Sección]]&amp;"-"&amp;COND_INTERSTICIAL[[#This Row],[tramo cond]]</f>
        <v>#N/A</v>
      </c>
      <c r="DJ55" t="e" cm="1">
        <f t="array" aca="1" ref="DJ55" ca="1">IF(COND_INTERSTICIAL[[#This Row],[Capa]]=1,IF(COND_INTERSTICIAL[[#This Row],[Condensa]],2,1),IF(COND_INTERSTICIAL[[#This Row],[Condensa]],1,0)+INDIRECT(ADDRESS(ROW()-1,COLUMN(),4)))</f>
        <v>#N/A</v>
      </c>
      <c r="DK55" s="108" t="e" cm="1">
        <f t="array" aca="1" ref="DK55" ca="1">IF(COND_INTERSTICIAL[[#This Row],[tramo cond]]=1,0,IF((COND_INTERSTICIAL[[#This Row],[tramo cond]]&gt;INDIRECT(ADDRESS(ROW()-1,COLUMN(COND_INTERSTICIAL[[#This Row],[tramo cond]]),4)))+COND_INTERSTICIAL[[#This Row],[Condensa]],COND_INTERSTICIAL[[#This Row],[Capa]],INDIRECT(ADDRESS(ROW()-1,COLUMN(),4))))</f>
        <v>#N/A</v>
      </c>
      <c r="DL55" s="108" t="e" cm="1">
        <f t="array" aca="1" ref="DL55" ca="1">IF((COND_INTERSTICIAL[[#This Row],[Capa]]=N_capas)+(COND_INTERSTICIAL[[#This Row],[tramo cond]]=COUNTIFS(COND_INTERSTICIAL[Condensa],TRUE,COND_INTERSTICIAL[Mes],CW55,COND_INTERSTICIAL[Sección],CX55)+1),N_capas,INDEX(COND_INTERSTICIAL[capa lím inf cond],MATCH(COND_INTERSTICIAL[[#This Row],[Mes]]&amp;"-"&amp;COND_INTERSTICIAL[[#This Row],[Sección]]&amp;"-"&amp;(COND_INTERSTICIAL[[#This Row],[tramo cond]]+1),COND_INTERSTICIAL[llave tramo cond],0)))</f>
        <v>#N/A</v>
      </c>
      <c r="DM55" s="108" cm="1">
        <f t="array" aca="1" ref="DM5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5" s="110" t="e" cm="1">
        <f t="array" aca="1" ref="DN5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5" s="107" t="e">
        <f ca="1">COND_INTERSTICIAL[[#This Row],[gc]]+COND_INTERSTICIAL[[#This Row],[Ma_anterior cond]]</f>
        <v>#N/A</v>
      </c>
      <c r="DQ55" s="113" t="e">
        <f ca="1">IF((COND_INTERSTICIAL[[#This Row],[Ma_anterior cond]]&gt;0)*NOT(COND_INTERSTICIAL[[#This Row],[Condensa]]),TRUE,FALSE)</f>
        <v>#N/A</v>
      </c>
      <c r="DR55" s="112" t="e" cm="1">
        <f t="array" aca="1" ref="DR55" ca="1">IF(COND_INTERSTICIAL[[#This Row],[evapora]],COND_INTERSTICIAL[[#This Row],[Psat]],IF(COND_INTERSTICIAL[[#This Row],[Capa]]=N_capas,COND_INTERSTICIAL[[#This Row],[Pn]],""))</f>
        <v>#N/A</v>
      </c>
      <c r="DS55" s="112" t="e">
        <f ca="1">COND_INTERSTICIAL[[#This Row],[Mes]]&amp;"-"&amp;COND_INTERSTICIAL[[#This Row],[Sección]]&amp;"-"&amp;COND_INTERSTICIAL[[#This Row],[tramo ev]]</f>
        <v>#N/A</v>
      </c>
      <c r="DT55" s="111" t="e" cm="1">
        <f t="array" aca="1" ref="DT55" ca="1">IF(COND_INTERSTICIAL[[#This Row],[Capa]]=1,IF(COND_INTERSTICIAL[[#This Row],[evapora]],2,1),IF(COND_INTERSTICIAL[[#This Row],[evapora]],1,0)+INDIRECT(ADDRESS(ROW()-1,COLUMN(),4)))</f>
        <v>#N/A</v>
      </c>
      <c r="DU55" s="111" t="e" cm="1">
        <f t="array" aca="1" ref="DU55" ca="1">IF(COND_INTERSTICIAL[[#This Row],[tramo ev]]=1,0,IF((COND_INTERSTICIAL[[#This Row],[tramo ev]]&gt;INDIRECT(ADDRESS(ROW()-1,COLUMN(COND_INTERSTICIAL[[#This Row],[tramo ev]]),4)))+COND_INTERSTICIAL[[#This Row],[evapora]],COND_INTERSTICIAL[[#This Row],[Capa]],INDIRECT(ADDRESS(ROW()-1,COLUMN(),4))))</f>
        <v>#N/A</v>
      </c>
      <c r="DV55" s="111" t="e" cm="1">
        <f t="array" aca="1" ref="DV55" ca="1">IF((COND_INTERSTICIAL[[#This Row],[Capa]]=N_capas)+(COND_INTERSTICIAL[[#This Row],[tramo ev]]=COUNTIFS(COND_INTERSTICIAL[evapora],TRUE,COND_INTERSTICIAL[Mes],CW55,COND_INTERSTICIAL[Sección],CX55)+1),N_capas,INDEX(COND_INTERSTICIAL[capa lím inf ev],MATCH(COND_INTERSTICIAL[[#This Row],[Mes]]&amp;"-"&amp;COND_INTERSTICIAL[[#This Row],[Sección]]&amp;"-"&amp;(COND_INTERSTICIAL[[#This Row],[tramo ev]]+1),COND_INTERSTICIAL[llave tramo ev],0)))</f>
        <v>#N/A</v>
      </c>
      <c r="DW55" s="111" cm="1">
        <f t="array" aca="1" ref="DW5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5" s="113" t="e" cm="1">
        <f t="array" aca="1" ref="DX5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5" s="113" t="e">
        <f ca="1">COND_INTERSTICIAL[[#This Row],[gev]]+COND_INTERSTICIAL[[#This Row],[Ma anterior ev]]</f>
        <v>#N/A</v>
      </c>
      <c r="EA55" s="115" t="e">
        <f ca="1">IF(COND_INTERSTICIAL[[#This Row],[Ma cond]]+COND_INTERSTICIAL[[#This Row],[Ma ev]]&lt;=0,0,COND_INTERSTICIAL[[#This Row],[Ma cond]]+COND_INTERSTICIAL[[#This Row],[Ma ev]])</f>
        <v>#N/A</v>
      </c>
      <c r="EB55" s="115" t="e">
        <f ca="1">IF(COND_INTERSTICIAL[[#This Row],[Ma]]&gt;0,TRUE,FALSE)</f>
        <v>#N/A</v>
      </c>
      <c r="EC55" s="115" t="e" cm="1">
        <f t="array" aca="1" ref="EC55" ca="1">IF(COND_INTERSTICIAL[[#This Row],[agua líquida]],IF(COND_INTERSTICIAL[[#This Row],[Condensa]],COND_INTERSTICIAL[[#This Row],[P límite cond]],COND_INTERSTICIAL[[#This Row],[P límite ev]]),IF(COND_INTERSTICIAL[[#This Row],[Capa]]=N_capas,COND_INTERSTICIAL[[#This Row],[Pn]],""))</f>
        <v>#N/A</v>
      </c>
      <c r="ED55" s="115" t="e">
        <f ca="1">COND_INTERSTICIAL[[#This Row],[Mes]]&amp;"-"&amp;COND_INTERSTICIAL[[#This Row],[Sección]]&amp;"-"&amp;COND_INTERSTICIAL[[#This Row],[tramo gráf]]</f>
        <v>#N/A</v>
      </c>
      <c r="EE55" s="114" t="e" cm="1">
        <f t="array" aca="1" ref="EE55" ca="1">IF(COND_INTERSTICIAL[[#This Row],[Capa]]=1,IF(COND_INTERSTICIAL[[#This Row],[agua líquida]],2,1),IF(COND_INTERSTICIAL[[#This Row],[agua líquida]],1,0)+INDIRECT(ADDRESS(ROW()-1,COLUMN(),4)))</f>
        <v>#N/A</v>
      </c>
      <c r="EF55" s="114" t="e" cm="1">
        <f t="array" aca="1" ref="EF55" ca="1">IF(COND_INTERSTICIAL[[#This Row],[tramo gráf]]=1,0,IF((COND_INTERSTICIAL[[#This Row],[tramo gráf]]&gt;INDIRECT(ADDRESS(ROW()-1,COLUMN(COND_INTERSTICIAL[[#This Row],[tramo gráf]]),4)))+COND_INTERSTICIAL[[#This Row],[agua líquida]],COND_INTERSTICIAL[[#This Row],[Capa]],INDIRECT(ADDRESS(ROW()-1,COLUMN(),4))))</f>
        <v>#N/A</v>
      </c>
      <c r="EG55" s="114" t="e" cm="1">
        <f t="array" aca="1" ref="EG55" ca="1">IF((COND_INTERSTICIAL[[#This Row],[Capa]]=N_capas)+(COND_INTERSTICIAL[[#This Row],[tramo gráf]]=COUNTIFS(COND_INTERSTICIAL[agua líquida],TRUE,COND_INTERSTICIAL[Mes],CW55,COND_INTERSTICIAL[Sección],CX55)+1),N_capas,INDEX(COND_INTERSTICIAL[capa lím inf gráf],MATCH(COND_INTERSTICIAL[[#This Row],[Mes]]&amp;"-"&amp;COND_INTERSTICIAL[[#This Row],[Sección]]&amp;"-"&amp;(COND_INTERSTICIAL[[#This Row],[tramo gráf]]+1),COND_INTERSTICIAL[llave tramo gráf],0)))</f>
        <v>#N/A</v>
      </c>
      <c r="EH55" s="114" cm="1">
        <f t="array" aca="1" ref="EH5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5" s="116" t="e" cm="1">
        <f t="array" aca="1" ref="EI5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56" spans="6:190" x14ac:dyDescent="0.45">
      <c r="AF56" s="16" t="s">
        <v>380</v>
      </c>
      <c r="AG56" s="154" t="s">
        <v>381</v>
      </c>
      <c r="AH56" s="6"/>
      <c r="AI56" s="12" t="s">
        <v>382</v>
      </c>
      <c r="CW56" s="1" cm="1">
        <f t="array" ref="CW56">ROUNDUP((ROW()-$CN$18+(Mes_inicial_de_análisis-1)*N_capas*N_secciones)/(N_capas*N_secciones),0)-12*IF(ROW()-$CN$18&gt;(12-Mes_inicial_de_análisis+1)*N_capas*N_secciones,1,0)</f>
        <v>9</v>
      </c>
      <c r="CX56" cm="1">
        <f t="array" ref="CX56">ROUNDUP((ROW()-$CN$18)/N_capas-(ROUNDUP((ROW()-$CN$18)/(N_capas*N_secciones),0)-1)*N_secciones,0)</f>
        <v>2</v>
      </c>
      <c r="CY56" cm="1">
        <f t="array" ref="CY56">(ROW()-$CN$18)-(COND_INTERSTICIAL[[#This Row],[Sección]]-1)*N_capas-(ROUNDUP((ROW()-$CN$18)/(N_capas*N_secciones),0)-1)*N_capas*N_secciones</f>
        <v>2</v>
      </c>
      <c r="CZ56" t="str">
        <f>COND_INTERSTICIAL[[#This Row],[Mes]]&amp;"-"&amp;COND_INTERSTICIAL[[#This Row],[Sección]]&amp;"-"&amp;COND_INTERSTICIAL[[#This Row],[Capa]]</f>
        <v>9-2-2</v>
      </c>
      <c r="DA56">
        <f ca="1">INDEX(SECCIONES_CAPAS[R''n],MATCH(COND_INTERSTICIAL[[#This Row],[Sección]]&amp;"-"&amp;COND_INTERSTICIAL[[#This Row],[Capa]],SECCIONES_CAPAS[llave],0))</f>
        <v>0.04</v>
      </c>
      <c r="DB56" s="172" t="e" cm="1">
        <f t="array" aca="1" ref="DB56" ca="1">INDEX(CLIMA[ϴe],COND_INTERSTICIAL[[#This Row],[Mes]])+COND_INTERSTICIAL[[#This Row],[Rn]]*(INDEX(CLIMA[ϴi],COND_INTERSTICIAL[[#This Row],[Mes]])-INDEX(CLIMA[ϴe],COND_INTERSTICIAL[[#This Row],[Mes]]))/(INDEX(SECCIONES[Rtsección_condensación],COND_INTERSTICIAL[[#This Row],[Sección]]))</f>
        <v>#N/A</v>
      </c>
      <c r="DC56">
        <f>INDEX(SECCIONES_CAPAS[Sd],MATCH(COND_INTERSTICIAL[[#This Row],[Sección]]&amp;"-"&amp;COND_INTERSTICIAL[[#This Row],[Capa]],SECCIONES_CAPAS[llave],0))</f>
        <v>0</v>
      </c>
      <c r="DD56">
        <f ca="1">INDEX(SECCIONES_CAPAS[S''d],MATCH(COND_INTERSTICIAL[[#This Row],[Sección]]&amp;"-"&amp;COND_INTERSTICIAL[[#This Row],[Capa]],SECCIONES_CAPAS[llave],0))</f>
        <v>0</v>
      </c>
      <c r="DE56" s="90" t="e">
        <f ca="1">IF(COND_INTERSTICIAL[[#This Row],[ϴn]]&gt;=0,610.5*EXP((17.269*COND_INTERSTICIAL[[#This Row],[ϴn]])/(237.3+COND_INTERSTICIAL[[#This Row],[ϴn]])),610.5*EXP((21.875*COND_INTERSTICIAL[[#This Row],[ϴn]])/(265.5+COND_INTERSTICIAL[[#This Row],[ϴn]])))</f>
        <v>#N/A</v>
      </c>
      <c r="DF56" s="90" t="e" cm="1">
        <f t="array" aca="1" ref="DF56" ca="1">COND_INTERSTICIAL[[#This Row],[S''d]]*((INDEX(CLIMA[Pi],COND_INTERSTICIAL[[#This Row],[Mes]])-INDEX(CLIMA[Pe],COND_INTERSTICIAL[[#This Row],[Mes]]))/INDEX(SECCIONES[SdT],COND_INTERSTICIAL[[#This Row],[Sección]]))+INDEX(CLIMA[Pe],COND_INTERSTICIAL[[#This Row],[Mes]])</f>
        <v>#N/A</v>
      </c>
      <c r="DG56" s="108" t="e">
        <f ca="1">IF((COND_INTERSTICIAL[[#This Row],[Pn]]&gt;=COND_INTERSTICIAL[[#This Row],[Psat]]),TRUE,FALSE)</f>
        <v>#N/A</v>
      </c>
      <c r="DH56" s="109" t="e" cm="1">
        <f t="array" aca="1" ref="DH56" ca="1">IF(COND_INTERSTICIAL[[#This Row],[Condensa]],COND_INTERSTICIAL[[#This Row],[Psat]],IF(COND_INTERSTICIAL[[#This Row],[Capa]]=N_capas,COND_INTERSTICIAL[[#This Row],[Pn]],""))</f>
        <v>#N/A</v>
      </c>
      <c r="DI56" s="109" t="e">
        <f ca="1">COND_INTERSTICIAL[[#This Row],[Mes]]&amp;"-"&amp;COND_INTERSTICIAL[[#This Row],[Sección]]&amp;"-"&amp;COND_INTERSTICIAL[[#This Row],[tramo cond]]</f>
        <v>#N/A</v>
      </c>
      <c r="DJ56" t="e" cm="1">
        <f t="array" aca="1" ref="DJ56" ca="1">IF(COND_INTERSTICIAL[[#This Row],[Capa]]=1,IF(COND_INTERSTICIAL[[#This Row],[Condensa]],2,1),IF(COND_INTERSTICIAL[[#This Row],[Condensa]],1,0)+INDIRECT(ADDRESS(ROW()-1,COLUMN(),4)))</f>
        <v>#N/A</v>
      </c>
      <c r="DK56" s="108" t="e" cm="1">
        <f t="array" aca="1" ref="DK56" ca="1">IF(COND_INTERSTICIAL[[#This Row],[tramo cond]]=1,0,IF((COND_INTERSTICIAL[[#This Row],[tramo cond]]&gt;INDIRECT(ADDRESS(ROW()-1,COLUMN(COND_INTERSTICIAL[[#This Row],[tramo cond]]),4)))+COND_INTERSTICIAL[[#This Row],[Condensa]],COND_INTERSTICIAL[[#This Row],[Capa]],INDIRECT(ADDRESS(ROW()-1,COLUMN(),4))))</f>
        <v>#N/A</v>
      </c>
      <c r="DL56" s="108" t="e" cm="1">
        <f t="array" aca="1" ref="DL56" ca="1">IF((COND_INTERSTICIAL[[#This Row],[Capa]]=N_capas)+(COND_INTERSTICIAL[[#This Row],[tramo cond]]=COUNTIFS(COND_INTERSTICIAL[Condensa],TRUE,COND_INTERSTICIAL[Mes],CW56,COND_INTERSTICIAL[Sección],CX56)+1),N_capas,INDEX(COND_INTERSTICIAL[capa lím inf cond],MATCH(COND_INTERSTICIAL[[#This Row],[Mes]]&amp;"-"&amp;COND_INTERSTICIAL[[#This Row],[Sección]]&amp;"-"&amp;(COND_INTERSTICIAL[[#This Row],[tramo cond]]+1),COND_INTERSTICIAL[llave tramo cond],0)))</f>
        <v>#N/A</v>
      </c>
      <c r="DM56" s="108" cm="1">
        <f t="array" aca="1" ref="DM5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6" s="110" t="e" cm="1">
        <f t="array" aca="1" ref="DN5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6" s="107" t="e">
        <f ca="1">COND_INTERSTICIAL[[#This Row],[gc]]+COND_INTERSTICIAL[[#This Row],[Ma_anterior cond]]</f>
        <v>#N/A</v>
      </c>
      <c r="DQ56" s="113" t="e">
        <f ca="1">IF((COND_INTERSTICIAL[[#This Row],[Ma_anterior cond]]&gt;0)*NOT(COND_INTERSTICIAL[[#This Row],[Condensa]]),TRUE,FALSE)</f>
        <v>#N/A</v>
      </c>
      <c r="DR56" s="112" t="e" cm="1">
        <f t="array" aca="1" ref="DR56" ca="1">IF(COND_INTERSTICIAL[[#This Row],[evapora]],COND_INTERSTICIAL[[#This Row],[Psat]],IF(COND_INTERSTICIAL[[#This Row],[Capa]]=N_capas,COND_INTERSTICIAL[[#This Row],[Pn]],""))</f>
        <v>#N/A</v>
      </c>
      <c r="DS56" s="112" t="e">
        <f ca="1">COND_INTERSTICIAL[[#This Row],[Mes]]&amp;"-"&amp;COND_INTERSTICIAL[[#This Row],[Sección]]&amp;"-"&amp;COND_INTERSTICIAL[[#This Row],[tramo ev]]</f>
        <v>#N/A</v>
      </c>
      <c r="DT56" s="111" t="e" cm="1">
        <f t="array" aca="1" ref="DT56" ca="1">IF(COND_INTERSTICIAL[[#This Row],[Capa]]=1,IF(COND_INTERSTICIAL[[#This Row],[evapora]],2,1),IF(COND_INTERSTICIAL[[#This Row],[evapora]],1,0)+INDIRECT(ADDRESS(ROW()-1,COLUMN(),4)))</f>
        <v>#N/A</v>
      </c>
      <c r="DU56" s="111" t="e" cm="1">
        <f t="array" aca="1" ref="DU56" ca="1">IF(COND_INTERSTICIAL[[#This Row],[tramo ev]]=1,0,IF((COND_INTERSTICIAL[[#This Row],[tramo ev]]&gt;INDIRECT(ADDRESS(ROW()-1,COLUMN(COND_INTERSTICIAL[[#This Row],[tramo ev]]),4)))+COND_INTERSTICIAL[[#This Row],[evapora]],COND_INTERSTICIAL[[#This Row],[Capa]],INDIRECT(ADDRESS(ROW()-1,COLUMN(),4))))</f>
        <v>#N/A</v>
      </c>
      <c r="DV56" s="111" t="e" cm="1">
        <f t="array" aca="1" ref="DV56" ca="1">IF((COND_INTERSTICIAL[[#This Row],[Capa]]=N_capas)+(COND_INTERSTICIAL[[#This Row],[tramo ev]]=COUNTIFS(COND_INTERSTICIAL[evapora],TRUE,COND_INTERSTICIAL[Mes],CW56,COND_INTERSTICIAL[Sección],CX56)+1),N_capas,INDEX(COND_INTERSTICIAL[capa lím inf ev],MATCH(COND_INTERSTICIAL[[#This Row],[Mes]]&amp;"-"&amp;COND_INTERSTICIAL[[#This Row],[Sección]]&amp;"-"&amp;(COND_INTERSTICIAL[[#This Row],[tramo ev]]+1),COND_INTERSTICIAL[llave tramo ev],0)))</f>
        <v>#N/A</v>
      </c>
      <c r="DW56" s="111" cm="1">
        <f t="array" aca="1" ref="DW5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6" s="113" t="e" cm="1">
        <f t="array" aca="1" ref="DX5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6" s="113" t="e">
        <f ca="1">COND_INTERSTICIAL[[#This Row],[gev]]+COND_INTERSTICIAL[[#This Row],[Ma anterior ev]]</f>
        <v>#N/A</v>
      </c>
      <c r="EA56" s="115" t="e">
        <f ca="1">IF(COND_INTERSTICIAL[[#This Row],[Ma cond]]+COND_INTERSTICIAL[[#This Row],[Ma ev]]&lt;=0,0,COND_INTERSTICIAL[[#This Row],[Ma cond]]+COND_INTERSTICIAL[[#This Row],[Ma ev]])</f>
        <v>#N/A</v>
      </c>
      <c r="EB56" s="115" t="e">
        <f ca="1">IF(COND_INTERSTICIAL[[#This Row],[Ma]]&gt;0,TRUE,FALSE)</f>
        <v>#N/A</v>
      </c>
      <c r="EC56" s="115" t="e" cm="1">
        <f t="array" aca="1" ref="EC56" ca="1">IF(COND_INTERSTICIAL[[#This Row],[agua líquida]],IF(COND_INTERSTICIAL[[#This Row],[Condensa]],COND_INTERSTICIAL[[#This Row],[P límite cond]],COND_INTERSTICIAL[[#This Row],[P límite ev]]),IF(COND_INTERSTICIAL[[#This Row],[Capa]]=N_capas,COND_INTERSTICIAL[[#This Row],[Pn]],""))</f>
        <v>#N/A</v>
      </c>
      <c r="ED56" s="115" t="e">
        <f ca="1">COND_INTERSTICIAL[[#This Row],[Mes]]&amp;"-"&amp;COND_INTERSTICIAL[[#This Row],[Sección]]&amp;"-"&amp;COND_INTERSTICIAL[[#This Row],[tramo gráf]]</f>
        <v>#N/A</v>
      </c>
      <c r="EE56" s="114" t="e" cm="1">
        <f t="array" aca="1" ref="EE56" ca="1">IF(COND_INTERSTICIAL[[#This Row],[Capa]]=1,IF(COND_INTERSTICIAL[[#This Row],[agua líquida]],2,1),IF(COND_INTERSTICIAL[[#This Row],[agua líquida]],1,0)+INDIRECT(ADDRESS(ROW()-1,COLUMN(),4)))</f>
        <v>#N/A</v>
      </c>
      <c r="EF56" s="114" t="e" cm="1">
        <f t="array" aca="1" ref="EF56" ca="1">IF(COND_INTERSTICIAL[[#This Row],[tramo gráf]]=1,0,IF((COND_INTERSTICIAL[[#This Row],[tramo gráf]]&gt;INDIRECT(ADDRESS(ROW()-1,COLUMN(COND_INTERSTICIAL[[#This Row],[tramo gráf]]),4)))+COND_INTERSTICIAL[[#This Row],[agua líquida]],COND_INTERSTICIAL[[#This Row],[Capa]],INDIRECT(ADDRESS(ROW()-1,COLUMN(),4))))</f>
        <v>#N/A</v>
      </c>
      <c r="EG56" s="114" t="e" cm="1">
        <f t="array" aca="1" ref="EG56" ca="1">IF((COND_INTERSTICIAL[[#This Row],[Capa]]=N_capas)+(COND_INTERSTICIAL[[#This Row],[tramo gráf]]=COUNTIFS(COND_INTERSTICIAL[agua líquida],TRUE,COND_INTERSTICIAL[Mes],CW56,COND_INTERSTICIAL[Sección],CX56)+1),N_capas,INDEX(COND_INTERSTICIAL[capa lím inf gráf],MATCH(COND_INTERSTICIAL[[#This Row],[Mes]]&amp;"-"&amp;COND_INTERSTICIAL[[#This Row],[Sección]]&amp;"-"&amp;(COND_INTERSTICIAL[[#This Row],[tramo gráf]]+1),COND_INTERSTICIAL[llave tramo gráf],0)))</f>
        <v>#N/A</v>
      </c>
      <c r="EH56" s="114" cm="1">
        <f t="array" aca="1" ref="EH5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6" s="116" t="e" cm="1">
        <f t="array" aca="1" ref="EI5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57" spans="6:190" x14ac:dyDescent="0.45">
      <c r="F57" s="47"/>
      <c r="G57" s="47"/>
      <c r="H57" s="47"/>
      <c r="I57" s="47"/>
      <c r="J57" s="47"/>
      <c r="K57" s="47"/>
      <c r="AF57" s="11" t="s">
        <v>383</v>
      </c>
      <c r="AG57" s="2" t="s">
        <v>384</v>
      </c>
      <c r="AI57" s="12" t="s">
        <v>385</v>
      </c>
      <c r="BY57" t="s">
        <v>1184</v>
      </c>
      <c r="CA57" t="b">
        <v>1</v>
      </c>
      <c r="CB57" t="s">
        <v>1608</v>
      </c>
      <c r="CW57" s="1" cm="1">
        <f t="array" ref="CW57">ROUNDUP((ROW()-$CN$18+(Mes_inicial_de_análisis-1)*N_capas*N_secciones)/(N_capas*N_secciones),0)-12*IF(ROW()-$CN$18&gt;(12-Mes_inicial_de_análisis+1)*N_capas*N_secciones,1,0)</f>
        <v>9</v>
      </c>
      <c r="CX57" cm="1">
        <f t="array" ref="CX57">ROUNDUP((ROW()-$CN$18)/N_capas-(ROUNDUP((ROW()-$CN$18)/(N_capas*N_secciones),0)-1)*N_secciones,0)</f>
        <v>2</v>
      </c>
      <c r="CY57" cm="1">
        <f t="array" ref="CY57">(ROW()-$CN$18)-(COND_INTERSTICIAL[[#This Row],[Sección]]-1)*N_capas-(ROUNDUP((ROW()-$CN$18)/(N_capas*N_secciones),0)-1)*N_capas*N_secciones</f>
        <v>3</v>
      </c>
      <c r="CZ57" t="str">
        <f>COND_INTERSTICIAL[[#This Row],[Mes]]&amp;"-"&amp;COND_INTERSTICIAL[[#This Row],[Sección]]&amp;"-"&amp;COND_INTERSTICIAL[[#This Row],[Capa]]</f>
        <v>9-2-3</v>
      </c>
      <c r="DA57">
        <f ca="1">INDEX(SECCIONES_CAPAS[R''n],MATCH(COND_INTERSTICIAL[[#This Row],[Sección]]&amp;"-"&amp;COND_INTERSTICIAL[[#This Row],[Capa]],SECCIONES_CAPAS[llave],0))</f>
        <v>0.04</v>
      </c>
      <c r="DB57" s="172" t="e" cm="1">
        <f t="array" aca="1" ref="DB57" ca="1">INDEX(CLIMA[ϴe],COND_INTERSTICIAL[[#This Row],[Mes]])+COND_INTERSTICIAL[[#This Row],[Rn]]*(INDEX(CLIMA[ϴi],COND_INTERSTICIAL[[#This Row],[Mes]])-INDEX(CLIMA[ϴe],COND_INTERSTICIAL[[#This Row],[Mes]]))/(INDEX(SECCIONES[Rtsección_condensación],COND_INTERSTICIAL[[#This Row],[Sección]]))</f>
        <v>#N/A</v>
      </c>
      <c r="DC57">
        <f>INDEX(SECCIONES_CAPAS[Sd],MATCH(COND_INTERSTICIAL[[#This Row],[Sección]]&amp;"-"&amp;COND_INTERSTICIAL[[#This Row],[Capa]],SECCIONES_CAPAS[llave],0))</f>
        <v>0</v>
      </c>
      <c r="DD57">
        <f ca="1">INDEX(SECCIONES_CAPAS[S''d],MATCH(COND_INTERSTICIAL[[#This Row],[Sección]]&amp;"-"&amp;COND_INTERSTICIAL[[#This Row],[Capa]],SECCIONES_CAPAS[llave],0))</f>
        <v>0</v>
      </c>
      <c r="DE57" s="90" t="e">
        <f ca="1">IF(COND_INTERSTICIAL[[#This Row],[ϴn]]&gt;=0,610.5*EXP((17.269*COND_INTERSTICIAL[[#This Row],[ϴn]])/(237.3+COND_INTERSTICIAL[[#This Row],[ϴn]])),610.5*EXP((21.875*COND_INTERSTICIAL[[#This Row],[ϴn]])/(265.5+COND_INTERSTICIAL[[#This Row],[ϴn]])))</f>
        <v>#N/A</v>
      </c>
      <c r="DF57" s="90" t="e" cm="1">
        <f t="array" aca="1" ref="DF57" ca="1">COND_INTERSTICIAL[[#This Row],[S''d]]*((INDEX(CLIMA[Pi],COND_INTERSTICIAL[[#This Row],[Mes]])-INDEX(CLIMA[Pe],COND_INTERSTICIAL[[#This Row],[Mes]]))/INDEX(SECCIONES[SdT],COND_INTERSTICIAL[[#This Row],[Sección]]))+INDEX(CLIMA[Pe],COND_INTERSTICIAL[[#This Row],[Mes]])</f>
        <v>#N/A</v>
      </c>
      <c r="DG57" s="108" t="e">
        <f ca="1">IF((COND_INTERSTICIAL[[#This Row],[Pn]]&gt;=COND_INTERSTICIAL[[#This Row],[Psat]]),TRUE,FALSE)</f>
        <v>#N/A</v>
      </c>
      <c r="DH57" s="109" t="e" cm="1">
        <f t="array" aca="1" ref="DH57" ca="1">IF(COND_INTERSTICIAL[[#This Row],[Condensa]],COND_INTERSTICIAL[[#This Row],[Psat]],IF(COND_INTERSTICIAL[[#This Row],[Capa]]=N_capas,COND_INTERSTICIAL[[#This Row],[Pn]],""))</f>
        <v>#N/A</v>
      </c>
      <c r="DI57" s="109" t="e">
        <f ca="1">COND_INTERSTICIAL[[#This Row],[Mes]]&amp;"-"&amp;COND_INTERSTICIAL[[#This Row],[Sección]]&amp;"-"&amp;COND_INTERSTICIAL[[#This Row],[tramo cond]]</f>
        <v>#N/A</v>
      </c>
      <c r="DJ57" t="e" cm="1">
        <f t="array" aca="1" ref="DJ57" ca="1">IF(COND_INTERSTICIAL[[#This Row],[Capa]]=1,IF(COND_INTERSTICIAL[[#This Row],[Condensa]],2,1),IF(COND_INTERSTICIAL[[#This Row],[Condensa]],1,0)+INDIRECT(ADDRESS(ROW()-1,COLUMN(),4)))</f>
        <v>#N/A</v>
      </c>
      <c r="DK57" s="108" t="e" cm="1">
        <f t="array" aca="1" ref="DK57" ca="1">IF(COND_INTERSTICIAL[[#This Row],[tramo cond]]=1,0,IF((COND_INTERSTICIAL[[#This Row],[tramo cond]]&gt;INDIRECT(ADDRESS(ROW()-1,COLUMN(COND_INTERSTICIAL[[#This Row],[tramo cond]]),4)))+COND_INTERSTICIAL[[#This Row],[Condensa]],COND_INTERSTICIAL[[#This Row],[Capa]],INDIRECT(ADDRESS(ROW()-1,COLUMN(),4))))</f>
        <v>#N/A</v>
      </c>
      <c r="DL57" s="108" t="e" cm="1">
        <f t="array" aca="1" ref="DL57" ca="1">IF((COND_INTERSTICIAL[[#This Row],[Capa]]=N_capas)+(COND_INTERSTICIAL[[#This Row],[tramo cond]]=COUNTIFS(COND_INTERSTICIAL[Condensa],TRUE,COND_INTERSTICIAL[Mes],CW57,COND_INTERSTICIAL[Sección],CX57)+1),N_capas,INDEX(COND_INTERSTICIAL[capa lím inf cond],MATCH(COND_INTERSTICIAL[[#This Row],[Mes]]&amp;"-"&amp;COND_INTERSTICIAL[[#This Row],[Sección]]&amp;"-"&amp;(COND_INTERSTICIAL[[#This Row],[tramo cond]]+1),COND_INTERSTICIAL[llave tramo cond],0)))</f>
        <v>#N/A</v>
      </c>
      <c r="DM57" s="108" cm="1">
        <f t="array" aca="1" ref="DM5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7" s="110" t="e" cm="1">
        <f t="array" aca="1" ref="DN5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7" s="107" t="e">
        <f ca="1">COND_INTERSTICIAL[[#This Row],[gc]]+COND_INTERSTICIAL[[#This Row],[Ma_anterior cond]]</f>
        <v>#N/A</v>
      </c>
      <c r="DQ57" s="113" t="e">
        <f ca="1">IF((COND_INTERSTICIAL[[#This Row],[Ma_anterior cond]]&gt;0)*NOT(COND_INTERSTICIAL[[#This Row],[Condensa]]),TRUE,FALSE)</f>
        <v>#N/A</v>
      </c>
      <c r="DR57" s="112" t="e" cm="1">
        <f t="array" aca="1" ref="DR57" ca="1">IF(COND_INTERSTICIAL[[#This Row],[evapora]],COND_INTERSTICIAL[[#This Row],[Psat]],IF(COND_INTERSTICIAL[[#This Row],[Capa]]=N_capas,COND_INTERSTICIAL[[#This Row],[Pn]],""))</f>
        <v>#N/A</v>
      </c>
      <c r="DS57" s="112" t="e">
        <f ca="1">COND_INTERSTICIAL[[#This Row],[Mes]]&amp;"-"&amp;COND_INTERSTICIAL[[#This Row],[Sección]]&amp;"-"&amp;COND_INTERSTICIAL[[#This Row],[tramo ev]]</f>
        <v>#N/A</v>
      </c>
      <c r="DT57" s="111" t="e" cm="1">
        <f t="array" aca="1" ref="DT57" ca="1">IF(COND_INTERSTICIAL[[#This Row],[Capa]]=1,IF(COND_INTERSTICIAL[[#This Row],[evapora]],2,1),IF(COND_INTERSTICIAL[[#This Row],[evapora]],1,0)+INDIRECT(ADDRESS(ROW()-1,COLUMN(),4)))</f>
        <v>#N/A</v>
      </c>
      <c r="DU57" s="111" t="e" cm="1">
        <f t="array" aca="1" ref="DU57" ca="1">IF(COND_INTERSTICIAL[[#This Row],[tramo ev]]=1,0,IF((COND_INTERSTICIAL[[#This Row],[tramo ev]]&gt;INDIRECT(ADDRESS(ROW()-1,COLUMN(COND_INTERSTICIAL[[#This Row],[tramo ev]]),4)))+COND_INTERSTICIAL[[#This Row],[evapora]],COND_INTERSTICIAL[[#This Row],[Capa]],INDIRECT(ADDRESS(ROW()-1,COLUMN(),4))))</f>
        <v>#N/A</v>
      </c>
      <c r="DV57" s="111" t="e" cm="1">
        <f t="array" aca="1" ref="DV57" ca="1">IF((COND_INTERSTICIAL[[#This Row],[Capa]]=N_capas)+(COND_INTERSTICIAL[[#This Row],[tramo ev]]=COUNTIFS(COND_INTERSTICIAL[evapora],TRUE,COND_INTERSTICIAL[Mes],CW57,COND_INTERSTICIAL[Sección],CX57)+1),N_capas,INDEX(COND_INTERSTICIAL[capa lím inf ev],MATCH(COND_INTERSTICIAL[[#This Row],[Mes]]&amp;"-"&amp;COND_INTERSTICIAL[[#This Row],[Sección]]&amp;"-"&amp;(COND_INTERSTICIAL[[#This Row],[tramo ev]]+1),COND_INTERSTICIAL[llave tramo ev],0)))</f>
        <v>#N/A</v>
      </c>
      <c r="DW57" s="111" cm="1">
        <f t="array" aca="1" ref="DW5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7" s="113" t="e" cm="1">
        <f t="array" aca="1" ref="DX5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7" s="113" t="e">
        <f ca="1">COND_INTERSTICIAL[[#This Row],[gev]]+COND_INTERSTICIAL[[#This Row],[Ma anterior ev]]</f>
        <v>#N/A</v>
      </c>
      <c r="EA57" s="115" t="e">
        <f ca="1">IF(COND_INTERSTICIAL[[#This Row],[Ma cond]]+COND_INTERSTICIAL[[#This Row],[Ma ev]]&lt;=0,0,COND_INTERSTICIAL[[#This Row],[Ma cond]]+COND_INTERSTICIAL[[#This Row],[Ma ev]])</f>
        <v>#N/A</v>
      </c>
      <c r="EB57" s="115" t="e">
        <f ca="1">IF(COND_INTERSTICIAL[[#This Row],[Ma]]&gt;0,TRUE,FALSE)</f>
        <v>#N/A</v>
      </c>
      <c r="EC57" s="115" t="e" cm="1">
        <f t="array" aca="1" ref="EC57" ca="1">IF(COND_INTERSTICIAL[[#This Row],[agua líquida]],IF(COND_INTERSTICIAL[[#This Row],[Condensa]],COND_INTERSTICIAL[[#This Row],[P límite cond]],COND_INTERSTICIAL[[#This Row],[P límite ev]]),IF(COND_INTERSTICIAL[[#This Row],[Capa]]=N_capas,COND_INTERSTICIAL[[#This Row],[Pn]],""))</f>
        <v>#N/A</v>
      </c>
      <c r="ED57" s="115" t="e">
        <f ca="1">COND_INTERSTICIAL[[#This Row],[Mes]]&amp;"-"&amp;COND_INTERSTICIAL[[#This Row],[Sección]]&amp;"-"&amp;COND_INTERSTICIAL[[#This Row],[tramo gráf]]</f>
        <v>#N/A</v>
      </c>
      <c r="EE57" s="114" t="e" cm="1">
        <f t="array" aca="1" ref="EE57" ca="1">IF(COND_INTERSTICIAL[[#This Row],[Capa]]=1,IF(COND_INTERSTICIAL[[#This Row],[agua líquida]],2,1),IF(COND_INTERSTICIAL[[#This Row],[agua líquida]],1,0)+INDIRECT(ADDRESS(ROW()-1,COLUMN(),4)))</f>
        <v>#N/A</v>
      </c>
      <c r="EF57" s="114" t="e" cm="1">
        <f t="array" aca="1" ref="EF57" ca="1">IF(COND_INTERSTICIAL[[#This Row],[tramo gráf]]=1,0,IF((COND_INTERSTICIAL[[#This Row],[tramo gráf]]&gt;INDIRECT(ADDRESS(ROW()-1,COLUMN(COND_INTERSTICIAL[[#This Row],[tramo gráf]]),4)))+COND_INTERSTICIAL[[#This Row],[agua líquida]],COND_INTERSTICIAL[[#This Row],[Capa]],INDIRECT(ADDRESS(ROW()-1,COLUMN(),4))))</f>
        <v>#N/A</v>
      </c>
      <c r="EG57" s="114" t="e" cm="1">
        <f t="array" aca="1" ref="EG57" ca="1">IF((COND_INTERSTICIAL[[#This Row],[Capa]]=N_capas)+(COND_INTERSTICIAL[[#This Row],[tramo gráf]]=COUNTIFS(COND_INTERSTICIAL[agua líquida],TRUE,COND_INTERSTICIAL[Mes],CW57,COND_INTERSTICIAL[Sección],CX57)+1),N_capas,INDEX(COND_INTERSTICIAL[capa lím inf gráf],MATCH(COND_INTERSTICIAL[[#This Row],[Mes]]&amp;"-"&amp;COND_INTERSTICIAL[[#This Row],[Sección]]&amp;"-"&amp;(COND_INTERSTICIAL[[#This Row],[tramo gráf]]+1),COND_INTERSTICIAL[llave tramo gráf],0)))</f>
        <v>#N/A</v>
      </c>
      <c r="EH57" s="114" cm="1">
        <f t="array" aca="1" ref="EH5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7" s="116" t="e" cm="1">
        <f t="array" aca="1" ref="EI5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58" spans="6:190" x14ac:dyDescent="0.45">
      <c r="F58" s="47"/>
      <c r="G58" s="47"/>
      <c r="H58" s="47"/>
      <c r="I58" s="47"/>
      <c r="J58" s="47"/>
      <c r="K58" s="47"/>
      <c r="AF58" s="18" t="s">
        <v>386</v>
      </c>
      <c r="AG58" s="184" t="s">
        <v>387</v>
      </c>
      <c r="AI58" s="12" t="s">
        <v>388</v>
      </c>
      <c r="BY58">
        <v>1</v>
      </c>
      <c r="BZ58">
        <f t="shared" ref="BZ58:BZ69" si="3">Mes_inicial_de_análisis+BY58-1-12*ROUNDDOWN((Mes_inicial_de_análisis+BY58-2)/12,0)</f>
        <v>7</v>
      </c>
      <c r="CA58" t="str" cm="1">
        <f t="array" ref="CA58">INDEX(lista_mes_abreviado,$BZ$58)</f>
        <v>Jul</v>
      </c>
      <c r="CB58" t="str" cm="1">
        <f t="array" ref="CB58">IF($CA$57,INDEX(lista_mes_abreviado,$BY58),INDEX(lista_mes_abreviado,7))</f>
        <v>Ene</v>
      </c>
      <c r="CW58" s="1" cm="1">
        <f t="array" ref="CW58">ROUNDUP((ROW()-$CN$18+(Mes_inicial_de_análisis-1)*N_capas*N_secciones)/(N_capas*N_secciones),0)-12*IF(ROW()-$CN$18&gt;(12-Mes_inicial_de_análisis+1)*N_capas*N_secciones,1,0)</f>
        <v>9</v>
      </c>
      <c r="CX58" cm="1">
        <f t="array" ref="CX58">ROUNDUP((ROW()-$CN$18)/N_capas-(ROUNDUP((ROW()-$CN$18)/(N_capas*N_secciones),0)-1)*N_secciones,0)</f>
        <v>2</v>
      </c>
      <c r="CY58" cm="1">
        <f t="array" ref="CY58">(ROW()-$CN$18)-(COND_INTERSTICIAL[[#This Row],[Sección]]-1)*N_capas-(ROUNDUP((ROW()-$CN$18)/(N_capas*N_secciones),0)-1)*N_capas*N_secciones</f>
        <v>4</v>
      </c>
      <c r="CZ58" t="str">
        <f>COND_INTERSTICIAL[[#This Row],[Mes]]&amp;"-"&amp;COND_INTERSTICIAL[[#This Row],[Sección]]&amp;"-"&amp;COND_INTERSTICIAL[[#This Row],[Capa]]</f>
        <v>9-2-4</v>
      </c>
      <c r="DA58">
        <f ca="1">INDEX(SECCIONES_CAPAS[R''n],MATCH(COND_INTERSTICIAL[[#This Row],[Sección]]&amp;"-"&amp;COND_INTERSTICIAL[[#This Row],[Capa]],SECCIONES_CAPAS[llave],0))</f>
        <v>0.04</v>
      </c>
      <c r="DB58" s="172" t="e" cm="1">
        <f t="array" aca="1" ref="DB58" ca="1">INDEX(CLIMA[ϴe],COND_INTERSTICIAL[[#This Row],[Mes]])+COND_INTERSTICIAL[[#This Row],[Rn]]*(INDEX(CLIMA[ϴi],COND_INTERSTICIAL[[#This Row],[Mes]])-INDEX(CLIMA[ϴe],COND_INTERSTICIAL[[#This Row],[Mes]]))/(INDEX(SECCIONES[Rtsección_condensación],COND_INTERSTICIAL[[#This Row],[Sección]]))</f>
        <v>#N/A</v>
      </c>
      <c r="DC58">
        <f>INDEX(SECCIONES_CAPAS[Sd],MATCH(COND_INTERSTICIAL[[#This Row],[Sección]]&amp;"-"&amp;COND_INTERSTICIAL[[#This Row],[Capa]],SECCIONES_CAPAS[llave],0))</f>
        <v>0</v>
      </c>
      <c r="DD58">
        <f ca="1">INDEX(SECCIONES_CAPAS[S''d],MATCH(COND_INTERSTICIAL[[#This Row],[Sección]]&amp;"-"&amp;COND_INTERSTICIAL[[#This Row],[Capa]],SECCIONES_CAPAS[llave],0))</f>
        <v>0</v>
      </c>
      <c r="DE58" s="90" t="e">
        <f ca="1">IF(COND_INTERSTICIAL[[#This Row],[ϴn]]&gt;=0,610.5*EXP((17.269*COND_INTERSTICIAL[[#This Row],[ϴn]])/(237.3+COND_INTERSTICIAL[[#This Row],[ϴn]])),610.5*EXP((21.875*COND_INTERSTICIAL[[#This Row],[ϴn]])/(265.5+COND_INTERSTICIAL[[#This Row],[ϴn]])))</f>
        <v>#N/A</v>
      </c>
      <c r="DF58" s="90" t="e" cm="1">
        <f t="array" aca="1" ref="DF58" ca="1">COND_INTERSTICIAL[[#This Row],[S''d]]*((INDEX(CLIMA[Pi],COND_INTERSTICIAL[[#This Row],[Mes]])-INDEX(CLIMA[Pe],COND_INTERSTICIAL[[#This Row],[Mes]]))/INDEX(SECCIONES[SdT],COND_INTERSTICIAL[[#This Row],[Sección]]))+INDEX(CLIMA[Pe],COND_INTERSTICIAL[[#This Row],[Mes]])</f>
        <v>#N/A</v>
      </c>
      <c r="DG58" s="108" t="e">
        <f ca="1">IF((COND_INTERSTICIAL[[#This Row],[Pn]]&gt;=COND_INTERSTICIAL[[#This Row],[Psat]]),TRUE,FALSE)</f>
        <v>#N/A</v>
      </c>
      <c r="DH58" s="109" t="e" cm="1">
        <f t="array" aca="1" ref="DH58" ca="1">IF(COND_INTERSTICIAL[[#This Row],[Condensa]],COND_INTERSTICIAL[[#This Row],[Psat]],IF(COND_INTERSTICIAL[[#This Row],[Capa]]=N_capas,COND_INTERSTICIAL[[#This Row],[Pn]],""))</f>
        <v>#N/A</v>
      </c>
      <c r="DI58" s="109" t="e">
        <f ca="1">COND_INTERSTICIAL[[#This Row],[Mes]]&amp;"-"&amp;COND_INTERSTICIAL[[#This Row],[Sección]]&amp;"-"&amp;COND_INTERSTICIAL[[#This Row],[tramo cond]]</f>
        <v>#N/A</v>
      </c>
      <c r="DJ58" t="e" cm="1">
        <f t="array" aca="1" ref="DJ58" ca="1">IF(COND_INTERSTICIAL[[#This Row],[Capa]]=1,IF(COND_INTERSTICIAL[[#This Row],[Condensa]],2,1),IF(COND_INTERSTICIAL[[#This Row],[Condensa]],1,0)+INDIRECT(ADDRESS(ROW()-1,COLUMN(),4)))</f>
        <v>#N/A</v>
      </c>
      <c r="DK58" s="108" t="e" cm="1">
        <f t="array" aca="1" ref="DK58" ca="1">IF(COND_INTERSTICIAL[[#This Row],[tramo cond]]=1,0,IF((COND_INTERSTICIAL[[#This Row],[tramo cond]]&gt;INDIRECT(ADDRESS(ROW()-1,COLUMN(COND_INTERSTICIAL[[#This Row],[tramo cond]]),4)))+COND_INTERSTICIAL[[#This Row],[Condensa]],COND_INTERSTICIAL[[#This Row],[Capa]],INDIRECT(ADDRESS(ROW()-1,COLUMN(),4))))</f>
        <v>#N/A</v>
      </c>
      <c r="DL58" s="108" t="e" cm="1">
        <f t="array" aca="1" ref="DL58" ca="1">IF((COND_INTERSTICIAL[[#This Row],[Capa]]=N_capas)+(COND_INTERSTICIAL[[#This Row],[tramo cond]]=COUNTIFS(COND_INTERSTICIAL[Condensa],TRUE,COND_INTERSTICIAL[Mes],CW58,COND_INTERSTICIAL[Sección],CX58)+1),N_capas,INDEX(COND_INTERSTICIAL[capa lím inf cond],MATCH(COND_INTERSTICIAL[[#This Row],[Mes]]&amp;"-"&amp;COND_INTERSTICIAL[[#This Row],[Sección]]&amp;"-"&amp;(COND_INTERSTICIAL[[#This Row],[tramo cond]]+1),COND_INTERSTICIAL[llave tramo cond],0)))</f>
        <v>#N/A</v>
      </c>
      <c r="DM58" s="108" cm="1">
        <f t="array" aca="1" ref="DM5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8" s="110" t="e" cm="1">
        <f t="array" aca="1" ref="DN5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8" s="107" t="e">
        <f ca="1">COND_INTERSTICIAL[[#This Row],[gc]]+COND_INTERSTICIAL[[#This Row],[Ma_anterior cond]]</f>
        <v>#N/A</v>
      </c>
      <c r="DQ58" s="113" t="e">
        <f ca="1">IF((COND_INTERSTICIAL[[#This Row],[Ma_anterior cond]]&gt;0)*NOT(COND_INTERSTICIAL[[#This Row],[Condensa]]),TRUE,FALSE)</f>
        <v>#N/A</v>
      </c>
      <c r="DR58" s="112" t="e" cm="1">
        <f t="array" aca="1" ref="DR58" ca="1">IF(COND_INTERSTICIAL[[#This Row],[evapora]],COND_INTERSTICIAL[[#This Row],[Psat]],IF(COND_INTERSTICIAL[[#This Row],[Capa]]=N_capas,COND_INTERSTICIAL[[#This Row],[Pn]],""))</f>
        <v>#N/A</v>
      </c>
      <c r="DS58" s="112" t="e">
        <f ca="1">COND_INTERSTICIAL[[#This Row],[Mes]]&amp;"-"&amp;COND_INTERSTICIAL[[#This Row],[Sección]]&amp;"-"&amp;COND_INTERSTICIAL[[#This Row],[tramo ev]]</f>
        <v>#N/A</v>
      </c>
      <c r="DT58" s="111" t="e" cm="1">
        <f t="array" aca="1" ref="DT58" ca="1">IF(COND_INTERSTICIAL[[#This Row],[Capa]]=1,IF(COND_INTERSTICIAL[[#This Row],[evapora]],2,1),IF(COND_INTERSTICIAL[[#This Row],[evapora]],1,0)+INDIRECT(ADDRESS(ROW()-1,COLUMN(),4)))</f>
        <v>#N/A</v>
      </c>
      <c r="DU58" s="111" t="e" cm="1">
        <f t="array" aca="1" ref="DU58" ca="1">IF(COND_INTERSTICIAL[[#This Row],[tramo ev]]=1,0,IF((COND_INTERSTICIAL[[#This Row],[tramo ev]]&gt;INDIRECT(ADDRESS(ROW()-1,COLUMN(COND_INTERSTICIAL[[#This Row],[tramo ev]]),4)))+COND_INTERSTICIAL[[#This Row],[evapora]],COND_INTERSTICIAL[[#This Row],[Capa]],INDIRECT(ADDRESS(ROW()-1,COLUMN(),4))))</f>
        <v>#N/A</v>
      </c>
      <c r="DV58" s="111" t="e" cm="1">
        <f t="array" aca="1" ref="DV58" ca="1">IF((COND_INTERSTICIAL[[#This Row],[Capa]]=N_capas)+(COND_INTERSTICIAL[[#This Row],[tramo ev]]=COUNTIFS(COND_INTERSTICIAL[evapora],TRUE,COND_INTERSTICIAL[Mes],CW58,COND_INTERSTICIAL[Sección],CX58)+1),N_capas,INDEX(COND_INTERSTICIAL[capa lím inf ev],MATCH(COND_INTERSTICIAL[[#This Row],[Mes]]&amp;"-"&amp;COND_INTERSTICIAL[[#This Row],[Sección]]&amp;"-"&amp;(COND_INTERSTICIAL[[#This Row],[tramo ev]]+1),COND_INTERSTICIAL[llave tramo ev],0)))</f>
        <v>#N/A</v>
      </c>
      <c r="DW58" s="111" cm="1">
        <f t="array" aca="1" ref="DW5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8" s="113" t="e" cm="1">
        <f t="array" aca="1" ref="DX5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8" s="113" t="e">
        <f ca="1">COND_INTERSTICIAL[[#This Row],[gev]]+COND_INTERSTICIAL[[#This Row],[Ma anterior ev]]</f>
        <v>#N/A</v>
      </c>
      <c r="EA58" s="115" t="e">
        <f ca="1">IF(COND_INTERSTICIAL[[#This Row],[Ma cond]]+COND_INTERSTICIAL[[#This Row],[Ma ev]]&lt;=0,0,COND_INTERSTICIAL[[#This Row],[Ma cond]]+COND_INTERSTICIAL[[#This Row],[Ma ev]])</f>
        <v>#N/A</v>
      </c>
      <c r="EB58" s="115" t="e">
        <f ca="1">IF(COND_INTERSTICIAL[[#This Row],[Ma]]&gt;0,TRUE,FALSE)</f>
        <v>#N/A</v>
      </c>
      <c r="EC58" s="115" t="e" cm="1">
        <f t="array" aca="1" ref="EC58" ca="1">IF(COND_INTERSTICIAL[[#This Row],[agua líquida]],IF(COND_INTERSTICIAL[[#This Row],[Condensa]],COND_INTERSTICIAL[[#This Row],[P límite cond]],COND_INTERSTICIAL[[#This Row],[P límite ev]]),IF(COND_INTERSTICIAL[[#This Row],[Capa]]=N_capas,COND_INTERSTICIAL[[#This Row],[Pn]],""))</f>
        <v>#N/A</v>
      </c>
      <c r="ED58" s="115" t="e">
        <f ca="1">COND_INTERSTICIAL[[#This Row],[Mes]]&amp;"-"&amp;COND_INTERSTICIAL[[#This Row],[Sección]]&amp;"-"&amp;COND_INTERSTICIAL[[#This Row],[tramo gráf]]</f>
        <v>#N/A</v>
      </c>
      <c r="EE58" s="114" t="e" cm="1">
        <f t="array" aca="1" ref="EE58" ca="1">IF(COND_INTERSTICIAL[[#This Row],[Capa]]=1,IF(COND_INTERSTICIAL[[#This Row],[agua líquida]],2,1),IF(COND_INTERSTICIAL[[#This Row],[agua líquida]],1,0)+INDIRECT(ADDRESS(ROW()-1,COLUMN(),4)))</f>
        <v>#N/A</v>
      </c>
      <c r="EF58" s="114" t="e" cm="1">
        <f t="array" aca="1" ref="EF58" ca="1">IF(COND_INTERSTICIAL[[#This Row],[tramo gráf]]=1,0,IF((COND_INTERSTICIAL[[#This Row],[tramo gráf]]&gt;INDIRECT(ADDRESS(ROW()-1,COLUMN(COND_INTERSTICIAL[[#This Row],[tramo gráf]]),4)))+COND_INTERSTICIAL[[#This Row],[agua líquida]],COND_INTERSTICIAL[[#This Row],[Capa]],INDIRECT(ADDRESS(ROW()-1,COLUMN(),4))))</f>
        <v>#N/A</v>
      </c>
      <c r="EG58" s="114" t="e" cm="1">
        <f t="array" aca="1" ref="EG58" ca="1">IF((COND_INTERSTICIAL[[#This Row],[Capa]]=N_capas)+(COND_INTERSTICIAL[[#This Row],[tramo gráf]]=COUNTIFS(COND_INTERSTICIAL[agua líquida],TRUE,COND_INTERSTICIAL[Mes],CW58,COND_INTERSTICIAL[Sección],CX58)+1),N_capas,INDEX(COND_INTERSTICIAL[capa lím inf gráf],MATCH(COND_INTERSTICIAL[[#This Row],[Mes]]&amp;"-"&amp;COND_INTERSTICIAL[[#This Row],[Sección]]&amp;"-"&amp;(COND_INTERSTICIAL[[#This Row],[tramo gráf]]+1),COND_INTERSTICIAL[llave tramo gráf],0)))</f>
        <v>#N/A</v>
      </c>
      <c r="EH58" s="114" cm="1">
        <f t="array" aca="1" ref="EH5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8" s="116" t="e" cm="1">
        <f t="array" aca="1" ref="EI5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59" spans="6:190" x14ac:dyDescent="0.45">
      <c r="F59" s="47"/>
      <c r="G59" s="47"/>
      <c r="H59" s="47"/>
      <c r="I59" s="47"/>
      <c r="J59" s="47"/>
      <c r="K59" s="47"/>
      <c r="AF59" s="11" t="s">
        <v>389</v>
      </c>
      <c r="AG59" s="2" t="s">
        <v>390</v>
      </c>
      <c r="AI59" s="12" t="s">
        <v>391</v>
      </c>
      <c r="BY59">
        <v>2</v>
      </c>
      <c r="BZ59">
        <f t="shared" si="3"/>
        <v>8</v>
      </c>
      <c r="CA59" t="str" cm="1">
        <f t="array" ref="CA59">INDEX(lista_mes_abreviado,BZ59)</f>
        <v>Ago</v>
      </c>
      <c r="CB59" t="str" cm="1">
        <f t="array" ref="CB59">IF($CA$57,INDEX(lista_mes_abreviado,$BY59),INDEX(lista_mes_abreviado,7))</f>
        <v>Feb</v>
      </c>
      <c r="CW59" s="1" cm="1">
        <f t="array" ref="CW59">ROUNDUP((ROW()-$CN$18+(Mes_inicial_de_análisis-1)*N_capas*N_secciones)/(N_capas*N_secciones),0)-12*IF(ROW()-$CN$18&gt;(12-Mes_inicial_de_análisis+1)*N_capas*N_secciones,1,0)</f>
        <v>9</v>
      </c>
      <c r="CX59" cm="1">
        <f t="array" ref="CX59">ROUNDUP((ROW()-$CN$18)/N_capas-(ROUNDUP((ROW()-$CN$18)/(N_capas*N_secciones),0)-1)*N_secciones,0)</f>
        <v>2</v>
      </c>
      <c r="CY59" cm="1">
        <f t="array" ref="CY59">(ROW()-$CN$18)-(COND_INTERSTICIAL[[#This Row],[Sección]]-1)*N_capas-(ROUNDUP((ROW()-$CN$18)/(N_capas*N_secciones),0)-1)*N_capas*N_secciones</f>
        <v>5</v>
      </c>
      <c r="CZ59" t="str">
        <f>COND_INTERSTICIAL[[#This Row],[Mes]]&amp;"-"&amp;COND_INTERSTICIAL[[#This Row],[Sección]]&amp;"-"&amp;COND_INTERSTICIAL[[#This Row],[Capa]]</f>
        <v>9-2-5</v>
      </c>
      <c r="DA59">
        <f ca="1">INDEX(SECCIONES_CAPAS[R''n],MATCH(COND_INTERSTICIAL[[#This Row],[Sección]]&amp;"-"&amp;COND_INTERSTICIAL[[#This Row],[Capa]],SECCIONES_CAPAS[llave],0))</f>
        <v>0.04</v>
      </c>
      <c r="DB59" s="172" t="e" cm="1">
        <f t="array" aca="1" ref="DB59" ca="1">INDEX(CLIMA[ϴe],COND_INTERSTICIAL[[#This Row],[Mes]])+COND_INTERSTICIAL[[#This Row],[Rn]]*(INDEX(CLIMA[ϴi],COND_INTERSTICIAL[[#This Row],[Mes]])-INDEX(CLIMA[ϴe],COND_INTERSTICIAL[[#This Row],[Mes]]))/(INDEX(SECCIONES[Rtsección_condensación],COND_INTERSTICIAL[[#This Row],[Sección]]))</f>
        <v>#N/A</v>
      </c>
      <c r="DC59">
        <f>INDEX(SECCIONES_CAPAS[Sd],MATCH(COND_INTERSTICIAL[[#This Row],[Sección]]&amp;"-"&amp;COND_INTERSTICIAL[[#This Row],[Capa]],SECCIONES_CAPAS[llave],0))</f>
        <v>0</v>
      </c>
      <c r="DD59">
        <f ca="1">INDEX(SECCIONES_CAPAS[S''d],MATCH(COND_INTERSTICIAL[[#This Row],[Sección]]&amp;"-"&amp;COND_INTERSTICIAL[[#This Row],[Capa]],SECCIONES_CAPAS[llave],0))</f>
        <v>0</v>
      </c>
      <c r="DE59" s="90" t="e">
        <f ca="1">IF(COND_INTERSTICIAL[[#This Row],[ϴn]]&gt;=0,610.5*EXP((17.269*COND_INTERSTICIAL[[#This Row],[ϴn]])/(237.3+COND_INTERSTICIAL[[#This Row],[ϴn]])),610.5*EXP((21.875*COND_INTERSTICIAL[[#This Row],[ϴn]])/(265.5+COND_INTERSTICIAL[[#This Row],[ϴn]])))</f>
        <v>#N/A</v>
      </c>
      <c r="DF59" s="90" t="e" cm="1">
        <f t="array" aca="1" ref="DF59" ca="1">COND_INTERSTICIAL[[#This Row],[S''d]]*((INDEX(CLIMA[Pi],COND_INTERSTICIAL[[#This Row],[Mes]])-INDEX(CLIMA[Pe],COND_INTERSTICIAL[[#This Row],[Mes]]))/INDEX(SECCIONES[SdT],COND_INTERSTICIAL[[#This Row],[Sección]]))+INDEX(CLIMA[Pe],COND_INTERSTICIAL[[#This Row],[Mes]])</f>
        <v>#N/A</v>
      </c>
      <c r="DG59" s="108" t="e">
        <f ca="1">IF((COND_INTERSTICIAL[[#This Row],[Pn]]&gt;=COND_INTERSTICIAL[[#This Row],[Psat]]),TRUE,FALSE)</f>
        <v>#N/A</v>
      </c>
      <c r="DH59" s="109" t="e" cm="1">
        <f t="array" aca="1" ref="DH59" ca="1">IF(COND_INTERSTICIAL[[#This Row],[Condensa]],COND_INTERSTICIAL[[#This Row],[Psat]],IF(COND_INTERSTICIAL[[#This Row],[Capa]]=N_capas,COND_INTERSTICIAL[[#This Row],[Pn]],""))</f>
        <v>#N/A</v>
      </c>
      <c r="DI59" s="109" t="e">
        <f ca="1">COND_INTERSTICIAL[[#This Row],[Mes]]&amp;"-"&amp;COND_INTERSTICIAL[[#This Row],[Sección]]&amp;"-"&amp;COND_INTERSTICIAL[[#This Row],[tramo cond]]</f>
        <v>#N/A</v>
      </c>
      <c r="DJ59" t="e" cm="1">
        <f t="array" aca="1" ref="DJ59" ca="1">IF(COND_INTERSTICIAL[[#This Row],[Capa]]=1,IF(COND_INTERSTICIAL[[#This Row],[Condensa]],2,1),IF(COND_INTERSTICIAL[[#This Row],[Condensa]],1,0)+INDIRECT(ADDRESS(ROW()-1,COLUMN(),4)))</f>
        <v>#N/A</v>
      </c>
      <c r="DK59" s="108" t="e" cm="1">
        <f t="array" aca="1" ref="DK59" ca="1">IF(COND_INTERSTICIAL[[#This Row],[tramo cond]]=1,0,IF((COND_INTERSTICIAL[[#This Row],[tramo cond]]&gt;INDIRECT(ADDRESS(ROW()-1,COLUMN(COND_INTERSTICIAL[[#This Row],[tramo cond]]),4)))+COND_INTERSTICIAL[[#This Row],[Condensa]],COND_INTERSTICIAL[[#This Row],[Capa]],INDIRECT(ADDRESS(ROW()-1,COLUMN(),4))))</f>
        <v>#N/A</v>
      </c>
      <c r="DL59" s="108" t="e" cm="1">
        <f t="array" aca="1" ref="DL59" ca="1">IF((COND_INTERSTICIAL[[#This Row],[Capa]]=N_capas)+(COND_INTERSTICIAL[[#This Row],[tramo cond]]=COUNTIFS(COND_INTERSTICIAL[Condensa],TRUE,COND_INTERSTICIAL[Mes],CW59,COND_INTERSTICIAL[Sección],CX59)+1),N_capas,INDEX(COND_INTERSTICIAL[capa lím inf cond],MATCH(COND_INTERSTICIAL[[#This Row],[Mes]]&amp;"-"&amp;COND_INTERSTICIAL[[#This Row],[Sección]]&amp;"-"&amp;(COND_INTERSTICIAL[[#This Row],[tramo cond]]+1),COND_INTERSTICIAL[llave tramo cond],0)))</f>
        <v>#N/A</v>
      </c>
      <c r="DM59" s="108" cm="1">
        <f t="array" aca="1" ref="DM5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9" s="110" t="e" cm="1">
        <f t="array" aca="1" ref="DN5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9" s="107" t="e">
        <f ca="1">COND_INTERSTICIAL[[#This Row],[gc]]+COND_INTERSTICIAL[[#This Row],[Ma_anterior cond]]</f>
        <v>#N/A</v>
      </c>
      <c r="DQ59" s="113" t="e">
        <f ca="1">IF((COND_INTERSTICIAL[[#This Row],[Ma_anterior cond]]&gt;0)*NOT(COND_INTERSTICIAL[[#This Row],[Condensa]]),TRUE,FALSE)</f>
        <v>#N/A</v>
      </c>
      <c r="DR59" s="112" t="e" cm="1">
        <f t="array" aca="1" ref="DR59" ca="1">IF(COND_INTERSTICIAL[[#This Row],[evapora]],COND_INTERSTICIAL[[#This Row],[Psat]],IF(COND_INTERSTICIAL[[#This Row],[Capa]]=N_capas,COND_INTERSTICIAL[[#This Row],[Pn]],""))</f>
        <v>#N/A</v>
      </c>
      <c r="DS59" s="112" t="e">
        <f ca="1">COND_INTERSTICIAL[[#This Row],[Mes]]&amp;"-"&amp;COND_INTERSTICIAL[[#This Row],[Sección]]&amp;"-"&amp;COND_INTERSTICIAL[[#This Row],[tramo ev]]</f>
        <v>#N/A</v>
      </c>
      <c r="DT59" s="111" t="e" cm="1">
        <f t="array" aca="1" ref="DT59" ca="1">IF(COND_INTERSTICIAL[[#This Row],[Capa]]=1,IF(COND_INTERSTICIAL[[#This Row],[evapora]],2,1),IF(COND_INTERSTICIAL[[#This Row],[evapora]],1,0)+INDIRECT(ADDRESS(ROW()-1,COLUMN(),4)))</f>
        <v>#N/A</v>
      </c>
      <c r="DU59" s="111" t="e" cm="1">
        <f t="array" aca="1" ref="DU59" ca="1">IF(COND_INTERSTICIAL[[#This Row],[tramo ev]]=1,0,IF((COND_INTERSTICIAL[[#This Row],[tramo ev]]&gt;INDIRECT(ADDRESS(ROW()-1,COLUMN(COND_INTERSTICIAL[[#This Row],[tramo ev]]),4)))+COND_INTERSTICIAL[[#This Row],[evapora]],COND_INTERSTICIAL[[#This Row],[Capa]],INDIRECT(ADDRESS(ROW()-1,COLUMN(),4))))</f>
        <v>#N/A</v>
      </c>
      <c r="DV59" s="111" t="e" cm="1">
        <f t="array" aca="1" ref="DV59" ca="1">IF((COND_INTERSTICIAL[[#This Row],[Capa]]=N_capas)+(COND_INTERSTICIAL[[#This Row],[tramo ev]]=COUNTIFS(COND_INTERSTICIAL[evapora],TRUE,COND_INTERSTICIAL[Mes],CW59,COND_INTERSTICIAL[Sección],CX59)+1),N_capas,INDEX(COND_INTERSTICIAL[capa lím inf ev],MATCH(COND_INTERSTICIAL[[#This Row],[Mes]]&amp;"-"&amp;COND_INTERSTICIAL[[#This Row],[Sección]]&amp;"-"&amp;(COND_INTERSTICIAL[[#This Row],[tramo ev]]+1),COND_INTERSTICIAL[llave tramo ev],0)))</f>
        <v>#N/A</v>
      </c>
      <c r="DW59" s="111" cm="1">
        <f t="array" aca="1" ref="DW5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9" s="113" t="e" cm="1">
        <f t="array" aca="1" ref="DX5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9" s="113" t="e">
        <f ca="1">COND_INTERSTICIAL[[#This Row],[gev]]+COND_INTERSTICIAL[[#This Row],[Ma anterior ev]]</f>
        <v>#N/A</v>
      </c>
      <c r="EA59" s="115" t="e">
        <f ca="1">IF(COND_INTERSTICIAL[[#This Row],[Ma cond]]+COND_INTERSTICIAL[[#This Row],[Ma ev]]&lt;=0,0,COND_INTERSTICIAL[[#This Row],[Ma cond]]+COND_INTERSTICIAL[[#This Row],[Ma ev]])</f>
        <v>#N/A</v>
      </c>
      <c r="EB59" s="115" t="e">
        <f ca="1">IF(COND_INTERSTICIAL[[#This Row],[Ma]]&gt;0,TRUE,FALSE)</f>
        <v>#N/A</v>
      </c>
      <c r="EC59" s="115" t="e" cm="1">
        <f t="array" aca="1" ref="EC59" ca="1">IF(COND_INTERSTICIAL[[#This Row],[agua líquida]],IF(COND_INTERSTICIAL[[#This Row],[Condensa]],COND_INTERSTICIAL[[#This Row],[P límite cond]],COND_INTERSTICIAL[[#This Row],[P límite ev]]),IF(COND_INTERSTICIAL[[#This Row],[Capa]]=N_capas,COND_INTERSTICIAL[[#This Row],[Pn]],""))</f>
        <v>#N/A</v>
      </c>
      <c r="ED59" s="115" t="e">
        <f ca="1">COND_INTERSTICIAL[[#This Row],[Mes]]&amp;"-"&amp;COND_INTERSTICIAL[[#This Row],[Sección]]&amp;"-"&amp;COND_INTERSTICIAL[[#This Row],[tramo gráf]]</f>
        <v>#N/A</v>
      </c>
      <c r="EE59" s="114" t="e" cm="1">
        <f t="array" aca="1" ref="EE59" ca="1">IF(COND_INTERSTICIAL[[#This Row],[Capa]]=1,IF(COND_INTERSTICIAL[[#This Row],[agua líquida]],2,1),IF(COND_INTERSTICIAL[[#This Row],[agua líquida]],1,0)+INDIRECT(ADDRESS(ROW()-1,COLUMN(),4)))</f>
        <v>#N/A</v>
      </c>
      <c r="EF59" s="114" t="e" cm="1">
        <f t="array" aca="1" ref="EF59" ca="1">IF(COND_INTERSTICIAL[[#This Row],[tramo gráf]]=1,0,IF((COND_INTERSTICIAL[[#This Row],[tramo gráf]]&gt;INDIRECT(ADDRESS(ROW()-1,COLUMN(COND_INTERSTICIAL[[#This Row],[tramo gráf]]),4)))+COND_INTERSTICIAL[[#This Row],[agua líquida]],COND_INTERSTICIAL[[#This Row],[Capa]],INDIRECT(ADDRESS(ROW()-1,COLUMN(),4))))</f>
        <v>#N/A</v>
      </c>
      <c r="EG59" s="114" t="e" cm="1">
        <f t="array" aca="1" ref="EG59" ca="1">IF((COND_INTERSTICIAL[[#This Row],[Capa]]=N_capas)+(COND_INTERSTICIAL[[#This Row],[tramo gráf]]=COUNTIFS(COND_INTERSTICIAL[agua líquida],TRUE,COND_INTERSTICIAL[Mes],CW59,COND_INTERSTICIAL[Sección],CX59)+1),N_capas,INDEX(COND_INTERSTICIAL[capa lím inf gráf],MATCH(COND_INTERSTICIAL[[#This Row],[Mes]]&amp;"-"&amp;COND_INTERSTICIAL[[#This Row],[Sección]]&amp;"-"&amp;(COND_INTERSTICIAL[[#This Row],[tramo gráf]]+1),COND_INTERSTICIAL[llave tramo gráf],0)))</f>
        <v>#N/A</v>
      </c>
      <c r="EH59" s="114" cm="1">
        <f t="array" aca="1" ref="EH5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9" s="116" t="e" cm="1">
        <f t="array" aca="1" ref="EI5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0" spans="6:190" x14ac:dyDescent="0.45">
      <c r="F60" s="47"/>
      <c r="G60" s="47"/>
      <c r="H60" s="47"/>
      <c r="I60" s="47"/>
      <c r="J60" s="47"/>
      <c r="K60" s="47"/>
      <c r="AF60" s="11" t="s">
        <v>392</v>
      </c>
      <c r="AG60" s="2" t="s">
        <v>393</v>
      </c>
      <c r="AI60" s="12" t="s">
        <v>391</v>
      </c>
      <c r="BY60">
        <v>3</v>
      </c>
      <c r="BZ60">
        <f t="shared" si="3"/>
        <v>9</v>
      </c>
      <c r="CA60" t="str" cm="1">
        <f t="array" ref="CA60">INDEX(lista_mes_abreviado,BZ60)</f>
        <v>Sept</v>
      </c>
      <c r="CB60" t="str" cm="1">
        <f t="array" ref="CB60">IF($CA$57,INDEX(lista_mes_abreviado,$BY60),INDEX(lista_mes_abreviado,7))</f>
        <v>Mar</v>
      </c>
      <c r="CW60" s="1" cm="1">
        <f t="array" ref="CW60">ROUNDUP((ROW()-$CN$18+(Mes_inicial_de_análisis-1)*N_capas*N_secciones)/(N_capas*N_secciones),0)-12*IF(ROW()-$CN$18&gt;(12-Mes_inicial_de_análisis+1)*N_capas*N_secciones,1,0)</f>
        <v>9</v>
      </c>
      <c r="CX60" cm="1">
        <f t="array" ref="CX60">ROUNDUP((ROW()-$CN$18)/N_capas-(ROUNDUP((ROW()-$CN$18)/(N_capas*N_secciones),0)-1)*N_secciones,0)</f>
        <v>2</v>
      </c>
      <c r="CY60" cm="1">
        <f t="array" ref="CY60">(ROW()-$CN$18)-(COND_INTERSTICIAL[[#This Row],[Sección]]-1)*N_capas-(ROUNDUP((ROW()-$CN$18)/(N_capas*N_secciones),0)-1)*N_capas*N_secciones</f>
        <v>6</v>
      </c>
      <c r="CZ60" t="str">
        <f>COND_INTERSTICIAL[[#This Row],[Mes]]&amp;"-"&amp;COND_INTERSTICIAL[[#This Row],[Sección]]&amp;"-"&amp;COND_INTERSTICIAL[[#This Row],[Capa]]</f>
        <v>9-2-6</v>
      </c>
      <c r="DA60">
        <f ca="1">INDEX(SECCIONES_CAPAS[R''n],MATCH(COND_INTERSTICIAL[[#This Row],[Sección]]&amp;"-"&amp;COND_INTERSTICIAL[[#This Row],[Capa]],SECCIONES_CAPAS[llave],0))</f>
        <v>0.04</v>
      </c>
      <c r="DB60" s="172" t="e" cm="1">
        <f t="array" aca="1" ref="DB60" ca="1">INDEX(CLIMA[ϴe],COND_INTERSTICIAL[[#This Row],[Mes]])+COND_INTERSTICIAL[[#This Row],[Rn]]*(INDEX(CLIMA[ϴi],COND_INTERSTICIAL[[#This Row],[Mes]])-INDEX(CLIMA[ϴe],COND_INTERSTICIAL[[#This Row],[Mes]]))/(INDEX(SECCIONES[Rtsección_condensación],COND_INTERSTICIAL[[#This Row],[Sección]]))</f>
        <v>#N/A</v>
      </c>
      <c r="DC60">
        <f>INDEX(SECCIONES_CAPAS[Sd],MATCH(COND_INTERSTICIAL[[#This Row],[Sección]]&amp;"-"&amp;COND_INTERSTICIAL[[#This Row],[Capa]],SECCIONES_CAPAS[llave],0))</f>
        <v>0</v>
      </c>
      <c r="DD60">
        <f ca="1">INDEX(SECCIONES_CAPAS[S''d],MATCH(COND_INTERSTICIAL[[#This Row],[Sección]]&amp;"-"&amp;COND_INTERSTICIAL[[#This Row],[Capa]],SECCIONES_CAPAS[llave],0))</f>
        <v>0</v>
      </c>
      <c r="DE60" s="90" t="e">
        <f ca="1">IF(COND_INTERSTICIAL[[#This Row],[ϴn]]&gt;=0,610.5*EXP((17.269*COND_INTERSTICIAL[[#This Row],[ϴn]])/(237.3+COND_INTERSTICIAL[[#This Row],[ϴn]])),610.5*EXP((21.875*COND_INTERSTICIAL[[#This Row],[ϴn]])/(265.5+COND_INTERSTICIAL[[#This Row],[ϴn]])))</f>
        <v>#N/A</v>
      </c>
      <c r="DF60" s="90" t="e" cm="1">
        <f t="array" aca="1" ref="DF60" ca="1">COND_INTERSTICIAL[[#This Row],[S''d]]*((INDEX(CLIMA[Pi],COND_INTERSTICIAL[[#This Row],[Mes]])-INDEX(CLIMA[Pe],COND_INTERSTICIAL[[#This Row],[Mes]]))/INDEX(SECCIONES[SdT],COND_INTERSTICIAL[[#This Row],[Sección]]))+INDEX(CLIMA[Pe],COND_INTERSTICIAL[[#This Row],[Mes]])</f>
        <v>#N/A</v>
      </c>
      <c r="DG60" s="108" t="e">
        <f ca="1">IF((COND_INTERSTICIAL[[#This Row],[Pn]]&gt;=COND_INTERSTICIAL[[#This Row],[Psat]]),TRUE,FALSE)</f>
        <v>#N/A</v>
      </c>
      <c r="DH60" s="109" t="e" cm="1">
        <f t="array" aca="1" ref="DH60" ca="1">IF(COND_INTERSTICIAL[[#This Row],[Condensa]],COND_INTERSTICIAL[[#This Row],[Psat]],IF(COND_INTERSTICIAL[[#This Row],[Capa]]=N_capas,COND_INTERSTICIAL[[#This Row],[Pn]],""))</f>
        <v>#N/A</v>
      </c>
      <c r="DI60" s="109" t="e">
        <f ca="1">COND_INTERSTICIAL[[#This Row],[Mes]]&amp;"-"&amp;COND_INTERSTICIAL[[#This Row],[Sección]]&amp;"-"&amp;COND_INTERSTICIAL[[#This Row],[tramo cond]]</f>
        <v>#N/A</v>
      </c>
      <c r="DJ60" t="e" cm="1">
        <f t="array" aca="1" ref="DJ60" ca="1">IF(COND_INTERSTICIAL[[#This Row],[Capa]]=1,IF(COND_INTERSTICIAL[[#This Row],[Condensa]],2,1),IF(COND_INTERSTICIAL[[#This Row],[Condensa]],1,0)+INDIRECT(ADDRESS(ROW()-1,COLUMN(),4)))</f>
        <v>#N/A</v>
      </c>
      <c r="DK60" s="108" t="e" cm="1">
        <f t="array" aca="1" ref="DK60" ca="1">IF(COND_INTERSTICIAL[[#This Row],[tramo cond]]=1,0,IF((COND_INTERSTICIAL[[#This Row],[tramo cond]]&gt;INDIRECT(ADDRESS(ROW()-1,COLUMN(COND_INTERSTICIAL[[#This Row],[tramo cond]]),4)))+COND_INTERSTICIAL[[#This Row],[Condensa]],COND_INTERSTICIAL[[#This Row],[Capa]],INDIRECT(ADDRESS(ROW()-1,COLUMN(),4))))</f>
        <v>#N/A</v>
      </c>
      <c r="DL60" s="108" t="e" cm="1">
        <f t="array" aca="1" ref="DL60" ca="1">IF((COND_INTERSTICIAL[[#This Row],[Capa]]=N_capas)+(COND_INTERSTICIAL[[#This Row],[tramo cond]]=COUNTIFS(COND_INTERSTICIAL[Condensa],TRUE,COND_INTERSTICIAL[Mes],CW60,COND_INTERSTICIAL[Sección],CX60)+1),N_capas,INDEX(COND_INTERSTICIAL[capa lím inf cond],MATCH(COND_INTERSTICIAL[[#This Row],[Mes]]&amp;"-"&amp;COND_INTERSTICIAL[[#This Row],[Sección]]&amp;"-"&amp;(COND_INTERSTICIAL[[#This Row],[tramo cond]]+1),COND_INTERSTICIAL[llave tramo cond],0)))</f>
        <v>#N/A</v>
      </c>
      <c r="DM60" s="108" cm="1">
        <f t="array" aca="1" ref="DM6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0" s="110" t="e" cm="1">
        <f t="array" aca="1" ref="DN6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0" s="107" t="e">
        <f ca="1">COND_INTERSTICIAL[[#This Row],[gc]]+COND_INTERSTICIAL[[#This Row],[Ma_anterior cond]]</f>
        <v>#N/A</v>
      </c>
      <c r="DQ60" s="113" t="e">
        <f ca="1">IF((COND_INTERSTICIAL[[#This Row],[Ma_anterior cond]]&gt;0)*NOT(COND_INTERSTICIAL[[#This Row],[Condensa]]),TRUE,FALSE)</f>
        <v>#N/A</v>
      </c>
      <c r="DR60" s="112" t="e" cm="1">
        <f t="array" aca="1" ref="DR60" ca="1">IF(COND_INTERSTICIAL[[#This Row],[evapora]],COND_INTERSTICIAL[[#This Row],[Psat]],IF(COND_INTERSTICIAL[[#This Row],[Capa]]=N_capas,COND_INTERSTICIAL[[#This Row],[Pn]],""))</f>
        <v>#N/A</v>
      </c>
      <c r="DS60" s="112" t="e">
        <f ca="1">COND_INTERSTICIAL[[#This Row],[Mes]]&amp;"-"&amp;COND_INTERSTICIAL[[#This Row],[Sección]]&amp;"-"&amp;COND_INTERSTICIAL[[#This Row],[tramo ev]]</f>
        <v>#N/A</v>
      </c>
      <c r="DT60" s="111" t="e" cm="1">
        <f t="array" aca="1" ref="DT60" ca="1">IF(COND_INTERSTICIAL[[#This Row],[Capa]]=1,IF(COND_INTERSTICIAL[[#This Row],[evapora]],2,1),IF(COND_INTERSTICIAL[[#This Row],[evapora]],1,0)+INDIRECT(ADDRESS(ROW()-1,COLUMN(),4)))</f>
        <v>#N/A</v>
      </c>
      <c r="DU60" s="111" t="e" cm="1">
        <f t="array" aca="1" ref="DU60" ca="1">IF(COND_INTERSTICIAL[[#This Row],[tramo ev]]=1,0,IF((COND_INTERSTICIAL[[#This Row],[tramo ev]]&gt;INDIRECT(ADDRESS(ROW()-1,COLUMN(COND_INTERSTICIAL[[#This Row],[tramo ev]]),4)))+COND_INTERSTICIAL[[#This Row],[evapora]],COND_INTERSTICIAL[[#This Row],[Capa]],INDIRECT(ADDRESS(ROW()-1,COLUMN(),4))))</f>
        <v>#N/A</v>
      </c>
      <c r="DV60" s="111" t="e" cm="1">
        <f t="array" aca="1" ref="DV60" ca="1">IF((COND_INTERSTICIAL[[#This Row],[Capa]]=N_capas)+(COND_INTERSTICIAL[[#This Row],[tramo ev]]=COUNTIFS(COND_INTERSTICIAL[evapora],TRUE,COND_INTERSTICIAL[Mes],CW60,COND_INTERSTICIAL[Sección],CX60)+1),N_capas,INDEX(COND_INTERSTICIAL[capa lím inf ev],MATCH(COND_INTERSTICIAL[[#This Row],[Mes]]&amp;"-"&amp;COND_INTERSTICIAL[[#This Row],[Sección]]&amp;"-"&amp;(COND_INTERSTICIAL[[#This Row],[tramo ev]]+1),COND_INTERSTICIAL[llave tramo ev],0)))</f>
        <v>#N/A</v>
      </c>
      <c r="DW60" s="111" cm="1">
        <f t="array" aca="1" ref="DW6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0" s="113" t="e" cm="1">
        <f t="array" aca="1" ref="DX6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60" s="113" t="e">
        <f ca="1">COND_INTERSTICIAL[[#This Row],[gev]]+COND_INTERSTICIAL[[#This Row],[Ma anterior ev]]</f>
        <v>#N/A</v>
      </c>
      <c r="EA60" s="115" t="e">
        <f ca="1">IF(COND_INTERSTICIAL[[#This Row],[Ma cond]]+COND_INTERSTICIAL[[#This Row],[Ma ev]]&lt;=0,0,COND_INTERSTICIAL[[#This Row],[Ma cond]]+COND_INTERSTICIAL[[#This Row],[Ma ev]])</f>
        <v>#N/A</v>
      </c>
      <c r="EB60" s="115" t="e">
        <f ca="1">IF(COND_INTERSTICIAL[[#This Row],[Ma]]&gt;0,TRUE,FALSE)</f>
        <v>#N/A</v>
      </c>
      <c r="EC60" s="115" t="e" cm="1">
        <f t="array" aca="1" ref="EC60" ca="1">IF(COND_INTERSTICIAL[[#This Row],[agua líquida]],IF(COND_INTERSTICIAL[[#This Row],[Condensa]],COND_INTERSTICIAL[[#This Row],[P límite cond]],COND_INTERSTICIAL[[#This Row],[P límite ev]]),IF(COND_INTERSTICIAL[[#This Row],[Capa]]=N_capas,COND_INTERSTICIAL[[#This Row],[Pn]],""))</f>
        <v>#N/A</v>
      </c>
      <c r="ED60" s="115" t="e">
        <f ca="1">COND_INTERSTICIAL[[#This Row],[Mes]]&amp;"-"&amp;COND_INTERSTICIAL[[#This Row],[Sección]]&amp;"-"&amp;COND_INTERSTICIAL[[#This Row],[tramo gráf]]</f>
        <v>#N/A</v>
      </c>
      <c r="EE60" s="114" t="e" cm="1">
        <f t="array" aca="1" ref="EE60" ca="1">IF(COND_INTERSTICIAL[[#This Row],[Capa]]=1,IF(COND_INTERSTICIAL[[#This Row],[agua líquida]],2,1),IF(COND_INTERSTICIAL[[#This Row],[agua líquida]],1,0)+INDIRECT(ADDRESS(ROW()-1,COLUMN(),4)))</f>
        <v>#N/A</v>
      </c>
      <c r="EF60" s="114" t="e" cm="1">
        <f t="array" aca="1" ref="EF60" ca="1">IF(COND_INTERSTICIAL[[#This Row],[tramo gráf]]=1,0,IF((COND_INTERSTICIAL[[#This Row],[tramo gráf]]&gt;INDIRECT(ADDRESS(ROW()-1,COLUMN(COND_INTERSTICIAL[[#This Row],[tramo gráf]]),4)))+COND_INTERSTICIAL[[#This Row],[agua líquida]],COND_INTERSTICIAL[[#This Row],[Capa]],INDIRECT(ADDRESS(ROW()-1,COLUMN(),4))))</f>
        <v>#N/A</v>
      </c>
      <c r="EG60" s="114" t="e" cm="1">
        <f t="array" aca="1" ref="EG60" ca="1">IF((COND_INTERSTICIAL[[#This Row],[Capa]]=N_capas)+(COND_INTERSTICIAL[[#This Row],[tramo gráf]]=COUNTIFS(COND_INTERSTICIAL[agua líquida],TRUE,COND_INTERSTICIAL[Mes],CW60,COND_INTERSTICIAL[Sección],CX60)+1),N_capas,INDEX(COND_INTERSTICIAL[capa lím inf gráf],MATCH(COND_INTERSTICIAL[[#This Row],[Mes]]&amp;"-"&amp;COND_INTERSTICIAL[[#This Row],[Sección]]&amp;"-"&amp;(COND_INTERSTICIAL[[#This Row],[tramo gráf]]+1),COND_INTERSTICIAL[llave tramo gráf],0)))</f>
        <v>#N/A</v>
      </c>
      <c r="EH60" s="114" cm="1">
        <f t="array" aca="1" ref="EH6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0" s="116" t="e" cm="1">
        <f t="array" aca="1" ref="EI6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1" spans="6:190" x14ac:dyDescent="0.45">
      <c r="F61" s="47"/>
      <c r="G61" s="47"/>
      <c r="H61" s="47"/>
      <c r="I61" s="47"/>
      <c r="J61" s="47"/>
      <c r="K61" s="47"/>
      <c r="AF61" s="13" t="s">
        <v>394</v>
      </c>
      <c r="AG61" s="181" t="s">
        <v>373</v>
      </c>
      <c r="AH61" s="8" cm="1">
        <f t="array" ref="AH61">MAX(SECCIONES[R100 capa aislante]/100)</f>
        <v>0</v>
      </c>
      <c r="AI61" s="14" t="s">
        <v>100</v>
      </c>
      <c r="BY61">
        <v>4</v>
      </c>
      <c r="BZ61">
        <f t="shared" si="3"/>
        <v>10</v>
      </c>
      <c r="CA61" t="str" cm="1">
        <f t="array" ref="CA61">INDEX(lista_mes_abreviado,BZ61)</f>
        <v>Oct</v>
      </c>
      <c r="CB61" t="str" cm="1">
        <f t="array" ref="CB61">IF($CA$57,INDEX(lista_mes_abreviado,$BY61),INDEX(lista_mes_abreviado,7))</f>
        <v>Abr</v>
      </c>
      <c r="CW61" s="1" cm="1">
        <f t="array" ref="CW61">ROUNDUP((ROW()-$CN$18+(Mes_inicial_de_análisis-1)*N_capas*N_secciones)/(N_capas*N_secciones),0)-12*IF(ROW()-$CN$18&gt;(12-Mes_inicial_de_análisis+1)*N_capas*N_secciones,1,0)</f>
        <v>9</v>
      </c>
      <c r="CX61" cm="1">
        <f t="array" ref="CX61">ROUNDUP((ROW()-$CN$18)/N_capas-(ROUNDUP((ROW()-$CN$18)/(N_capas*N_secciones),0)-1)*N_secciones,0)</f>
        <v>2</v>
      </c>
      <c r="CY61" cm="1">
        <f t="array" ref="CY61">(ROW()-$CN$18)-(COND_INTERSTICIAL[[#This Row],[Sección]]-1)*N_capas-(ROUNDUP((ROW()-$CN$18)/(N_capas*N_secciones),0)-1)*N_capas*N_secciones</f>
        <v>7</v>
      </c>
      <c r="CZ61" t="str">
        <f>COND_INTERSTICIAL[[#This Row],[Mes]]&amp;"-"&amp;COND_INTERSTICIAL[[#This Row],[Sección]]&amp;"-"&amp;COND_INTERSTICIAL[[#This Row],[Capa]]</f>
        <v>9-2-7</v>
      </c>
      <c r="DA61">
        <f ca="1">INDEX(SECCIONES_CAPAS[R''n],MATCH(COND_INTERSTICIAL[[#This Row],[Sección]]&amp;"-"&amp;COND_INTERSTICIAL[[#This Row],[Capa]],SECCIONES_CAPAS[llave],0))</f>
        <v>0.04</v>
      </c>
      <c r="DB61" s="172" t="e" cm="1">
        <f t="array" aca="1" ref="DB61" ca="1">INDEX(CLIMA[ϴe],COND_INTERSTICIAL[[#This Row],[Mes]])+COND_INTERSTICIAL[[#This Row],[Rn]]*(INDEX(CLIMA[ϴi],COND_INTERSTICIAL[[#This Row],[Mes]])-INDEX(CLIMA[ϴe],COND_INTERSTICIAL[[#This Row],[Mes]]))/(INDEX(SECCIONES[Rtsección_condensación],COND_INTERSTICIAL[[#This Row],[Sección]]))</f>
        <v>#N/A</v>
      </c>
      <c r="DC61">
        <f>INDEX(SECCIONES_CAPAS[Sd],MATCH(COND_INTERSTICIAL[[#This Row],[Sección]]&amp;"-"&amp;COND_INTERSTICIAL[[#This Row],[Capa]],SECCIONES_CAPAS[llave],0))</f>
        <v>0</v>
      </c>
      <c r="DD61">
        <f ca="1">INDEX(SECCIONES_CAPAS[S''d],MATCH(COND_INTERSTICIAL[[#This Row],[Sección]]&amp;"-"&amp;COND_INTERSTICIAL[[#This Row],[Capa]],SECCIONES_CAPAS[llave],0))</f>
        <v>0</v>
      </c>
      <c r="DE61" s="90" t="e">
        <f ca="1">IF(COND_INTERSTICIAL[[#This Row],[ϴn]]&gt;=0,610.5*EXP((17.269*COND_INTERSTICIAL[[#This Row],[ϴn]])/(237.3+COND_INTERSTICIAL[[#This Row],[ϴn]])),610.5*EXP((21.875*COND_INTERSTICIAL[[#This Row],[ϴn]])/(265.5+COND_INTERSTICIAL[[#This Row],[ϴn]])))</f>
        <v>#N/A</v>
      </c>
      <c r="DF61" s="90" t="e" cm="1">
        <f t="array" aca="1" ref="DF61" ca="1">COND_INTERSTICIAL[[#This Row],[S''d]]*((INDEX(CLIMA[Pi],COND_INTERSTICIAL[[#This Row],[Mes]])-INDEX(CLIMA[Pe],COND_INTERSTICIAL[[#This Row],[Mes]]))/INDEX(SECCIONES[SdT],COND_INTERSTICIAL[[#This Row],[Sección]]))+INDEX(CLIMA[Pe],COND_INTERSTICIAL[[#This Row],[Mes]])</f>
        <v>#N/A</v>
      </c>
      <c r="DG61" s="108" t="e">
        <f ca="1">IF((COND_INTERSTICIAL[[#This Row],[Pn]]&gt;=COND_INTERSTICIAL[[#This Row],[Psat]]),TRUE,FALSE)</f>
        <v>#N/A</v>
      </c>
      <c r="DH61" s="109" t="e" cm="1">
        <f t="array" aca="1" ref="DH61" ca="1">IF(COND_INTERSTICIAL[[#This Row],[Condensa]],COND_INTERSTICIAL[[#This Row],[Psat]],IF(COND_INTERSTICIAL[[#This Row],[Capa]]=N_capas,COND_INTERSTICIAL[[#This Row],[Pn]],""))</f>
        <v>#N/A</v>
      </c>
      <c r="DI61" s="109" t="e">
        <f ca="1">COND_INTERSTICIAL[[#This Row],[Mes]]&amp;"-"&amp;COND_INTERSTICIAL[[#This Row],[Sección]]&amp;"-"&amp;COND_INTERSTICIAL[[#This Row],[tramo cond]]</f>
        <v>#N/A</v>
      </c>
      <c r="DJ61" t="e" cm="1">
        <f t="array" aca="1" ref="DJ61" ca="1">IF(COND_INTERSTICIAL[[#This Row],[Capa]]=1,IF(COND_INTERSTICIAL[[#This Row],[Condensa]],2,1),IF(COND_INTERSTICIAL[[#This Row],[Condensa]],1,0)+INDIRECT(ADDRESS(ROW()-1,COLUMN(),4)))</f>
        <v>#N/A</v>
      </c>
      <c r="DK61" s="108" t="e" cm="1">
        <f t="array" aca="1" ref="DK61" ca="1">IF(COND_INTERSTICIAL[[#This Row],[tramo cond]]=1,0,IF((COND_INTERSTICIAL[[#This Row],[tramo cond]]&gt;INDIRECT(ADDRESS(ROW()-1,COLUMN(COND_INTERSTICIAL[[#This Row],[tramo cond]]),4)))+COND_INTERSTICIAL[[#This Row],[Condensa]],COND_INTERSTICIAL[[#This Row],[Capa]],INDIRECT(ADDRESS(ROW()-1,COLUMN(),4))))</f>
        <v>#N/A</v>
      </c>
      <c r="DL61" s="108" t="e" cm="1">
        <f t="array" aca="1" ref="DL61" ca="1">IF((COND_INTERSTICIAL[[#This Row],[Capa]]=N_capas)+(COND_INTERSTICIAL[[#This Row],[tramo cond]]=COUNTIFS(COND_INTERSTICIAL[Condensa],TRUE,COND_INTERSTICIAL[Mes],CW61,COND_INTERSTICIAL[Sección],CX61)+1),N_capas,INDEX(COND_INTERSTICIAL[capa lím inf cond],MATCH(COND_INTERSTICIAL[[#This Row],[Mes]]&amp;"-"&amp;COND_INTERSTICIAL[[#This Row],[Sección]]&amp;"-"&amp;(COND_INTERSTICIAL[[#This Row],[tramo cond]]+1),COND_INTERSTICIAL[llave tramo cond],0)))</f>
        <v>#N/A</v>
      </c>
      <c r="DM61" s="108" cm="1">
        <f t="array" aca="1" ref="DM6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1" s="110" t="e" cm="1">
        <f t="array" aca="1" ref="DN6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1" s="107" t="e">
        <f ca="1">COND_INTERSTICIAL[[#This Row],[gc]]+COND_INTERSTICIAL[[#This Row],[Ma_anterior cond]]</f>
        <v>#N/A</v>
      </c>
      <c r="DQ61" s="113" t="e">
        <f ca="1">IF((COND_INTERSTICIAL[[#This Row],[Ma_anterior cond]]&gt;0)*NOT(COND_INTERSTICIAL[[#This Row],[Condensa]]),TRUE,FALSE)</f>
        <v>#N/A</v>
      </c>
      <c r="DR61" s="112" t="e" cm="1">
        <f t="array" aca="1" ref="DR61" ca="1">IF(COND_INTERSTICIAL[[#This Row],[evapora]],COND_INTERSTICIAL[[#This Row],[Psat]],IF(COND_INTERSTICIAL[[#This Row],[Capa]]=N_capas,COND_INTERSTICIAL[[#This Row],[Pn]],""))</f>
        <v>#N/A</v>
      </c>
      <c r="DS61" s="112" t="e">
        <f ca="1">COND_INTERSTICIAL[[#This Row],[Mes]]&amp;"-"&amp;COND_INTERSTICIAL[[#This Row],[Sección]]&amp;"-"&amp;COND_INTERSTICIAL[[#This Row],[tramo ev]]</f>
        <v>#N/A</v>
      </c>
      <c r="DT61" s="111" t="e" cm="1">
        <f t="array" aca="1" ref="DT61" ca="1">IF(COND_INTERSTICIAL[[#This Row],[Capa]]=1,IF(COND_INTERSTICIAL[[#This Row],[evapora]],2,1),IF(COND_INTERSTICIAL[[#This Row],[evapora]],1,0)+INDIRECT(ADDRESS(ROW()-1,COLUMN(),4)))</f>
        <v>#N/A</v>
      </c>
      <c r="DU61" s="111" t="e" cm="1">
        <f t="array" aca="1" ref="DU61" ca="1">IF(COND_INTERSTICIAL[[#This Row],[tramo ev]]=1,0,IF((COND_INTERSTICIAL[[#This Row],[tramo ev]]&gt;INDIRECT(ADDRESS(ROW()-1,COLUMN(COND_INTERSTICIAL[[#This Row],[tramo ev]]),4)))+COND_INTERSTICIAL[[#This Row],[evapora]],COND_INTERSTICIAL[[#This Row],[Capa]],INDIRECT(ADDRESS(ROW()-1,COLUMN(),4))))</f>
        <v>#N/A</v>
      </c>
      <c r="DV61" s="111" t="e" cm="1">
        <f t="array" aca="1" ref="DV61" ca="1">IF((COND_INTERSTICIAL[[#This Row],[Capa]]=N_capas)+(COND_INTERSTICIAL[[#This Row],[tramo ev]]=COUNTIFS(COND_INTERSTICIAL[evapora],TRUE,COND_INTERSTICIAL[Mes],CW61,COND_INTERSTICIAL[Sección],CX61)+1),N_capas,INDEX(COND_INTERSTICIAL[capa lím inf ev],MATCH(COND_INTERSTICIAL[[#This Row],[Mes]]&amp;"-"&amp;COND_INTERSTICIAL[[#This Row],[Sección]]&amp;"-"&amp;(COND_INTERSTICIAL[[#This Row],[tramo ev]]+1),COND_INTERSTICIAL[llave tramo ev],0)))</f>
        <v>#N/A</v>
      </c>
      <c r="DW61" s="111" cm="1">
        <f t="array" aca="1" ref="DW6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1" s="113" t="e" cm="1">
        <f t="array" aca="1" ref="DX6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61" s="113" t="e">
        <f ca="1">COND_INTERSTICIAL[[#This Row],[gev]]+COND_INTERSTICIAL[[#This Row],[Ma anterior ev]]</f>
        <v>#N/A</v>
      </c>
      <c r="EA61" s="115" t="e">
        <f ca="1">IF(COND_INTERSTICIAL[[#This Row],[Ma cond]]+COND_INTERSTICIAL[[#This Row],[Ma ev]]&lt;=0,0,COND_INTERSTICIAL[[#This Row],[Ma cond]]+COND_INTERSTICIAL[[#This Row],[Ma ev]])</f>
        <v>#N/A</v>
      </c>
      <c r="EB61" s="115" t="e">
        <f ca="1">IF(COND_INTERSTICIAL[[#This Row],[Ma]]&gt;0,TRUE,FALSE)</f>
        <v>#N/A</v>
      </c>
      <c r="EC61" s="115" t="e" cm="1">
        <f t="array" aca="1" ref="EC61" ca="1">IF(COND_INTERSTICIAL[[#This Row],[agua líquida]],IF(COND_INTERSTICIAL[[#This Row],[Condensa]],COND_INTERSTICIAL[[#This Row],[P límite cond]],COND_INTERSTICIAL[[#This Row],[P límite ev]]),IF(COND_INTERSTICIAL[[#This Row],[Capa]]=N_capas,COND_INTERSTICIAL[[#This Row],[Pn]],""))</f>
        <v>#N/A</v>
      </c>
      <c r="ED61" s="115" t="e">
        <f ca="1">COND_INTERSTICIAL[[#This Row],[Mes]]&amp;"-"&amp;COND_INTERSTICIAL[[#This Row],[Sección]]&amp;"-"&amp;COND_INTERSTICIAL[[#This Row],[tramo gráf]]</f>
        <v>#N/A</v>
      </c>
      <c r="EE61" s="114" t="e" cm="1">
        <f t="array" aca="1" ref="EE61" ca="1">IF(COND_INTERSTICIAL[[#This Row],[Capa]]=1,IF(COND_INTERSTICIAL[[#This Row],[agua líquida]],2,1),IF(COND_INTERSTICIAL[[#This Row],[agua líquida]],1,0)+INDIRECT(ADDRESS(ROW()-1,COLUMN(),4)))</f>
        <v>#N/A</v>
      </c>
      <c r="EF61" s="114" t="e" cm="1">
        <f t="array" aca="1" ref="EF61" ca="1">IF(COND_INTERSTICIAL[[#This Row],[tramo gráf]]=1,0,IF((COND_INTERSTICIAL[[#This Row],[tramo gráf]]&gt;INDIRECT(ADDRESS(ROW()-1,COLUMN(COND_INTERSTICIAL[[#This Row],[tramo gráf]]),4)))+COND_INTERSTICIAL[[#This Row],[agua líquida]],COND_INTERSTICIAL[[#This Row],[Capa]],INDIRECT(ADDRESS(ROW()-1,COLUMN(),4))))</f>
        <v>#N/A</v>
      </c>
      <c r="EG61" s="114" t="e" cm="1">
        <f t="array" aca="1" ref="EG61" ca="1">IF((COND_INTERSTICIAL[[#This Row],[Capa]]=N_capas)+(COND_INTERSTICIAL[[#This Row],[tramo gráf]]=COUNTIFS(COND_INTERSTICIAL[agua líquida],TRUE,COND_INTERSTICIAL[Mes],CW61,COND_INTERSTICIAL[Sección],CX61)+1),N_capas,INDEX(COND_INTERSTICIAL[capa lím inf gráf],MATCH(COND_INTERSTICIAL[[#This Row],[Mes]]&amp;"-"&amp;COND_INTERSTICIAL[[#This Row],[Sección]]&amp;"-"&amp;(COND_INTERSTICIAL[[#This Row],[tramo gráf]]+1),COND_INTERSTICIAL[llave tramo gráf],0)))</f>
        <v>#N/A</v>
      </c>
      <c r="EH61" s="114" cm="1">
        <f t="array" aca="1" ref="EH6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1" s="116" t="e" cm="1">
        <f t="array" aca="1" ref="EI6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2" spans="6:190" x14ac:dyDescent="0.45">
      <c r="F62" s="47"/>
      <c r="G62" s="47"/>
      <c r="H62" s="47"/>
      <c r="I62" s="47"/>
      <c r="J62" s="47"/>
      <c r="K62" s="47"/>
      <c r="AF62" s="11"/>
      <c r="AG62" s="2"/>
      <c r="AI62" s="12"/>
      <c r="BY62">
        <v>5</v>
      </c>
      <c r="BZ62">
        <f t="shared" si="3"/>
        <v>11</v>
      </c>
      <c r="CA62" t="str" cm="1">
        <f t="array" ref="CA62">INDEX(lista_mes_abreviado,BZ62)</f>
        <v>Nov</v>
      </c>
      <c r="CB62" t="str" cm="1">
        <f t="array" ref="CB62">IF($CA$57,INDEX(lista_mes_abreviado,$BY62),INDEX(lista_mes_abreviado,7))</f>
        <v>May</v>
      </c>
      <c r="CW62" s="1" cm="1">
        <f t="array" ref="CW62">ROUNDUP((ROW()-$CN$18+(Mes_inicial_de_análisis-1)*N_capas*N_secciones)/(N_capas*N_secciones),0)-12*IF(ROW()-$CN$18&gt;(12-Mes_inicial_de_análisis+1)*N_capas*N_secciones,1,0)</f>
        <v>10</v>
      </c>
      <c r="CX62" cm="1">
        <f t="array" ref="CX62">ROUNDUP((ROW()-$CN$18)/N_capas-(ROUNDUP((ROW()-$CN$18)/(N_capas*N_secciones),0)-1)*N_secciones,0)</f>
        <v>1</v>
      </c>
      <c r="CY62" cm="1">
        <f t="array" ref="CY62">(ROW()-$CN$18)-(COND_INTERSTICIAL[[#This Row],[Sección]]-1)*N_capas-(ROUNDUP((ROW()-$CN$18)/(N_capas*N_secciones),0)-1)*N_capas*N_secciones</f>
        <v>1</v>
      </c>
      <c r="CZ62" t="str">
        <f>COND_INTERSTICIAL[[#This Row],[Mes]]&amp;"-"&amp;COND_INTERSTICIAL[[#This Row],[Sección]]&amp;"-"&amp;COND_INTERSTICIAL[[#This Row],[Capa]]</f>
        <v>10-1-1</v>
      </c>
      <c r="DA62">
        <f ca="1">INDEX(SECCIONES_CAPAS[R''n],MATCH(COND_INTERSTICIAL[[#This Row],[Sección]]&amp;"-"&amp;COND_INTERSTICIAL[[#This Row],[Capa]],SECCIONES_CAPAS[llave],0))</f>
        <v>0.04</v>
      </c>
      <c r="DB62" s="172" t="e" cm="1">
        <f t="array" aca="1" ref="DB62" ca="1">INDEX(CLIMA[ϴe],COND_INTERSTICIAL[[#This Row],[Mes]])+COND_INTERSTICIAL[[#This Row],[Rn]]*(INDEX(CLIMA[ϴi],COND_INTERSTICIAL[[#This Row],[Mes]])-INDEX(CLIMA[ϴe],COND_INTERSTICIAL[[#This Row],[Mes]]))/(INDEX(SECCIONES[Rtsección_condensación],COND_INTERSTICIAL[[#This Row],[Sección]]))</f>
        <v>#N/A</v>
      </c>
      <c r="DC62">
        <f>INDEX(SECCIONES_CAPAS[Sd],MATCH(COND_INTERSTICIAL[[#This Row],[Sección]]&amp;"-"&amp;COND_INTERSTICIAL[[#This Row],[Capa]],SECCIONES_CAPAS[llave],0))</f>
        <v>0</v>
      </c>
      <c r="DD62">
        <f ca="1">INDEX(SECCIONES_CAPAS[S''d],MATCH(COND_INTERSTICIAL[[#This Row],[Sección]]&amp;"-"&amp;COND_INTERSTICIAL[[#This Row],[Capa]],SECCIONES_CAPAS[llave],0))</f>
        <v>0</v>
      </c>
      <c r="DE62" s="90" t="e">
        <f ca="1">IF(COND_INTERSTICIAL[[#This Row],[ϴn]]&gt;=0,610.5*EXP((17.269*COND_INTERSTICIAL[[#This Row],[ϴn]])/(237.3+COND_INTERSTICIAL[[#This Row],[ϴn]])),610.5*EXP((21.875*COND_INTERSTICIAL[[#This Row],[ϴn]])/(265.5+COND_INTERSTICIAL[[#This Row],[ϴn]])))</f>
        <v>#N/A</v>
      </c>
      <c r="DF62" s="90" t="e" cm="1">
        <f t="array" aca="1" ref="DF62" ca="1">COND_INTERSTICIAL[[#This Row],[S''d]]*((INDEX(CLIMA[Pi],COND_INTERSTICIAL[[#This Row],[Mes]])-INDEX(CLIMA[Pe],COND_INTERSTICIAL[[#This Row],[Mes]]))/INDEX(SECCIONES[SdT],COND_INTERSTICIAL[[#This Row],[Sección]]))+INDEX(CLIMA[Pe],COND_INTERSTICIAL[[#This Row],[Mes]])</f>
        <v>#N/A</v>
      </c>
      <c r="DG62" s="108" t="e">
        <f ca="1">IF((COND_INTERSTICIAL[[#This Row],[Pn]]&gt;=COND_INTERSTICIAL[[#This Row],[Psat]]),TRUE,FALSE)</f>
        <v>#N/A</v>
      </c>
      <c r="DH62" s="109" t="e" cm="1">
        <f t="array" aca="1" ref="DH62" ca="1">IF(COND_INTERSTICIAL[[#This Row],[Condensa]],COND_INTERSTICIAL[[#This Row],[Psat]],IF(COND_INTERSTICIAL[[#This Row],[Capa]]=N_capas,COND_INTERSTICIAL[[#This Row],[Pn]],""))</f>
        <v>#N/A</v>
      </c>
      <c r="DI62" s="109" t="e">
        <f ca="1">COND_INTERSTICIAL[[#This Row],[Mes]]&amp;"-"&amp;COND_INTERSTICIAL[[#This Row],[Sección]]&amp;"-"&amp;COND_INTERSTICIAL[[#This Row],[tramo cond]]</f>
        <v>#N/A</v>
      </c>
      <c r="DJ62" t="e" cm="1">
        <f t="array" aca="1" ref="DJ62" ca="1">IF(COND_INTERSTICIAL[[#This Row],[Capa]]=1,IF(COND_INTERSTICIAL[[#This Row],[Condensa]],2,1),IF(COND_INTERSTICIAL[[#This Row],[Condensa]],1,0)+INDIRECT(ADDRESS(ROW()-1,COLUMN(),4)))</f>
        <v>#N/A</v>
      </c>
      <c r="DK62" s="108" t="e" cm="1">
        <f t="array" aca="1" ref="DK62" ca="1">IF(COND_INTERSTICIAL[[#This Row],[tramo cond]]=1,0,IF((COND_INTERSTICIAL[[#This Row],[tramo cond]]&gt;INDIRECT(ADDRESS(ROW()-1,COLUMN(COND_INTERSTICIAL[[#This Row],[tramo cond]]),4)))+COND_INTERSTICIAL[[#This Row],[Condensa]],COND_INTERSTICIAL[[#This Row],[Capa]],INDIRECT(ADDRESS(ROW()-1,COLUMN(),4))))</f>
        <v>#N/A</v>
      </c>
      <c r="DL62" s="108" t="e" cm="1">
        <f t="array" aca="1" ref="DL62" ca="1">IF((COND_INTERSTICIAL[[#This Row],[Capa]]=N_capas)+(COND_INTERSTICIAL[[#This Row],[tramo cond]]=COUNTIFS(COND_INTERSTICIAL[Condensa],TRUE,COND_INTERSTICIAL[Mes],CW62,COND_INTERSTICIAL[Sección],CX62)+1),N_capas,INDEX(COND_INTERSTICIAL[capa lím inf cond],MATCH(COND_INTERSTICIAL[[#This Row],[Mes]]&amp;"-"&amp;COND_INTERSTICIAL[[#This Row],[Sección]]&amp;"-"&amp;(COND_INTERSTICIAL[[#This Row],[tramo cond]]+1),COND_INTERSTICIAL[llave tramo cond],0)))</f>
        <v>#N/A</v>
      </c>
      <c r="DM62" s="108" cm="1">
        <f t="array" aca="1" ref="DM6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2" s="110" t="e" cm="1">
        <f t="array" aca="1" ref="DN6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2" s="107" t="e">
        <f ca="1">COND_INTERSTICIAL[[#This Row],[gc]]+COND_INTERSTICIAL[[#This Row],[Ma_anterior cond]]</f>
        <v>#N/A</v>
      </c>
      <c r="DQ62" s="113" t="e">
        <f ca="1">IF((COND_INTERSTICIAL[[#This Row],[Ma_anterior cond]]&gt;0)*NOT(COND_INTERSTICIAL[[#This Row],[Condensa]]),TRUE,FALSE)</f>
        <v>#N/A</v>
      </c>
      <c r="DR62" s="112" t="e" cm="1">
        <f t="array" aca="1" ref="DR62" ca="1">IF(COND_INTERSTICIAL[[#This Row],[evapora]],COND_INTERSTICIAL[[#This Row],[Psat]],IF(COND_INTERSTICIAL[[#This Row],[Capa]]=N_capas,COND_INTERSTICIAL[[#This Row],[Pn]],""))</f>
        <v>#N/A</v>
      </c>
      <c r="DS62" s="112" t="e">
        <f ca="1">COND_INTERSTICIAL[[#This Row],[Mes]]&amp;"-"&amp;COND_INTERSTICIAL[[#This Row],[Sección]]&amp;"-"&amp;COND_INTERSTICIAL[[#This Row],[tramo ev]]</f>
        <v>#N/A</v>
      </c>
      <c r="DT62" s="111" t="e" cm="1">
        <f t="array" aca="1" ref="DT62" ca="1">IF(COND_INTERSTICIAL[[#This Row],[Capa]]=1,IF(COND_INTERSTICIAL[[#This Row],[evapora]],2,1),IF(COND_INTERSTICIAL[[#This Row],[evapora]],1,0)+INDIRECT(ADDRESS(ROW()-1,COLUMN(),4)))</f>
        <v>#N/A</v>
      </c>
      <c r="DU62" s="111" t="e" cm="1">
        <f t="array" aca="1" ref="DU62" ca="1">IF(COND_INTERSTICIAL[[#This Row],[tramo ev]]=1,0,IF((COND_INTERSTICIAL[[#This Row],[tramo ev]]&gt;INDIRECT(ADDRESS(ROW()-1,COLUMN(COND_INTERSTICIAL[[#This Row],[tramo ev]]),4)))+COND_INTERSTICIAL[[#This Row],[evapora]],COND_INTERSTICIAL[[#This Row],[Capa]],INDIRECT(ADDRESS(ROW()-1,COLUMN(),4))))</f>
        <v>#N/A</v>
      </c>
      <c r="DV62" s="111" t="e" cm="1">
        <f t="array" aca="1" ref="DV62" ca="1">IF((COND_INTERSTICIAL[[#This Row],[Capa]]=N_capas)+(COND_INTERSTICIAL[[#This Row],[tramo ev]]=COUNTIFS(COND_INTERSTICIAL[evapora],TRUE,COND_INTERSTICIAL[Mes],CW62,COND_INTERSTICIAL[Sección],CX62)+1),N_capas,INDEX(COND_INTERSTICIAL[capa lím inf ev],MATCH(COND_INTERSTICIAL[[#This Row],[Mes]]&amp;"-"&amp;COND_INTERSTICIAL[[#This Row],[Sección]]&amp;"-"&amp;(COND_INTERSTICIAL[[#This Row],[tramo ev]]+1),COND_INTERSTICIAL[llave tramo ev],0)))</f>
        <v>#N/A</v>
      </c>
      <c r="DW62" s="111" cm="1">
        <f t="array" aca="1" ref="DW6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2" s="113" t="e" cm="1">
        <f t="array" aca="1" ref="DX6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62" s="113" t="e">
        <f ca="1">COND_INTERSTICIAL[[#This Row],[gev]]+COND_INTERSTICIAL[[#This Row],[Ma anterior ev]]</f>
        <v>#N/A</v>
      </c>
      <c r="EA62" s="115" t="e">
        <f ca="1">IF(COND_INTERSTICIAL[[#This Row],[Ma cond]]+COND_INTERSTICIAL[[#This Row],[Ma ev]]&lt;=0,0,COND_INTERSTICIAL[[#This Row],[Ma cond]]+COND_INTERSTICIAL[[#This Row],[Ma ev]])</f>
        <v>#N/A</v>
      </c>
      <c r="EB62" s="115" t="e">
        <f ca="1">IF(COND_INTERSTICIAL[[#This Row],[Ma]]&gt;0,TRUE,FALSE)</f>
        <v>#N/A</v>
      </c>
      <c r="EC62" s="115" t="e" cm="1">
        <f t="array" aca="1" ref="EC62" ca="1">IF(COND_INTERSTICIAL[[#This Row],[agua líquida]],IF(COND_INTERSTICIAL[[#This Row],[Condensa]],COND_INTERSTICIAL[[#This Row],[P límite cond]],COND_INTERSTICIAL[[#This Row],[P límite ev]]),IF(COND_INTERSTICIAL[[#This Row],[Capa]]=N_capas,COND_INTERSTICIAL[[#This Row],[Pn]],""))</f>
        <v>#N/A</v>
      </c>
      <c r="ED62" s="115" t="e">
        <f ca="1">COND_INTERSTICIAL[[#This Row],[Mes]]&amp;"-"&amp;COND_INTERSTICIAL[[#This Row],[Sección]]&amp;"-"&amp;COND_INTERSTICIAL[[#This Row],[tramo gráf]]</f>
        <v>#N/A</v>
      </c>
      <c r="EE62" s="114" t="e" cm="1">
        <f t="array" aca="1" ref="EE62" ca="1">IF(COND_INTERSTICIAL[[#This Row],[Capa]]=1,IF(COND_INTERSTICIAL[[#This Row],[agua líquida]],2,1),IF(COND_INTERSTICIAL[[#This Row],[agua líquida]],1,0)+INDIRECT(ADDRESS(ROW()-1,COLUMN(),4)))</f>
        <v>#N/A</v>
      </c>
      <c r="EF62" s="114" t="e" cm="1">
        <f t="array" aca="1" ref="EF62" ca="1">IF(COND_INTERSTICIAL[[#This Row],[tramo gráf]]=1,0,IF((COND_INTERSTICIAL[[#This Row],[tramo gráf]]&gt;INDIRECT(ADDRESS(ROW()-1,COLUMN(COND_INTERSTICIAL[[#This Row],[tramo gráf]]),4)))+COND_INTERSTICIAL[[#This Row],[agua líquida]],COND_INTERSTICIAL[[#This Row],[Capa]],INDIRECT(ADDRESS(ROW()-1,COLUMN(),4))))</f>
        <v>#N/A</v>
      </c>
      <c r="EG62" s="114" t="e" cm="1">
        <f t="array" aca="1" ref="EG62" ca="1">IF((COND_INTERSTICIAL[[#This Row],[Capa]]=N_capas)+(COND_INTERSTICIAL[[#This Row],[tramo gráf]]=COUNTIFS(COND_INTERSTICIAL[agua líquida],TRUE,COND_INTERSTICIAL[Mes],CW62,COND_INTERSTICIAL[Sección],CX62)+1),N_capas,INDEX(COND_INTERSTICIAL[capa lím inf gráf],MATCH(COND_INTERSTICIAL[[#This Row],[Mes]]&amp;"-"&amp;COND_INTERSTICIAL[[#This Row],[Sección]]&amp;"-"&amp;(COND_INTERSTICIAL[[#This Row],[tramo gráf]]+1),COND_INTERSTICIAL[llave tramo gráf],0)))</f>
        <v>#N/A</v>
      </c>
      <c r="EH62" s="114" cm="1">
        <f t="array" aca="1" ref="EH6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2" s="116" t="e" cm="1">
        <f t="array" aca="1" ref="EI6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3" spans="6:190" x14ac:dyDescent="0.45">
      <c r="AF63" s="15" t="s">
        <v>395</v>
      </c>
      <c r="AG63" s="182" t="s">
        <v>396</v>
      </c>
      <c r="AH63" s="9">
        <f>CHOOSE($AH$64+1,0,IFERROR($AH$65*$AH$66*($AH$67/R_tot)^2,0))</f>
        <v>0</v>
      </c>
      <c r="AI63" s="10" t="s">
        <v>348</v>
      </c>
      <c r="BY63">
        <v>6</v>
      </c>
      <c r="BZ63">
        <f t="shared" si="3"/>
        <v>12</v>
      </c>
      <c r="CA63" t="str" cm="1">
        <f t="array" ref="CA63">INDEX(lista_mes_abreviado,BZ63)</f>
        <v>Dic</v>
      </c>
      <c r="CB63" t="str" cm="1">
        <f t="array" ref="CB63">IF($CA$57,INDEX(lista_mes_abreviado,$BY63),INDEX(lista_mes_abreviado,7))</f>
        <v>Jun</v>
      </c>
      <c r="CW63" s="1" cm="1">
        <f t="array" ref="CW63">ROUNDUP((ROW()-$CN$18+(Mes_inicial_de_análisis-1)*N_capas*N_secciones)/(N_capas*N_secciones),0)-12*IF(ROW()-$CN$18&gt;(12-Mes_inicial_de_análisis+1)*N_capas*N_secciones,1,0)</f>
        <v>10</v>
      </c>
      <c r="CX63" cm="1">
        <f t="array" ref="CX63">ROUNDUP((ROW()-$CN$18)/N_capas-(ROUNDUP((ROW()-$CN$18)/(N_capas*N_secciones),0)-1)*N_secciones,0)</f>
        <v>1</v>
      </c>
      <c r="CY63" cm="1">
        <f t="array" ref="CY63">(ROW()-$CN$18)-(COND_INTERSTICIAL[[#This Row],[Sección]]-1)*N_capas-(ROUNDUP((ROW()-$CN$18)/(N_capas*N_secciones),0)-1)*N_capas*N_secciones</f>
        <v>2</v>
      </c>
      <c r="CZ63" t="str">
        <f>COND_INTERSTICIAL[[#This Row],[Mes]]&amp;"-"&amp;COND_INTERSTICIAL[[#This Row],[Sección]]&amp;"-"&amp;COND_INTERSTICIAL[[#This Row],[Capa]]</f>
        <v>10-1-2</v>
      </c>
      <c r="DA63">
        <f ca="1">INDEX(SECCIONES_CAPAS[R''n],MATCH(COND_INTERSTICIAL[[#This Row],[Sección]]&amp;"-"&amp;COND_INTERSTICIAL[[#This Row],[Capa]],SECCIONES_CAPAS[llave],0))</f>
        <v>0.04</v>
      </c>
      <c r="DB63" s="172" t="e" cm="1">
        <f t="array" aca="1" ref="DB63" ca="1">INDEX(CLIMA[ϴe],COND_INTERSTICIAL[[#This Row],[Mes]])+COND_INTERSTICIAL[[#This Row],[Rn]]*(INDEX(CLIMA[ϴi],COND_INTERSTICIAL[[#This Row],[Mes]])-INDEX(CLIMA[ϴe],COND_INTERSTICIAL[[#This Row],[Mes]]))/(INDEX(SECCIONES[Rtsección_condensación],COND_INTERSTICIAL[[#This Row],[Sección]]))</f>
        <v>#N/A</v>
      </c>
      <c r="DC63">
        <f>INDEX(SECCIONES_CAPAS[Sd],MATCH(COND_INTERSTICIAL[[#This Row],[Sección]]&amp;"-"&amp;COND_INTERSTICIAL[[#This Row],[Capa]],SECCIONES_CAPAS[llave],0))</f>
        <v>0</v>
      </c>
      <c r="DD63">
        <f ca="1">INDEX(SECCIONES_CAPAS[S''d],MATCH(COND_INTERSTICIAL[[#This Row],[Sección]]&amp;"-"&amp;COND_INTERSTICIAL[[#This Row],[Capa]],SECCIONES_CAPAS[llave],0))</f>
        <v>0</v>
      </c>
      <c r="DE63" s="90" t="e">
        <f ca="1">IF(COND_INTERSTICIAL[[#This Row],[ϴn]]&gt;=0,610.5*EXP((17.269*COND_INTERSTICIAL[[#This Row],[ϴn]])/(237.3+COND_INTERSTICIAL[[#This Row],[ϴn]])),610.5*EXP((21.875*COND_INTERSTICIAL[[#This Row],[ϴn]])/(265.5+COND_INTERSTICIAL[[#This Row],[ϴn]])))</f>
        <v>#N/A</v>
      </c>
      <c r="DF63" s="90" t="e" cm="1">
        <f t="array" aca="1" ref="DF63" ca="1">COND_INTERSTICIAL[[#This Row],[S''d]]*((INDEX(CLIMA[Pi],COND_INTERSTICIAL[[#This Row],[Mes]])-INDEX(CLIMA[Pe],COND_INTERSTICIAL[[#This Row],[Mes]]))/INDEX(SECCIONES[SdT],COND_INTERSTICIAL[[#This Row],[Sección]]))+INDEX(CLIMA[Pe],COND_INTERSTICIAL[[#This Row],[Mes]])</f>
        <v>#N/A</v>
      </c>
      <c r="DG63" s="108" t="e">
        <f ca="1">IF((COND_INTERSTICIAL[[#This Row],[Pn]]&gt;=COND_INTERSTICIAL[[#This Row],[Psat]]),TRUE,FALSE)</f>
        <v>#N/A</v>
      </c>
      <c r="DH63" s="109" t="e" cm="1">
        <f t="array" aca="1" ref="DH63" ca="1">IF(COND_INTERSTICIAL[[#This Row],[Condensa]],COND_INTERSTICIAL[[#This Row],[Psat]],IF(COND_INTERSTICIAL[[#This Row],[Capa]]=N_capas,COND_INTERSTICIAL[[#This Row],[Pn]],""))</f>
        <v>#N/A</v>
      </c>
      <c r="DI63" s="109" t="e">
        <f ca="1">COND_INTERSTICIAL[[#This Row],[Mes]]&amp;"-"&amp;COND_INTERSTICIAL[[#This Row],[Sección]]&amp;"-"&amp;COND_INTERSTICIAL[[#This Row],[tramo cond]]</f>
        <v>#N/A</v>
      </c>
      <c r="DJ63" t="e" cm="1">
        <f t="array" aca="1" ref="DJ63" ca="1">IF(COND_INTERSTICIAL[[#This Row],[Capa]]=1,IF(COND_INTERSTICIAL[[#This Row],[Condensa]],2,1),IF(COND_INTERSTICIAL[[#This Row],[Condensa]],1,0)+INDIRECT(ADDRESS(ROW()-1,COLUMN(),4)))</f>
        <v>#N/A</v>
      </c>
      <c r="DK63" s="108" t="e" cm="1">
        <f t="array" aca="1" ref="DK63" ca="1">IF(COND_INTERSTICIAL[[#This Row],[tramo cond]]=1,0,IF((COND_INTERSTICIAL[[#This Row],[tramo cond]]&gt;INDIRECT(ADDRESS(ROW()-1,COLUMN(COND_INTERSTICIAL[[#This Row],[tramo cond]]),4)))+COND_INTERSTICIAL[[#This Row],[Condensa]],COND_INTERSTICIAL[[#This Row],[Capa]],INDIRECT(ADDRESS(ROW()-1,COLUMN(),4))))</f>
        <v>#N/A</v>
      </c>
      <c r="DL63" s="108" t="e" cm="1">
        <f t="array" aca="1" ref="DL63" ca="1">IF((COND_INTERSTICIAL[[#This Row],[Capa]]=N_capas)+(COND_INTERSTICIAL[[#This Row],[tramo cond]]=COUNTIFS(COND_INTERSTICIAL[Condensa],TRUE,COND_INTERSTICIAL[Mes],CW63,COND_INTERSTICIAL[Sección],CX63)+1),N_capas,INDEX(COND_INTERSTICIAL[capa lím inf cond],MATCH(COND_INTERSTICIAL[[#This Row],[Mes]]&amp;"-"&amp;COND_INTERSTICIAL[[#This Row],[Sección]]&amp;"-"&amp;(COND_INTERSTICIAL[[#This Row],[tramo cond]]+1),COND_INTERSTICIAL[llave tramo cond],0)))</f>
        <v>#N/A</v>
      </c>
      <c r="DM63" s="108" cm="1">
        <f t="array" aca="1" ref="DM6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3" s="110" t="e" cm="1">
        <f t="array" aca="1" ref="DN6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3" s="107" t="e">
        <f ca="1">COND_INTERSTICIAL[[#This Row],[gc]]+COND_INTERSTICIAL[[#This Row],[Ma_anterior cond]]</f>
        <v>#N/A</v>
      </c>
      <c r="DQ63" s="113" t="e">
        <f ca="1">IF((COND_INTERSTICIAL[[#This Row],[Ma_anterior cond]]&gt;0)*NOT(COND_INTERSTICIAL[[#This Row],[Condensa]]),TRUE,FALSE)</f>
        <v>#N/A</v>
      </c>
      <c r="DR63" s="112" t="e" cm="1">
        <f t="array" aca="1" ref="DR63" ca="1">IF(COND_INTERSTICIAL[[#This Row],[evapora]],COND_INTERSTICIAL[[#This Row],[Psat]],IF(COND_INTERSTICIAL[[#This Row],[Capa]]=N_capas,COND_INTERSTICIAL[[#This Row],[Pn]],""))</f>
        <v>#N/A</v>
      </c>
      <c r="DS63" s="112" t="e">
        <f ca="1">COND_INTERSTICIAL[[#This Row],[Mes]]&amp;"-"&amp;COND_INTERSTICIAL[[#This Row],[Sección]]&amp;"-"&amp;COND_INTERSTICIAL[[#This Row],[tramo ev]]</f>
        <v>#N/A</v>
      </c>
      <c r="DT63" s="111" t="e" cm="1">
        <f t="array" aca="1" ref="DT63" ca="1">IF(COND_INTERSTICIAL[[#This Row],[Capa]]=1,IF(COND_INTERSTICIAL[[#This Row],[evapora]],2,1),IF(COND_INTERSTICIAL[[#This Row],[evapora]],1,0)+INDIRECT(ADDRESS(ROW()-1,COLUMN(),4)))</f>
        <v>#N/A</v>
      </c>
      <c r="DU63" s="111" t="e" cm="1">
        <f t="array" aca="1" ref="DU63" ca="1">IF(COND_INTERSTICIAL[[#This Row],[tramo ev]]=1,0,IF((COND_INTERSTICIAL[[#This Row],[tramo ev]]&gt;INDIRECT(ADDRESS(ROW()-1,COLUMN(COND_INTERSTICIAL[[#This Row],[tramo ev]]),4)))+COND_INTERSTICIAL[[#This Row],[evapora]],COND_INTERSTICIAL[[#This Row],[Capa]],INDIRECT(ADDRESS(ROW()-1,COLUMN(),4))))</f>
        <v>#N/A</v>
      </c>
      <c r="DV63" s="111" t="e" cm="1">
        <f t="array" aca="1" ref="DV63" ca="1">IF((COND_INTERSTICIAL[[#This Row],[Capa]]=N_capas)+(COND_INTERSTICIAL[[#This Row],[tramo ev]]=COUNTIFS(COND_INTERSTICIAL[evapora],TRUE,COND_INTERSTICIAL[Mes],CW63,COND_INTERSTICIAL[Sección],CX63)+1),N_capas,INDEX(COND_INTERSTICIAL[capa lím inf ev],MATCH(COND_INTERSTICIAL[[#This Row],[Mes]]&amp;"-"&amp;COND_INTERSTICIAL[[#This Row],[Sección]]&amp;"-"&amp;(COND_INTERSTICIAL[[#This Row],[tramo ev]]+1),COND_INTERSTICIAL[llave tramo ev],0)))</f>
        <v>#N/A</v>
      </c>
      <c r="DW63" s="111" cm="1">
        <f t="array" aca="1" ref="DW6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3" s="113" t="e" cm="1">
        <f t="array" aca="1" ref="DX6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63" s="113" t="e">
        <f ca="1">COND_INTERSTICIAL[[#This Row],[gev]]+COND_INTERSTICIAL[[#This Row],[Ma anterior ev]]</f>
        <v>#N/A</v>
      </c>
      <c r="EA63" s="115" t="e">
        <f ca="1">IF(COND_INTERSTICIAL[[#This Row],[Ma cond]]+COND_INTERSTICIAL[[#This Row],[Ma ev]]&lt;=0,0,COND_INTERSTICIAL[[#This Row],[Ma cond]]+COND_INTERSTICIAL[[#This Row],[Ma ev]])</f>
        <v>#N/A</v>
      </c>
      <c r="EB63" s="115" t="e">
        <f ca="1">IF(COND_INTERSTICIAL[[#This Row],[Ma]]&gt;0,TRUE,FALSE)</f>
        <v>#N/A</v>
      </c>
      <c r="EC63" s="115" t="e" cm="1">
        <f t="array" aca="1" ref="EC63" ca="1">IF(COND_INTERSTICIAL[[#This Row],[agua líquida]],IF(COND_INTERSTICIAL[[#This Row],[Condensa]],COND_INTERSTICIAL[[#This Row],[P límite cond]],COND_INTERSTICIAL[[#This Row],[P límite ev]]),IF(COND_INTERSTICIAL[[#This Row],[Capa]]=N_capas,COND_INTERSTICIAL[[#This Row],[Pn]],""))</f>
        <v>#N/A</v>
      </c>
      <c r="ED63" s="115" t="e">
        <f ca="1">COND_INTERSTICIAL[[#This Row],[Mes]]&amp;"-"&amp;COND_INTERSTICIAL[[#This Row],[Sección]]&amp;"-"&amp;COND_INTERSTICIAL[[#This Row],[tramo gráf]]</f>
        <v>#N/A</v>
      </c>
      <c r="EE63" s="114" t="e" cm="1">
        <f t="array" aca="1" ref="EE63" ca="1">IF(COND_INTERSTICIAL[[#This Row],[Capa]]=1,IF(COND_INTERSTICIAL[[#This Row],[agua líquida]],2,1),IF(COND_INTERSTICIAL[[#This Row],[agua líquida]],1,0)+INDIRECT(ADDRESS(ROW()-1,COLUMN(),4)))</f>
        <v>#N/A</v>
      </c>
      <c r="EF63" s="114" t="e" cm="1">
        <f t="array" aca="1" ref="EF63" ca="1">IF(COND_INTERSTICIAL[[#This Row],[tramo gráf]]=1,0,IF((COND_INTERSTICIAL[[#This Row],[tramo gráf]]&gt;INDIRECT(ADDRESS(ROW()-1,COLUMN(COND_INTERSTICIAL[[#This Row],[tramo gráf]]),4)))+COND_INTERSTICIAL[[#This Row],[agua líquida]],COND_INTERSTICIAL[[#This Row],[Capa]],INDIRECT(ADDRESS(ROW()-1,COLUMN(),4))))</f>
        <v>#N/A</v>
      </c>
      <c r="EG63" s="114" t="e" cm="1">
        <f t="array" aca="1" ref="EG63" ca="1">IF((COND_INTERSTICIAL[[#This Row],[Capa]]=N_capas)+(COND_INTERSTICIAL[[#This Row],[tramo gráf]]=COUNTIFS(COND_INTERSTICIAL[agua líquida],TRUE,COND_INTERSTICIAL[Mes],CW63,COND_INTERSTICIAL[Sección],CX63)+1),N_capas,INDEX(COND_INTERSTICIAL[capa lím inf gráf],MATCH(COND_INTERSTICIAL[[#This Row],[Mes]]&amp;"-"&amp;COND_INTERSTICIAL[[#This Row],[Sección]]&amp;"-"&amp;(COND_INTERSTICIAL[[#This Row],[tramo gráf]]+1),COND_INTERSTICIAL[llave tramo gráf],0)))</f>
        <v>#N/A</v>
      </c>
      <c r="EH63" s="114" cm="1">
        <f t="array" aca="1" ref="EH6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3" s="116" t="e" cm="1">
        <f t="array" aca="1" ref="EI6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4" spans="6:190" x14ac:dyDescent="0.45">
      <c r="AF64" s="16" t="s">
        <v>1582</v>
      </c>
      <c r="AG64" s="183"/>
      <c r="AH64">
        <v>1</v>
      </c>
      <c r="AI64" s="17"/>
      <c r="BY64">
        <v>7</v>
      </c>
      <c r="BZ64">
        <f t="shared" si="3"/>
        <v>1</v>
      </c>
      <c r="CA64" t="str" cm="1">
        <f t="array" ref="CA64">INDEX(lista_mes_abreviado,BZ64)</f>
        <v>Ene</v>
      </c>
      <c r="CB64" t="str" cm="1">
        <f t="array" ref="CB64">IF($CA$57,INDEX(lista_mes_abreviado,$BY64),INDEX(lista_mes_abreviado,7))</f>
        <v>Jul</v>
      </c>
      <c r="CW64" s="1" cm="1">
        <f t="array" ref="CW64">ROUNDUP((ROW()-$CN$18+(Mes_inicial_de_análisis-1)*N_capas*N_secciones)/(N_capas*N_secciones),0)-12*IF(ROW()-$CN$18&gt;(12-Mes_inicial_de_análisis+1)*N_capas*N_secciones,1,0)</f>
        <v>10</v>
      </c>
      <c r="CX64" cm="1">
        <f t="array" ref="CX64">ROUNDUP((ROW()-$CN$18)/N_capas-(ROUNDUP((ROW()-$CN$18)/(N_capas*N_secciones),0)-1)*N_secciones,0)</f>
        <v>1</v>
      </c>
      <c r="CY64" cm="1">
        <f t="array" ref="CY64">(ROW()-$CN$18)-(COND_INTERSTICIAL[[#This Row],[Sección]]-1)*N_capas-(ROUNDUP((ROW()-$CN$18)/(N_capas*N_secciones),0)-1)*N_capas*N_secciones</f>
        <v>3</v>
      </c>
      <c r="CZ64" t="str">
        <f>COND_INTERSTICIAL[[#This Row],[Mes]]&amp;"-"&amp;COND_INTERSTICIAL[[#This Row],[Sección]]&amp;"-"&amp;COND_INTERSTICIAL[[#This Row],[Capa]]</f>
        <v>10-1-3</v>
      </c>
      <c r="DA64">
        <f ca="1">INDEX(SECCIONES_CAPAS[R''n],MATCH(COND_INTERSTICIAL[[#This Row],[Sección]]&amp;"-"&amp;COND_INTERSTICIAL[[#This Row],[Capa]],SECCIONES_CAPAS[llave],0))</f>
        <v>0.04</v>
      </c>
      <c r="DB64" s="172" t="e" cm="1">
        <f t="array" aca="1" ref="DB64" ca="1">INDEX(CLIMA[ϴe],COND_INTERSTICIAL[[#This Row],[Mes]])+COND_INTERSTICIAL[[#This Row],[Rn]]*(INDEX(CLIMA[ϴi],COND_INTERSTICIAL[[#This Row],[Mes]])-INDEX(CLIMA[ϴe],COND_INTERSTICIAL[[#This Row],[Mes]]))/(INDEX(SECCIONES[Rtsección_condensación],COND_INTERSTICIAL[[#This Row],[Sección]]))</f>
        <v>#N/A</v>
      </c>
      <c r="DC64">
        <f>INDEX(SECCIONES_CAPAS[Sd],MATCH(COND_INTERSTICIAL[[#This Row],[Sección]]&amp;"-"&amp;COND_INTERSTICIAL[[#This Row],[Capa]],SECCIONES_CAPAS[llave],0))</f>
        <v>0</v>
      </c>
      <c r="DD64">
        <f ca="1">INDEX(SECCIONES_CAPAS[S''d],MATCH(COND_INTERSTICIAL[[#This Row],[Sección]]&amp;"-"&amp;COND_INTERSTICIAL[[#This Row],[Capa]],SECCIONES_CAPAS[llave],0))</f>
        <v>0</v>
      </c>
      <c r="DE64" s="90" t="e">
        <f ca="1">IF(COND_INTERSTICIAL[[#This Row],[ϴn]]&gt;=0,610.5*EXP((17.269*COND_INTERSTICIAL[[#This Row],[ϴn]])/(237.3+COND_INTERSTICIAL[[#This Row],[ϴn]])),610.5*EXP((21.875*COND_INTERSTICIAL[[#This Row],[ϴn]])/(265.5+COND_INTERSTICIAL[[#This Row],[ϴn]])))</f>
        <v>#N/A</v>
      </c>
      <c r="DF64" s="90" t="e" cm="1">
        <f t="array" aca="1" ref="DF64" ca="1">COND_INTERSTICIAL[[#This Row],[S''d]]*((INDEX(CLIMA[Pi],COND_INTERSTICIAL[[#This Row],[Mes]])-INDEX(CLIMA[Pe],COND_INTERSTICIAL[[#This Row],[Mes]]))/INDEX(SECCIONES[SdT],COND_INTERSTICIAL[[#This Row],[Sección]]))+INDEX(CLIMA[Pe],COND_INTERSTICIAL[[#This Row],[Mes]])</f>
        <v>#N/A</v>
      </c>
      <c r="DG64" s="108" t="e">
        <f ca="1">IF((COND_INTERSTICIAL[[#This Row],[Pn]]&gt;=COND_INTERSTICIAL[[#This Row],[Psat]]),TRUE,FALSE)</f>
        <v>#N/A</v>
      </c>
      <c r="DH64" s="109" t="e" cm="1">
        <f t="array" aca="1" ref="DH64" ca="1">IF(COND_INTERSTICIAL[[#This Row],[Condensa]],COND_INTERSTICIAL[[#This Row],[Psat]],IF(COND_INTERSTICIAL[[#This Row],[Capa]]=N_capas,COND_INTERSTICIAL[[#This Row],[Pn]],""))</f>
        <v>#N/A</v>
      </c>
      <c r="DI64" s="109" t="e">
        <f ca="1">COND_INTERSTICIAL[[#This Row],[Mes]]&amp;"-"&amp;COND_INTERSTICIAL[[#This Row],[Sección]]&amp;"-"&amp;COND_INTERSTICIAL[[#This Row],[tramo cond]]</f>
        <v>#N/A</v>
      </c>
      <c r="DJ64" t="e" cm="1">
        <f t="array" aca="1" ref="DJ64" ca="1">IF(COND_INTERSTICIAL[[#This Row],[Capa]]=1,IF(COND_INTERSTICIAL[[#This Row],[Condensa]],2,1),IF(COND_INTERSTICIAL[[#This Row],[Condensa]],1,0)+INDIRECT(ADDRESS(ROW()-1,COLUMN(),4)))</f>
        <v>#N/A</v>
      </c>
      <c r="DK64" s="108" t="e" cm="1">
        <f t="array" aca="1" ref="DK64" ca="1">IF(COND_INTERSTICIAL[[#This Row],[tramo cond]]=1,0,IF((COND_INTERSTICIAL[[#This Row],[tramo cond]]&gt;INDIRECT(ADDRESS(ROW()-1,COLUMN(COND_INTERSTICIAL[[#This Row],[tramo cond]]),4)))+COND_INTERSTICIAL[[#This Row],[Condensa]],COND_INTERSTICIAL[[#This Row],[Capa]],INDIRECT(ADDRESS(ROW()-1,COLUMN(),4))))</f>
        <v>#N/A</v>
      </c>
      <c r="DL64" s="108" t="e" cm="1">
        <f t="array" aca="1" ref="DL64" ca="1">IF((COND_INTERSTICIAL[[#This Row],[Capa]]=N_capas)+(COND_INTERSTICIAL[[#This Row],[tramo cond]]=COUNTIFS(COND_INTERSTICIAL[Condensa],TRUE,COND_INTERSTICIAL[Mes],CW64,COND_INTERSTICIAL[Sección],CX64)+1),N_capas,INDEX(COND_INTERSTICIAL[capa lím inf cond],MATCH(COND_INTERSTICIAL[[#This Row],[Mes]]&amp;"-"&amp;COND_INTERSTICIAL[[#This Row],[Sección]]&amp;"-"&amp;(COND_INTERSTICIAL[[#This Row],[tramo cond]]+1),COND_INTERSTICIAL[llave tramo cond],0)))</f>
        <v>#N/A</v>
      </c>
      <c r="DM64" s="108" cm="1">
        <f t="array" aca="1" ref="DM6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4" s="110" t="e" cm="1">
        <f t="array" aca="1" ref="DN6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4" s="107" t="e">
        <f ca="1">COND_INTERSTICIAL[[#This Row],[gc]]+COND_INTERSTICIAL[[#This Row],[Ma_anterior cond]]</f>
        <v>#N/A</v>
      </c>
      <c r="DQ64" s="113" t="e">
        <f ca="1">IF((COND_INTERSTICIAL[[#This Row],[Ma_anterior cond]]&gt;0)*NOT(COND_INTERSTICIAL[[#This Row],[Condensa]]),TRUE,FALSE)</f>
        <v>#N/A</v>
      </c>
      <c r="DR64" s="112" t="e" cm="1">
        <f t="array" aca="1" ref="DR64" ca="1">IF(COND_INTERSTICIAL[[#This Row],[evapora]],COND_INTERSTICIAL[[#This Row],[Psat]],IF(COND_INTERSTICIAL[[#This Row],[Capa]]=N_capas,COND_INTERSTICIAL[[#This Row],[Pn]],""))</f>
        <v>#N/A</v>
      </c>
      <c r="DS64" s="112" t="e">
        <f ca="1">COND_INTERSTICIAL[[#This Row],[Mes]]&amp;"-"&amp;COND_INTERSTICIAL[[#This Row],[Sección]]&amp;"-"&amp;COND_INTERSTICIAL[[#This Row],[tramo ev]]</f>
        <v>#N/A</v>
      </c>
      <c r="DT64" s="111" t="e" cm="1">
        <f t="array" aca="1" ref="DT64" ca="1">IF(COND_INTERSTICIAL[[#This Row],[Capa]]=1,IF(COND_INTERSTICIAL[[#This Row],[evapora]],2,1),IF(COND_INTERSTICIAL[[#This Row],[evapora]],1,0)+INDIRECT(ADDRESS(ROW()-1,COLUMN(),4)))</f>
        <v>#N/A</v>
      </c>
      <c r="DU64" s="111" t="e" cm="1">
        <f t="array" aca="1" ref="DU64" ca="1">IF(COND_INTERSTICIAL[[#This Row],[tramo ev]]=1,0,IF((COND_INTERSTICIAL[[#This Row],[tramo ev]]&gt;INDIRECT(ADDRESS(ROW()-1,COLUMN(COND_INTERSTICIAL[[#This Row],[tramo ev]]),4)))+COND_INTERSTICIAL[[#This Row],[evapora]],COND_INTERSTICIAL[[#This Row],[Capa]],INDIRECT(ADDRESS(ROW()-1,COLUMN(),4))))</f>
        <v>#N/A</v>
      </c>
      <c r="DV64" s="111" t="e" cm="1">
        <f t="array" aca="1" ref="DV64" ca="1">IF((COND_INTERSTICIAL[[#This Row],[Capa]]=N_capas)+(COND_INTERSTICIAL[[#This Row],[tramo ev]]=COUNTIFS(COND_INTERSTICIAL[evapora],TRUE,COND_INTERSTICIAL[Mes],CW64,COND_INTERSTICIAL[Sección],CX64)+1),N_capas,INDEX(COND_INTERSTICIAL[capa lím inf ev],MATCH(COND_INTERSTICIAL[[#This Row],[Mes]]&amp;"-"&amp;COND_INTERSTICIAL[[#This Row],[Sección]]&amp;"-"&amp;(COND_INTERSTICIAL[[#This Row],[tramo ev]]+1),COND_INTERSTICIAL[llave tramo ev],0)))</f>
        <v>#N/A</v>
      </c>
      <c r="DW64" s="111" cm="1">
        <f t="array" aca="1" ref="DW6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4" s="113" t="e" cm="1">
        <f t="array" aca="1" ref="DX6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64" s="113" t="e">
        <f ca="1">COND_INTERSTICIAL[[#This Row],[gev]]+COND_INTERSTICIAL[[#This Row],[Ma anterior ev]]</f>
        <v>#N/A</v>
      </c>
      <c r="EA64" s="115" t="e">
        <f ca="1">IF(COND_INTERSTICIAL[[#This Row],[Ma cond]]+COND_INTERSTICIAL[[#This Row],[Ma ev]]&lt;=0,0,COND_INTERSTICIAL[[#This Row],[Ma cond]]+COND_INTERSTICIAL[[#This Row],[Ma ev]])</f>
        <v>#N/A</v>
      </c>
      <c r="EB64" s="115" t="e">
        <f ca="1">IF(COND_INTERSTICIAL[[#This Row],[Ma]]&gt;0,TRUE,FALSE)</f>
        <v>#N/A</v>
      </c>
      <c r="EC64" s="115" t="e" cm="1">
        <f t="array" aca="1" ref="EC64" ca="1">IF(COND_INTERSTICIAL[[#This Row],[agua líquida]],IF(COND_INTERSTICIAL[[#This Row],[Condensa]],COND_INTERSTICIAL[[#This Row],[P límite cond]],COND_INTERSTICIAL[[#This Row],[P límite ev]]),IF(COND_INTERSTICIAL[[#This Row],[Capa]]=N_capas,COND_INTERSTICIAL[[#This Row],[Pn]],""))</f>
        <v>#N/A</v>
      </c>
      <c r="ED64" s="115" t="e">
        <f ca="1">COND_INTERSTICIAL[[#This Row],[Mes]]&amp;"-"&amp;COND_INTERSTICIAL[[#This Row],[Sección]]&amp;"-"&amp;COND_INTERSTICIAL[[#This Row],[tramo gráf]]</f>
        <v>#N/A</v>
      </c>
      <c r="EE64" s="114" t="e" cm="1">
        <f t="array" aca="1" ref="EE64" ca="1">IF(COND_INTERSTICIAL[[#This Row],[Capa]]=1,IF(COND_INTERSTICIAL[[#This Row],[agua líquida]],2,1),IF(COND_INTERSTICIAL[[#This Row],[agua líquida]],1,0)+INDIRECT(ADDRESS(ROW()-1,COLUMN(),4)))</f>
        <v>#N/A</v>
      </c>
      <c r="EF64" s="114" t="e" cm="1">
        <f t="array" aca="1" ref="EF64" ca="1">IF(COND_INTERSTICIAL[[#This Row],[tramo gráf]]=1,0,IF((COND_INTERSTICIAL[[#This Row],[tramo gráf]]&gt;INDIRECT(ADDRESS(ROW()-1,COLUMN(COND_INTERSTICIAL[[#This Row],[tramo gráf]]),4)))+COND_INTERSTICIAL[[#This Row],[agua líquida]],COND_INTERSTICIAL[[#This Row],[Capa]],INDIRECT(ADDRESS(ROW()-1,COLUMN(),4))))</f>
        <v>#N/A</v>
      </c>
      <c r="EG64" s="114" t="e" cm="1">
        <f t="array" aca="1" ref="EG64" ca="1">IF((COND_INTERSTICIAL[[#This Row],[Capa]]=N_capas)+(COND_INTERSTICIAL[[#This Row],[tramo gráf]]=COUNTIFS(COND_INTERSTICIAL[agua líquida],TRUE,COND_INTERSTICIAL[Mes],CW64,COND_INTERSTICIAL[Sección],CX64)+1),N_capas,INDEX(COND_INTERSTICIAL[capa lím inf gráf],MATCH(COND_INTERSTICIAL[[#This Row],[Mes]]&amp;"-"&amp;COND_INTERSTICIAL[[#This Row],[Sección]]&amp;"-"&amp;(COND_INTERSTICIAL[[#This Row],[tramo gráf]]+1),COND_INTERSTICIAL[llave tramo gráf],0)))</f>
        <v>#N/A</v>
      </c>
      <c r="EH64" s="114" cm="1">
        <f t="array" aca="1" ref="EH6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4" s="116" t="e" cm="1">
        <f t="array" aca="1" ref="EI6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5" spans="32:139" x14ac:dyDescent="0.45">
      <c r="AF65" s="11" t="s">
        <v>397</v>
      </c>
      <c r="AG65" s="2" t="s">
        <v>398</v>
      </c>
      <c r="AH65">
        <v>0</v>
      </c>
      <c r="AI65" s="12" t="s">
        <v>399</v>
      </c>
      <c r="BY65">
        <v>8</v>
      </c>
      <c r="BZ65">
        <f t="shared" si="3"/>
        <v>2</v>
      </c>
      <c r="CA65" t="str" cm="1">
        <f t="array" ref="CA65">INDEX(lista_mes_abreviado,BZ65)</f>
        <v>Feb</v>
      </c>
      <c r="CB65" t="str" cm="1">
        <f t="array" ref="CB65">IF($CA$57,INDEX(lista_mes_abreviado,$BY65),INDEX(lista_mes_abreviado,7))</f>
        <v>Ago</v>
      </c>
      <c r="CW65" s="1" cm="1">
        <f t="array" ref="CW65">ROUNDUP((ROW()-$CN$18+(Mes_inicial_de_análisis-1)*N_capas*N_secciones)/(N_capas*N_secciones),0)-12*IF(ROW()-$CN$18&gt;(12-Mes_inicial_de_análisis+1)*N_capas*N_secciones,1,0)</f>
        <v>10</v>
      </c>
      <c r="CX65" cm="1">
        <f t="array" ref="CX65">ROUNDUP((ROW()-$CN$18)/N_capas-(ROUNDUP((ROW()-$CN$18)/(N_capas*N_secciones),0)-1)*N_secciones,0)</f>
        <v>1</v>
      </c>
      <c r="CY65" cm="1">
        <f t="array" ref="CY65">(ROW()-$CN$18)-(COND_INTERSTICIAL[[#This Row],[Sección]]-1)*N_capas-(ROUNDUP((ROW()-$CN$18)/(N_capas*N_secciones),0)-1)*N_capas*N_secciones</f>
        <v>4</v>
      </c>
      <c r="CZ65" t="str">
        <f>COND_INTERSTICIAL[[#This Row],[Mes]]&amp;"-"&amp;COND_INTERSTICIAL[[#This Row],[Sección]]&amp;"-"&amp;COND_INTERSTICIAL[[#This Row],[Capa]]</f>
        <v>10-1-4</v>
      </c>
      <c r="DA65">
        <f ca="1">INDEX(SECCIONES_CAPAS[R''n],MATCH(COND_INTERSTICIAL[[#This Row],[Sección]]&amp;"-"&amp;COND_INTERSTICIAL[[#This Row],[Capa]],SECCIONES_CAPAS[llave],0))</f>
        <v>0.04</v>
      </c>
      <c r="DB65" s="172" t="e" cm="1">
        <f t="array" aca="1" ref="DB65" ca="1">INDEX(CLIMA[ϴe],COND_INTERSTICIAL[[#This Row],[Mes]])+COND_INTERSTICIAL[[#This Row],[Rn]]*(INDEX(CLIMA[ϴi],COND_INTERSTICIAL[[#This Row],[Mes]])-INDEX(CLIMA[ϴe],COND_INTERSTICIAL[[#This Row],[Mes]]))/(INDEX(SECCIONES[Rtsección_condensación],COND_INTERSTICIAL[[#This Row],[Sección]]))</f>
        <v>#N/A</v>
      </c>
      <c r="DC65">
        <f>INDEX(SECCIONES_CAPAS[Sd],MATCH(COND_INTERSTICIAL[[#This Row],[Sección]]&amp;"-"&amp;COND_INTERSTICIAL[[#This Row],[Capa]],SECCIONES_CAPAS[llave],0))</f>
        <v>0</v>
      </c>
      <c r="DD65">
        <f ca="1">INDEX(SECCIONES_CAPAS[S''d],MATCH(COND_INTERSTICIAL[[#This Row],[Sección]]&amp;"-"&amp;COND_INTERSTICIAL[[#This Row],[Capa]],SECCIONES_CAPAS[llave],0))</f>
        <v>0</v>
      </c>
      <c r="DE65" s="90" t="e">
        <f ca="1">IF(COND_INTERSTICIAL[[#This Row],[ϴn]]&gt;=0,610.5*EXP((17.269*COND_INTERSTICIAL[[#This Row],[ϴn]])/(237.3+COND_INTERSTICIAL[[#This Row],[ϴn]])),610.5*EXP((21.875*COND_INTERSTICIAL[[#This Row],[ϴn]])/(265.5+COND_INTERSTICIAL[[#This Row],[ϴn]])))</f>
        <v>#N/A</v>
      </c>
      <c r="DF65" s="90" t="e" cm="1">
        <f t="array" aca="1" ref="DF65" ca="1">COND_INTERSTICIAL[[#This Row],[S''d]]*((INDEX(CLIMA[Pi],COND_INTERSTICIAL[[#This Row],[Mes]])-INDEX(CLIMA[Pe],COND_INTERSTICIAL[[#This Row],[Mes]]))/INDEX(SECCIONES[SdT],COND_INTERSTICIAL[[#This Row],[Sección]]))+INDEX(CLIMA[Pe],COND_INTERSTICIAL[[#This Row],[Mes]])</f>
        <v>#N/A</v>
      </c>
      <c r="DG65" s="108" t="e">
        <f ca="1">IF((COND_INTERSTICIAL[[#This Row],[Pn]]&gt;=COND_INTERSTICIAL[[#This Row],[Psat]]),TRUE,FALSE)</f>
        <v>#N/A</v>
      </c>
      <c r="DH65" s="109" t="e" cm="1">
        <f t="array" aca="1" ref="DH65" ca="1">IF(COND_INTERSTICIAL[[#This Row],[Condensa]],COND_INTERSTICIAL[[#This Row],[Psat]],IF(COND_INTERSTICIAL[[#This Row],[Capa]]=N_capas,COND_INTERSTICIAL[[#This Row],[Pn]],""))</f>
        <v>#N/A</v>
      </c>
      <c r="DI65" s="109" t="e">
        <f ca="1">COND_INTERSTICIAL[[#This Row],[Mes]]&amp;"-"&amp;COND_INTERSTICIAL[[#This Row],[Sección]]&amp;"-"&amp;COND_INTERSTICIAL[[#This Row],[tramo cond]]</f>
        <v>#N/A</v>
      </c>
      <c r="DJ65" t="e" cm="1">
        <f t="array" aca="1" ref="DJ65" ca="1">IF(COND_INTERSTICIAL[[#This Row],[Capa]]=1,IF(COND_INTERSTICIAL[[#This Row],[Condensa]],2,1),IF(COND_INTERSTICIAL[[#This Row],[Condensa]],1,0)+INDIRECT(ADDRESS(ROW()-1,COLUMN(),4)))</f>
        <v>#N/A</v>
      </c>
      <c r="DK65" s="108" t="e" cm="1">
        <f t="array" aca="1" ref="DK65" ca="1">IF(COND_INTERSTICIAL[[#This Row],[tramo cond]]=1,0,IF((COND_INTERSTICIAL[[#This Row],[tramo cond]]&gt;INDIRECT(ADDRESS(ROW()-1,COLUMN(COND_INTERSTICIAL[[#This Row],[tramo cond]]),4)))+COND_INTERSTICIAL[[#This Row],[Condensa]],COND_INTERSTICIAL[[#This Row],[Capa]],INDIRECT(ADDRESS(ROW()-1,COLUMN(),4))))</f>
        <v>#N/A</v>
      </c>
      <c r="DL65" s="108" t="e" cm="1">
        <f t="array" aca="1" ref="DL65" ca="1">IF((COND_INTERSTICIAL[[#This Row],[Capa]]=N_capas)+(COND_INTERSTICIAL[[#This Row],[tramo cond]]=COUNTIFS(COND_INTERSTICIAL[Condensa],TRUE,COND_INTERSTICIAL[Mes],CW65,COND_INTERSTICIAL[Sección],CX65)+1),N_capas,INDEX(COND_INTERSTICIAL[capa lím inf cond],MATCH(COND_INTERSTICIAL[[#This Row],[Mes]]&amp;"-"&amp;COND_INTERSTICIAL[[#This Row],[Sección]]&amp;"-"&amp;(COND_INTERSTICIAL[[#This Row],[tramo cond]]+1),COND_INTERSTICIAL[llave tramo cond],0)))</f>
        <v>#N/A</v>
      </c>
      <c r="DM65" s="108" cm="1">
        <f t="array" aca="1" ref="DM6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5" s="110" t="e" cm="1">
        <f t="array" aca="1" ref="DN6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5" s="107" t="e">
        <f ca="1">COND_INTERSTICIAL[[#This Row],[gc]]+COND_INTERSTICIAL[[#This Row],[Ma_anterior cond]]</f>
        <v>#N/A</v>
      </c>
      <c r="DQ65" s="113" t="e">
        <f ca="1">IF((COND_INTERSTICIAL[[#This Row],[Ma_anterior cond]]&gt;0)*NOT(COND_INTERSTICIAL[[#This Row],[Condensa]]),TRUE,FALSE)</f>
        <v>#N/A</v>
      </c>
      <c r="DR65" s="112" t="e" cm="1">
        <f t="array" aca="1" ref="DR65" ca="1">IF(COND_INTERSTICIAL[[#This Row],[evapora]],COND_INTERSTICIAL[[#This Row],[Psat]],IF(COND_INTERSTICIAL[[#This Row],[Capa]]=N_capas,COND_INTERSTICIAL[[#This Row],[Pn]],""))</f>
        <v>#N/A</v>
      </c>
      <c r="DS65" s="112" t="e">
        <f ca="1">COND_INTERSTICIAL[[#This Row],[Mes]]&amp;"-"&amp;COND_INTERSTICIAL[[#This Row],[Sección]]&amp;"-"&amp;COND_INTERSTICIAL[[#This Row],[tramo ev]]</f>
        <v>#N/A</v>
      </c>
      <c r="DT65" s="111" t="e" cm="1">
        <f t="array" aca="1" ref="DT65" ca="1">IF(COND_INTERSTICIAL[[#This Row],[Capa]]=1,IF(COND_INTERSTICIAL[[#This Row],[evapora]],2,1),IF(COND_INTERSTICIAL[[#This Row],[evapora]],1,0)+INDIRECT(ADDRESS(ROW()-1,COLUMN(),4)))</f>
        <v>#N/A</v>
      </c>
      <c r="DU65" s="111" t="e" cm="1">
        <f t="array" aca="1" ref="DU65" ca="1">IF(COND_INTERSTICIAL[[#This Row],[tramo ev]]=1,0,IF((COND_INTERSTICIAL[[#This Row],[tramo ev]]&gt;INDIRECT(ADDRESS(ROW()-1,COLUMN(COND_INTERSTICIAL[[#This Row],[tramo ev]]),4)))+COND_INTERSTICIAL[[#This Row],[evapora]],COND_INTERSTICIAL[[#This Row],[Capa]],INDIRECT(ADDRESS(ROW()-1,COLUMN(),4))))</f>
        <v>#N/A</v>
      </c>
      <c r="DV65" s="111" t="e" cm="1">
        <f t="array" aca="1" ref="DV65" ca="1">IF((COND_INTERSTICIAL[[#This Row],[Capa]]=N_capas)+(COND_INTERSTICIAL[[#This Row],[tramo ev]]=COUNTIFS(COND_INTERSTICIAL[evapora],TRUE,COND_INTERSTICIAL[Mes],CW65,COND_INTERSTICIAL[Sección],CX65)+1),N_capas,INDEX(COND_INTERSTICIAL[capa lím inf ev],MATCH(COND_INTERSTICIAL[[#This Row],[Mes]]&amp;"-"&amp;COND_INTERSTICIAL[[#This Row],[Sección]]&amp;"-"&amp;(COND_INTERSTICIAL[[#This Row],[tramo ev]]+1),COND_INTERSTICIAL[llave tramo ev],0)))</f>
        <v>#N/A</v>
      </c>
      <c r="DW65" s="111" cm="1">
        <f t="array" aca="1" ref="DW6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5" s="113" t="e" cm="1">
        <f t="array" aca="1" ref="DX6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65" s="113" t="e">
        <f ca="1">COND_INTERSTICIAL[[#This Row],[gev]]+COND_INTERSTICIAL[[#This Row],[Ma anterior ev]]</f>
        <v>#N/A</v>
      </c>
      <c r="EA65" s="115" t="e">
        <f ca="1">IF(COND_INTERSTICIAL[[#This Row],[Ma cond]]+COND_INTERSTICIAL[[#This Row],[Ma ev]]&lt;=0,0,COND_INTERSTICIAL[[#This Row],[Ma cond]]+COND_INTERSTICIAL[[#This Row],[Ma ev]])</f>
        <v>#N/A</v>
      </c>
      <c r="EB65" s="115" t="e">
        <f ca="1">IF(COND_INTERSTICIAL[[#This Row],[Ma]]&gt;0,TRUE,FALSE)</f>
        <v>#N/A</v>
      </c>
      <c r="EC65" s="115" t="e" cm="1">
        <f t="array" aca="1" ref="EC65" ca="1">IF(COND_INTERSTICIAL[[#This Row],[agua líquida]],IF(COND_INTERSTICIAL[[#This Row],[Condensa]],COND_INTERSTICIAL[[#This Row],[P límite cond]],COND_INTERSTICIAL[[#This Row],[P límite ev]]),IF(COND_INTERSTICIAL[[#This Row],[Capa]]=N_capas,COND_INTERSTICIAL[[#This Row],[Pn]],""))</f>
        <v>#N/A</v>
      </c>
      <c r="ED65" s="115" t="e">
        <f ca="1">COND_INTERSTICIAL[[#This Row],[Mes]]&amp;"-"&amp;COND_INTERSTICIAL[[#This Row],[Sección]]&amp;"-"&amp;COND_INTERSTICIAL[[#This Row],[tramo gráf]]</f>
        <v>#N/A</v>
      </c>
      <c r="EE65" s="114" t="e" cm="1">
        <f t="array" aca="1" ref="EE65" ca="1">IF(COND_INTERSTICIAL[[#This Row],[Capa]]=1,IF(COND_INTERSTICIAL[[#This Row],[agua líquida]],2,1),IF(COND_INTERSTICIAL[[#This Row],[agua líquida]],1,0)+INDIRECT(ADDRESS(ROW()-1,COLUMN(),4)))</f>
        <v>#N/A</v>
      </c>
      <c r="EF65" s="114" t="e" cm="1">
        <f t="array" aca="1" ref="EF65" ca="1">IF(COND_INTERSTICIAL[[#This Row],[tramo gráf]]=1,0,IF((COND_INTERSTICIAL[[#This Row],[tramo gráf]]&gt;INDIRECT(ADDRESS(ROW()-1,COLUMN(COND_INTERSTICIAL[[#This Row],[tramo gráf]]),4)))+COND_INTERSTICIAL[[#This Row],[agua líquida]],COND_INTERSTICIAL[[#This Row],[Capa]],INDIRECT(ADDRESS(ROW()-1,COLUMN(),4))))</f>
        <v>#N/A</v>
      </c>
      <c r="EG65" s="114" t="e" cm="1">
        <f t="array" aca="1" ref="EG65" ca="1">IF((COND_INTERSTICIAL[[#This Row],[Capa]]=N_capas)+(COND_INTERSTICIAL[[#This Row],[tramo gráf]]=COUNTIFS(COND_INTERSTICIAL[agua líquida],TRUE,COND_INTERSTICIAL[Mes],CW65,COND_INTERSTICIAL[Sección],CX65)+1),N_capas,INDEX(COND_INTERSTICIAL[capa lím inf gráf],MATCH(COND_INTERSTICIAL[[#This Row],[Mes]]&amp;"-"&amp;COND_INTERSTICIAL[[#This Row],[Sección]]&amp;"-"&amp;(COND_INTERSTICIAL[[#This Row],[tramo gráf]]+1),COND_INTERSTICIAL[llave tramo gráf],0)))</f>
        <v>#N/A</v>
      </c>
      <c r="EH65" s="114" cm="1">
        <f t="array" aca="1" ref="EH6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5" s="116" t="e" cm="1">
        <f t="array" aca="1" ref="EI6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6" spans="32:139" x14ac:dyDescent="0.45">
      <c r="AF66" s="11" t="s">
        <v>400</v>
      </c>
      <c r="AG66" s="2" t="s">
        <v>401</v>
      </c>
      <c r="AH66">
        <v>0.04</v>
      </c>
      <c r="AI66" s="12" t="s">
        <v>402</v>
      </c>
      <c r="BY66">
        <v>9</v>
      </c>
      <c r="BZ66">
        <f t="shared" si="3"/>
        <v>3</v>
      </c>
      <c r="CA66" t="str" cm="1">
        <f t="array" ref="CA66">INDEX(lista_mes_abreviado,BZ66)</f>
        <v>Mar</v>
      </c>
      <c r="CB66" t="str" cm="1">
        <f t="array" ref="CB66">IF($CA$57,INDEX(lista_mes_abreviado,$BY66),INDEX(lista_mes_abreviado,7))</f>
        <v>Sept</v>
      </c>
      <c r="CW66" s="1" cm="1">
        <f t="array" ref="CW66">ROUNDUP((ROW()-$CN$18+(Mes_inicial_de_análisis-1)*N_capas*N_secciones)/(N_capas*N_secciones),0)-12*IF(ROW()-$CN$18&gt;(12-Mes_inicial_de_análisis+1)*N_capas*N_secciones,1,0)</f>
        <v>10</v>
      </c>
      <c r="CX66" cm="1">
        <f t="array" ref="CX66">ROUNDUP((ROW()-$CN$18)/N_capas-(ROUNDUP((ROW()-$CN$18)/(N_capas*N_secciones),0)-1)*N_secciones,0)</f>
        <v>1</v>
      </c>
      <c r="CY66" cm="1">
        <f t="array" ref="CY66">(ROW()-$CN$18)-(COND_INTERSTICIAL[[#This Row],[Sección]]-1)*N_capas-(ROUNDUP((ROW()-$CN$18)/(N_capas*N_secciones),0)-1)*N_capas*N_secciones</f>
        <v>5</v>
      </c>
      <c r="CZ66" t="str">
        <f>COND_INTERSTICIAL[[#This Row],[Mes]]&amp;"-"&amp;COND_INTERSTICIAL[[#This Row],[Sección]]&amp;"-"&amp;COND_INTERSTICIAL[[#This Row],[Capa]]</f>
        <v>10-1-5</v>
      </c>
      <c r="DA66">
        <f ca="1">INDEX(SECCIONES_CAPAS[R''n],MATCH(COND_INTERSTICIAL[[#This Row],[Sección]]&amp;"-"&amp;COND_INTERSTICIAL[[#This Row],[Capa]],SECCIONES_CAPAS[llave],0))</f>
        <v>0.04</v>
      </c>
      <c r="DB66" s="172" t="e" cm="1">
        <f t="array" aca="1" ref="DB66" ca="1">INDEX(CLIMA[ϴe],COND_INTERSTICIAL[[#This Row],[Mes]])+COND_INTERSTICIAL[[#This Row],[Rn]]*(INDEX(CLIMA[ϴi],COND_INTERSTICIAL[[#This Row],[Mes]])-INDEX(CLIMA[ϴe],COND_INTERSTICIAL[[#This Row],[Mes]]))/(INDEX(SECCIONES[Rtsección_condensación],COND_INTERSTICIAL[[#This Row],[Sección]]))</f>
        <v>#N/A</v>
      </c>
      <c r="DC66">
        <f>INDEX(SECCIONES_CAPAS[Sd],MATCH(COND_INTERSTICIAL[[#This Row],[Sección]]&amp;"-"&amp;COND_INTERSTICIAL[[#This Row],[Capa]],SECCIONES_CAPAS[llave],0))</f>
        <v>0</v>
      </c>
      <c r="DD66">
        <f ca="1">INDEX(SECCIONES_CAPAS[S''d],MATCH(COND_INTERSTICIAL[[#This Row],[Sección]]&amp;"-"&amp;COND_INTERSTICIAL[[#This Row],[Capa]],SECCIONES_CAPAS[llave],0))</f>
        <v>0</v>
      </c>
      <c r="DE66" s="90" t="e">
        <f ca="1">IF(COND_INTERSTICIAL[[#This Row],[ϴn]]&gt;=0,610.5*EXP((17.269*COND_INTERSTICIAL[[#This Row],[ϴn]])/(237.3+COND_INTERSTICIAL[[#This Row],[ϴn]])),610.5*EXP((21.875*COND_INTERSTICIAL[[#This Row],[ϴn]])/(265.5+COND_INTERSTICIAL[[#This Row],[ϴn]])))</f>
        <v>#N/A</v>
      </c>
      <c r="DF66" s="90" t="e" cm="1">
        <f t="array" aca="1" ref="DF66" ca="1">COND_INTERSTICIAL[[#This Row],[S''d]]*((INDEX(CLIMA[Pi],COND_INTERSTICIAL[[#This Row],[Mes]])-INDEX(CLIMA[Pe],COND_INTERSTICIAL[[#This Row],[Mes]]))/INDEX(SECCIONES[SdT],COND_INTERSTICIAL[[#This Row],[Sección]]))+INDEX(CLIMA[Pe],COND_INTERSTICIAL[[#This Row],[Mes]])</f>
        <v>#N/A</v>
      </c>
      <c r="DG66" s="108" t="e">
        <f ca="1">IF((COND_INTERSTICIAL[[#This Row],[Pn]]&gt;=COND_INTERSTICIAL[[#This Row],[Psat]]),TRUE,FALSE)</f>
        <v>#N/A</v>
      </c>
      <c r="DH66" s="109" t="e" cm="1">
        <f t="array" aca="1" ref="DH66" ca="1">IF(COND_INTERSTICIAL[[#This Row],[Condensa]],COND_INTERSTICIAL[[#This Row],[Psat]],IF(COND_INTERSTICIAL[[#This Row],[Capa]]=N_capas,COND_INTERSTICIAL[[#This Row],[Pn]],""))</f>
        <v>#N/A</v>
      </c>
      <c r="DI66" s="109" t="e">
        <f ca="1">COND_INTERSTICIAL[[#This Row],[Mes]]&amp;"-"&amp;COND_INTERSTICIAL[[#This Row],[Sección]]&amp;"-"&amp;COND_INTERSTICIAL[[#This Row],[tramo cond]]</f>
        <v>#N/A</v>
      </c>
      <c r="DJ66" t="e" cm="1">
        <f t="array" aca="1" ref="DJ66" ca="1">IF(COND_INTERSTICIAL[[#This Row],[Capa]]=1,IF(COND_INTERSTICIAL[[#This Row],[Condensa]],2,1),IF(COND_INTERSTICIAL[[#This Row],[Condensa]],1,0)+INDIRECT(ADDRESS(ROW()-1,COLUMN(),4)))</f>
        <v>#N/A</v>
      </c>
      <c r="DK66" s="108" t="e" cm="1">
        <f t="array" aca="1" ref="DK66" ca="1">IF(COND_INTERSTICIAL[[#This Row],[tramo cond]]=1,0,IF((COND_INTERSTICIAL[[#This Row],[tramo cond]]&gt;INDIRECT(ADDRESS(ROW()-1,COLUMN(COND_INTERSTICIAL[[#This Row],[tramo cond]]),4)))+COND_INTERSTICIAL[[#This Row],[Condensa]],COND_INTERSTICIAL[[#This Row],[Capa]],INDIRECT(ADDRESS(ROW()-1,COLUMN(),4))))</f>
        <v>#N/A</v>
      </c>
      <c r="DL66" s="108" t="e" cm="1">
        <f t="array" aca="1" ref="DL66" ca="1">IF((COND_INTERSTICIAL[[#This Row],[Capa]]=N_capas)+(COND_INTERSTICIAL[[#This Row],[tramo cond]]=COUNTIFS(COND_INTERSTICIAL[Condensa],TRUE,COND_INTERSTICIAL[Mes],CW66,COND_INTERSTICIAL[Sección],CX66)+1),N_capas,INDEX(COND_INTERSTICIAL[capa lím inf cond],MATCH(COND_INTERSTICIAL[[#This Row],[Mes]]&amp;"-"&amp;COND_INTERSTICIAL[[#This Row],[Sección]]&amp;"-"&amp;(COND_INTERSTICIAL[[#This Row],[tramo cond]]+1),COND_INTERSTICIAL[llave tramo cond],0)))</f>
        <v>#N/A</v>
      </c>
      <c r="DM66" s="108" cm="1">
        <f t="array" aca="1" ref="DM6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6" s="110" t="e" cm="1">
        <f t="array" aca="1" ref="DN6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6" s="107" t="e">
        <f ca="1">COND_INTERSTICIAL[[#This Row],[gc]]+COND_INTERSTICIAL[[#This Row],[Ma_anterior cond]]</f>
        <v>#N/A</v>
      </c>
      <c r="DQ66" s="113" t="e">
        <f ca="1">IF((COND_INTERSTICIAL[[#This Row],[Ma_anterior cond]]&gt;0)*NOT(COND_INTERSTICIAL[[#This Row],[Condensa]]),TRUE,FALSE)</f>
        <v>#N/A</v>
      </c>
      <c r="DR66" s="112" t="e" cm="1">
        <f t="array" aca="1" ref="DR66" ca="1">IF(COND_INTERSTICIAL[[#This Row],[evapora]],COND_INTERSTICIAL[[#This Row],[Psat]],IF(COND_INTERSTICIAL[[#This Row],[Capa]]=N_capas,COND_INTERSTICIAL[[#This Row],[Pn]],""))</f>
        <v>#N/A</v>
      </c>
      <c r="DS66" s="112" t="e">
        <f ca="1">COND_INTERSTICIAL[[#This Row],[Mes]]&amp;"-"&amp;COND_INTERSTICIAL[[#This Row],[Sección]]&amp;"-"&amp;COND_INTERSTICIAL[[#This Row],[tramo ev]]</f>
        <v>#N/A</v>
      </c>
      <c r="DT66" s="111" t="e" cm="1">
        <f t="array" aca="1" ref="DT66" ca="1">IF(COND_INTERSTICIAL[[#This Row],[Capa]]=1,IF(COND_INTERSTICIAL[[#This Row],[evapora]],2,1),IF(COND_INTERSTICIAL[[#This Row],[evapora]],1,0)+INDIRECT(ADDRESS(ROW()-1,COLUMN(),4)))</f>
        <v>#N/A</v>
      </c>
      <c r="DU66" s="111" t="e" cm="1">
        <f t="array" aca="1" ref="DU66" ca="1">IF(COND_INTERSTICIAL[[#This Row],[tramo ev]]=1,0,IF((COND_INTERSTICIAL[[#This Row],[tramo ev]]&gt;INDIRECT(ADDRESS(ROW()-1,COLUMN(COND_INTERSTICIAL[[#This Row],[tramo ev]]),4)))+COND_INTERSTICIAL[[#This Row],[evapora]],COND_INTERSTICIAL[[#This Row],[Capa]],INDIRECT(ADDRESS(ROW()-1,COLUMN(),4))))</f>
        <v>#N/A</v>
      </c>
      <c r="DV66" s="111" t="e" cm="1">
        <f t="array" aca="1" ref="DV66" ca="1">IF((COND_INTERSTICIAL[[#This Row],[Capa]]=N_capas)+(COND_INTERSTICIAL[[#This Row],[tramo ev]]=COUNTIFS(COND_INTERSTICIAL[evapora],TRUE,COND_INTERSTICIAL[Mes],CW66,COND_INTERSTICIAL[Sección],CX66)+1),N_capas,INDEX(COND_INTERSTICIAL[capa lím inf ev],MATCH(COND_INTERSTICIAL[[#This Row],[Mes]]&amp;"-"&amp;COND_INTERSTICIAL[[#This Row],[Sección]]&amp;"-"&amp;(COND_INTERSTICIAL[[#This Row],[tramo ev]]+1),COND_INTERSTICIAL[llave tramo ev],0)))</f>
        <v>#N/A</v>
      </c>
      <c r="DW66" s="111" cm="1">
        <f t="array" aca="1" ref="DW6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6" s="113" t="e" cm="1">
        <f t="array" aca="1" ref="DX6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66" s="113" t="e">
        <f ca="1">COND_INTERSTICIAL[[#This Row],[gev]]+COND_INTERSTICIAL[[#This Row],[Ma anterior ev]]</f>
        <v>#N/A</v>
      </c>
      <c r="EA66" s="115" t="e">
        <f ca="1">IF(COND_INTERSTICIAL[[#This Row],[Ma cond]]+COND_INTERSTICIAL[[#This Row],[Ma ev]]&lt;=0,0,COND_INTERSTICIAL[[#This Row],[Ma cond]]+COND_INTERSTICIAL[[#This Row],[Ma ev]])</f>
        <v>#N/A</v>
      </c>
      <c r="EB66" s="115" t="e">
        <f ca="1">IF(COND_INTERSTICIAL[[#This Row],[Ma]]&gt;0,TRUE,FALSE)</f>
        <v>#N/A</v>
      </c>
      <c r="EC66" s="115" t="e" cm="1">
        <f t="array" aca="1" ref="EC66" ca="1">IF(COND_INTERSTICIAL[[#This Row],[agua líquida]],IF(COND_INTERSTICIAL[[#This Row],[Condensa]],COND_INTERSTICIAL[[#This Row],[P límite cond]],COND_INTERSTICIAL[[#This Row],[P límite ev]]),IF(COND_INTERSTICIAL[[#This Row],[Capa]]=N_capas,COND_INTERSTICIAL[[#This Row],[Pn]],""))</f>
        <v>#N/A</v>
      </c>
      <c r="ED66" s="115" t="e">
        <f ca="1">COND_INTERSTICIAL[[#This Row],[Mes]]&amp;"-"&amp;COND_INTERSTICIAL[[#This Row],[Sección]]&amp;"-"&amp;COND_INTERSTICIAL[[#This Row],[tramo gráf]]</f>
        <v>#N/A</v>
      </c>
      <c r="EE66" s="114" t="e" cm="1">
        <f t="array" aca="1" ref="EE66" ca="1">IF(COND_INTERSTICIAL[[#This Row],[Capa]]=1,IF(COND_INTERSTICIAL[[#This Row],[agua líquida]],2,1),IF(COND_INTERSTICIAL[[#This Row],[agua líquida]],1,0)+INDIRECT(ADDRESS(ROW()-1,COLUMN(),4)))</f>
        <v>#N/A</v>
      </c>
      <c r="EF66" s="114" t="e" cm="1">
        <f t="array" aca="1" ref="EF66" ca="1">IF(COND_INTERSTICIAL[[#This Row],[tramo gráf]]=1,0,IF((COND_INTERSTICIAL[[#This Row],[tramo gráf]]&gt;INDIRECT(ADDRESS(ROW()-1,COLUMN(COND_INTERSTICIAL[[#This Row],[tramo gráf]]),4)))+COND_INTERSTICIAL[[#This Row],[agua líquida]],COND_INTERSTICIAL[[#This Row],[Capa]],INDIRECT(ADDRESS(ROW()-1,COLUMN(),4))))</f>
        <v>#N/A</v>
      </c>
      <c r="EG66" s="114" t="e" cm="1">
        <f t="array" aca="1" ref="EG66" ca="1">IF((COND_INTERSTICIAL[[#This Row],[Capa]]=N_capas)+(COND_INTERSTICIAL[[#This Row],[tramo gráf]]=COUNTIFS(COND_INTERSTICIAL[agua líquida],TRUE,COND_INTERSTICIAL[Mes],CW66,COND_INTERSTICIAL[Sección],CX66)+1),N_capas,INDEX(COND_INTERSTICIAL[capa lím inf gráf],MATCH(COND_INTERSTICIAL[[#This Row],[Mes]]&amp;"-"&amp;COND_INTERSTICIAL[[#This Row],[Sección]]&amp;"-"&amp;(COND_INTERSTICIAL[[#This Row],[tramo gráf]]+1),COND_INTERSTICIAL[llave tramo gráf],0)))</f>
        <v>#N/A</v>
      </c>
      <c r="EH66" s="114" cm="1">
        <f t="array" aca="1" ref="EH6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6" s="116" t="e" cm="1">
        <f t="array" aca="1" ref="EI6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7" spans="32:139" ht="14.65" thickBot="1" x14ac:dyDescent="0.5">
      <c r="AF67" s="19" t="s">
        <v>403</v>
      </c>
      <c r="AG67" s="176" t="s">
        <v>373</v>
      </c>
      <c r="AH67" s="25" cm="1">
        <f t="array" ref="AH67">MAX(SECCIONES[R100 capa aislante]/100)</f>
        <v>0</v>
      </c>
      <c r="AI67" s="21" t="s">
        <v>100</v>
      </c>
      <c r="BY67">
        <v>10</v>
      </c>
      <c r="BZ67">
        <f t="shared" si="3"/>
        <v>4</v>
      </c>
      <c r="CA67" t="str" cm="1">
        <f t="array" ref="CA67">INDEX(lista_mes_abreviado,BZ67)</f>
        <v>Abr</v>
      </c>
      <c r="CB67" t="str" cm="1">
        <f t="array" ref="CB67">IF($CA$57,INDEX(lista_mes_abreviado,$BY67),INDEX(lista_mes_abreviado,7))</f>
        <v>Oct</v>
      </c>
      <c r="CW67" s="1" cm="1">
        <f t="array" ref="CW67">ROUNDUP((ROW()-$CN$18+(Mes_inicial_de_análisis-1)*N_capas*N_secciones)/(N_capas*N_secciones),0)-12*IF(ROW()-$CN$18&gt;(12-Mes_inicial_de_análisis+1)*N_capas*N_secciones,1,0)</f>
        <v>10</v>
      </c>
      <c r="CX67" cm="1">
        <f t="array" ref="CX67">ROUNDUP((ROW()-$CN$18)/N_capas-(ROUNDUP((ROW()-$CN$18)/(N_capas*N_secciones),0)-1)*N_secciones,0)</f>
        <v>1</v>
      </c>
      <c r="CY67" cm="1">
        <f t="array" ref="CY67">(ROW()-$CN$18)-(COND_INTERSTICIAL[[#This Row],[Sección]]-1)*N_capas-(ROUNDUP((ROW()-$CN$18)/(N_capas*N_secciones),0)-1)*N_capas*N_secciones</f>
        <v>6</v>
      </c>
      <c r="CZ67" t="str">
        <f>COND_INTERSTICIAL[[#This Row],[Mes]]&amp;"-"&amp;COND_INTERSTICIAL[[#This Row],[Sección]]&amp;"-"&amp;COND_INTERSTICIAL[[#This Row],[Capa]]</f>
        <v>10-1-6</v>
      </c>
      <c r="DA67">
        <f ca="1">INDEX(SECCIONES_CAPAS[R''n],MATCH(COND_INTERSTICIAL[[#This Row],[Sección]]&amp;"-"&amp;COND_INTERSTICIAL[[#This Row],[Capa]],SECCIONES_CAPAS[llave],0))</f>
        <v>0.04</v>
      </c>
      <c r="DB67" s="172" t="e" cm="1">
        <f t="array" aca="1" ref="DB67" ca="1">INDEX(CLIMA[ϴe],COND_INTERSTICIAL[[#This Row],[Mes]])+COND_INTERSTICIAL[[#This Row],[Rn]]*(INDEX(CLIMA[ϴi],COND_INTERSTICIAL[[#This Row],[Mes]])-INDEX(CLIMA[ϴe],COND_INTERSTICIAL[[#This Row],[Mes]]))/(INDEX(SECCIONES[Rtsección_condensación],COND_INTERSTICIAL[[#This Row],[Sección]]))</f>
        <v>#N/A</v>
      </c>
      <c r="DC67">
        <f>INDEX(SECCIONES_CAPAS[Sd],MATCH(COND_INTERSTICIAL[[#This Row],[Sección]]&amp;"-"&amp;COND_INTERSTICIAL[[#This Row],[Capa]],SECCIONES_CAPAS[llave],0))</f>
        <v>0</v>
      </c>
      <c r="DD67">
        <f ca="1">INDEX(SECCIONES_CAPAS[S''d],MATCH(COND_INTERSTICIAL[[#This Row],[Sección]]&amp;"-"&amp;COND_INTERSTICIAL[[#This Row],[Capa]],SECCIONES_CAPAS[llave],0))</f>
        <v>0</v>
      </c>
      <c r="DE67" s="90" t="e">
        <f ca="1">IF(COND_INTERSTICIAL[[#This Row],[ϴn]]&gt;=0,610.5*EXP((17.269*COND_INTERSTICIAL[[#This Row],[ϴn]])/(237.3+COND_INTERSTICIAL[[#This Row],[ϴn]])),610.5*EXP((21.875*COND_INTERSTICIAL[[#This Row],[ϴn]])/(265.5+COND_INTERSTICIAL[[#This Row],[ϴn]])))</f>
        <v>#N/A</v>
      </c>
      <c r="DF67" s="90" t="e" cm="1">
        <f t="array" aca="1" ref="DF67" ca="1">COND_INTERSTICIAL[[#This Row],[S''d]]*((INDEX(CLIMA[Pi],COND_INTERSTICIAL[[#This Row],[Mes]])-INDEX(CLIMA[Pe],COND_INTERSTICIAL[[#This Row],[Mes]]))/INDEX(SECCIONES[SdT],COND_INTERSTICIAL[[#This Row],[Sección]]))+INDEX(CLIMA[Pe],COND_INTERSTICIAL[[#This Row],[Mes]])</f>
        <v>#N/A</v>
      </c>
      <c r="DG67" s="108" t="e">
        <f ca="1">IF((COND_INTERSTICIAL[[#This Row],[Pn]]&gt;=COND_INTERSTICIAL[[#This Row],[Psat]]),TRUE,FALSE)</f>
        <v>#N/A</v>
      </c>
      <c r="DH67" s="109" t="e" cm="1">
        <f t="array" aca="1" ref="DH67" ca="1">IF(COND_INTERSTICIAL[[#This Row],[Condensa]],COND_INTERSTICIAL[[#This Row],[Psat]],IF(COND_INTERSTICIAL[[#This Row],[Capa]]=N_capas,COND_INTERSTICIAL[[#This Row],[Pn]],""))</f>
        <v>#N/A</v>
      </c>
      <c r="DI67" s="109" t="e">
        <f ca="1">COND_INTERSTICIAL[[#This Row],[Mes]]&amp;"-"&amp;COND_INTERSTICIAL[[#This Row],[Sección]]&amp;"-"&amp;COND_INTERSTICIAL[[#This Row],[tramo cond]]</f>
        <v>#N/A</v>
      </c>
      <c r="DJ67" t="e" cm="1">
        <f t="array" aca="1" ref="DJ67" ca="1">IF(COND_INTERSTICIAL[[#This Row],[Capa]]=1,IF(COND_INTERSTICIAL[[#This Row],[Condensa]],2,1),IF(COND_INTERSTICIAL[[#This Row],[Condensa]],1,0)+INDIRECT(ADDRESS(ROW()-1,COLUMN(),4)))</f>
        <v>#N/A</v>
      </c>
      <c r="DK67" s="108" t="e" cm="1">
        <f t="array" aca="1" ref="DK67" ca="1">IF(COND_INTERSTICIAL[[#This Row],[tramo cond]]=1,0,IF((COND_INTERSTICIAL[[#This Row],[tramo cond]]&gt;INDIRECT(ADDRESS(ROW()-1,COLUMN(COND_INTERSTICIAL[[#This Row],[tramo cond]]),4)))+COND_INTERSTICIAL[[#This Row],[Condensa]],COND_INTERSTICIAL[[#This Row],[Capa]],INDIRECT(ADDRESS(ROW()-1,COLUMN(),4))))</f>
        <v>#N/A</v>
      </c>
      <c r="DL67" s="108" t="e" cm="1">
        <f t="array" aca="1" ref="DL67" ca="1">IF((COND_INTERSTICIAL[[#This Row],[Capa]]=N_capas)+(COND_INTERSTICIAL[[#This Row],[tramo cond]]=COUNTIFS(COND_INTERSTICIAL[Condensa],TRUE,COND_INTERSTICIAL[Mes],CW67,COND_INTERSTICIAL[Sección],CX67)+1),N_capas,INDEX(COND_INTERSTICIAL[capa lím inf cond],MATCH(COND_INTERSTICIAL[[#This Row],[Mes]]&amp;"-"&amp;COND_INTERSTICIAL[[#This Row],[Sección]]&amp;"-"&amp;(COND_INTERSTICIAL[[#This Row],[tramo cond]]+1),COND_INTERSTICIAL[llave tramo cond],0)))</f>
        <v>#N/A</v>
      </c>
      <c r="DM67" s="108" cm="1">
        <f t="array" aca="1" ref="DM6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7" s="110" t="e" cm="1">
        <f t="array" aca="1" ref="DN6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7" s="107" t="e">
        <f ca="1">COND_INTERSTICIAL[[#This Row],[gc]]+COND_INTERSTICIAL[[#This Row],[Ma_anterior cond]]</f>
        <v>#N/A</v>
      </c>
      <c r="DQ67" s="113" t="e">
        <f ca="1">IF((COND_INTERSTICIAL[[#This Row],[Ma_anterior cond]]&gt;0)*NOT(COND_INTERSTICIAL[[#This Row],[Condensa]]),TRUE,FALSE)</f>
        <v>#N/A</v>
      </c>
      <c r="DR67" s="112" t="e" cm="1">
        <f t="array" aca="1" ref="DR67" ca="1">IF(COND_INTERSTICIAL[[#This Row],[evapora]],COND_INTERSTICIAL[[#This Row],[Psat]],IF(COND_INTERSTICIAL[[#This Row],[Capa]]=N_capas,COND_INTERSTICIAL[[#This Row],[Pn]],""))</f>
        <v>#N/A</v>
      </c>
      <c r="DS67" s="112" t="e">
        <f ca="1">COND_INTERSTICIAL[[#This Row],[Mes]]&amp;"-"&amp;COND_INTERSTICIAL[[#This Row],[Sección]]&amp;"-"&amp;COND_INTERSTICIAL[[#This Row],[tramo ev]]</f>
        <v>#N/A</v>
      </c>
      <c r="DT67" s="111" t="e" cm="1">
        <f t="array" aca="1" ref="DT67" ca="1">IF(COND_INTERSTICIAL[[#This Row],[Capa]]=1,IF(COND_INTERSTICIAL[[#This Row],[evapora]],2,1),IF(COND_INTERSTICIAL[[#This Row],[evapora]],1,0)+INDIRECT(ADDRESS(ROW()-1,COLUMN(),4)))</f>
        <v>#N/A</v>
      </c>
      <c r="DU67" s="111" t="e" cm="1">
        <f t="array" aca="1" ref="DU67" ca="1">IF(COND_INTERSTICIAL[[#This Row],[tramo ev]]=1,0,IF((COND_INTERSTICIAL[[#This Row],[tramo ev]]&gt;INDIRECT(ADDRESS(ROW()-1,COLUMN(COND_INTERSTICIAL[[#This Row],[tramo ev]]),4)))+COND_INTERSTICIAL[[#This Row],[evapora]],COND_INTERSTICIAL[[#This Row],[Capa]],INDIRECT(ADDRESS(ROW()-1,COLUMN(),4))))</f>
        <v>#N/A</v>
      </c>
      <c r="DV67" s="111" t="e" cm="1">
        <f t="array" aca="1" ref="DV67" ca="1">IF((COND_INTERSTICIAL[[#This Row],[Capa]]=N_capas)+(COND_INTERSTICIAL[[#This Row],[tramo ev]]=COUNTIFS(COND_INTERSTICIAL[evapora],TRUE,COND_INTERSTICIAL[Mes],CW67,COND_INTERSTICIAL[Sección],CX67)+1),N_capas,INDEX(COND_INTERSTICIAL[capa lím inf ev],MATCH(COND_INTERSTICIAL[[#This Row],[Mes]]&amp;"-"&amp;COND_INTERSTICIAL[[#This Row],[Sección]]&amp;"-"&amp;(COND_INTERSTICIAL[[#This Row],[tramo ev]]+1),COND_INTERSTICIAL[llave tramo ev],0)))</f>
        <v>#N/A</v>
      </c>
      <c r="DW67" s="111" cm="1">
        <f t="array" aca="1" ref="DW6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7" s="113" t="e" cm="1">
        <f t="array" aca="1" ref="DX6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67" s="113" t="e">
        <f ca="1">COND_INTERSTICIAL[[#This Row],[gev]]+COND_INTERSTICIAL[[#This Row],[Ma anterior ev]]</f>
        <v>#N/A</v>
      </c>
      <c r="EA67" s="115" t="e">
        <f ca="1">IF(COND_INTERSTICIAL[[#This Row],[Ma cond]]+COND_INTERSTICIAL[[#This Row],[Ma ev]]&lt;=0,0,COND_INTERSTICIAL[[#This Row],[Ma cond]]+COND_INTERSTICIAL[[#This Row],[Ma ev]])</f>
        <v>#N/A</v>
      </c>
      <c r="EB67" s="115" t="e">
        <f ca="1">IF(COND_INTERSTICIAL[[#This Row],[Ma]]&gt;0,TRUE,FALSE)</f>
        <v>#N/A</v>
      </c>
      <c r="EC67" s="115" t="e" cm="1">
        <f t="array" aca="1" ref="EC67" ca="1">IF(COND_INTERSTICIAL[[#This Row],[agua líquida]],IF(COND_INTERSTICIAL[[#This Row],[Condensa]],COND_INTERSTICIAL[[#This Row],[P límite cond]],COND_INTERSTICIAL[[#This Row],[P límite ev]]),IF(COND_INTERSTICIAL[[#This Row],[Capa]]=N_capas,COND_INTERSTICIAL[[#This Row],[Pn]],""))</f>
        <v>#N/A</v>
      </c>
      <c r="ED67" s="115" t="e">
        <f ca="1">COND_INTERSTICIAL[[#This Row],[Mes]]&amp;"-"&amp;COND_INTERSTICIAL[[#This Row],[Sección]]&amp;"-"&amp;COND_INTERSTICIAL[[#This Row],[tramo gráf]]</f>
        <v>#N/A</v>
      </c>
      <c r="EE67" s="114" t="e" cm="1">
        <f t="array" aca="1" ref="EE67" ca="1">IF(COND_INTERSTICIAL[[#This Row],[Capa]]=1,IF(COND_INTERSTICIAL[[#This Row],[agua líquida]],2,1),IF(COND_INTERSTICIAL[[#This Row],[agua líquida]],1,0)+INDIRECT(ADDRESS(ROW()-1,COLUMN(),4)))</f>
        <v>#N/A</v>
      </c>
      <c r="EF67" s="114" t="e" cm="1">
        <f t="array" aca="1" ref="EF67" ca="1">IF(COND_INTERSTICIAL[[#This Row],[tramo gráf]]=1,0,IF((COND_INTERSTICIAL[[#This Row],[tramo gráf]]&gt;INDIRECT(ADDRESS(ROW()-1,COLUMN(COND_INTERSTICIAL[[#This Row],[tramo gráf]]),4)))+COND_INTERSTICIAL[[#This Row],[agua líquida]],COND_INTERSTICIAL[[#This Row],[Capa]],INDIRECT(ADDRESS(ROW()-1,COLUMN(),4))))</f>
        <v>#N/A</v>
      </c>
      <c r="EG67" s="114" t="e" cm="1">
        <f t="array" aca="1" ref="EG67" ca="1">IF((COND_INTERSTICIAL[[#This Row],[Capa]]=N_capas)+(COND_INTERSTICIAL[[#This Row],[tramo gráf]]=COUNTIFS(COND_INTERSTICIAL[agua líquida],TRUE,COND_INTERSTICIAL[Mes],CW67,COND_INTERSTICIAL[Sección],CX67)+1),N_capas,INDEX(COND_INTERSTICIAL[capa lím inf gráf],MATCH(COND_INTERSTICIAL[[#This Row],[Mes]]&amp;"-"&amp;COND_INTERSTICIAL[[#This Row],[Sección]]&amp;"-"&amp;(COND_INTERSTICIAL[[#This Row],[tramo gráf]]+1),COND_INTERSTICIAL[llave tramo gráf],0)))</f>
        <v>#N/A</v>
      </c>
      <c r="EH67" s="114" cm="1">
        <f t="array" aca="1" ref="EH6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7" s="116" t="e" cm="1">
        <f t="array" aca="1" ref="EI6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8" spans="32:139" x14ac:dyDescent="0.45">
      <c r="BY68">
        <v>11</v>
      </c>
      <c r="BZ68">
        <f t="shared" si="3"/>
        <v>5</v>
      </c>
      <c r="CA68" t="str" cm="1">
        <f t="array" ref="CA68">INDEX(lista_mes_abreviado,BZ68)</f>
        <v>May</v>
      </c>
      <c r="CB68" t="str" cm="1">
        <f t="array" ref="CB68">IF($CA$57,INDEX(lista_mes_abreviado,$BY68),INDEX(lista_mes_abreviado,7))</f>
        <v>Nov</v>
      </c>
      <c r="CW68" s="1" cm="1">
        <f t="array" ref="CW68">ROUNDUP((ROW()-$CN$18+(Mes_inicial_de_análisis-1)*N_capas*N_secciones)/(N_capas*N_secciones),0)-12*IF(ROW()-$CN$18&gt;(12-Mes_inicial_de_análisis+1)*N_capas*N_secciones,1,0)</f>
        <v>10</v>
      </c>
      <c r="CX68" cm="1">
        <f t="array" ref="CX68">ROUNDUP((ROW()-$CN$18)/N_capas-(ROUNDUP((ROW()-$CN$18)/(N_capas*N_secciones),0)-1)*N_secciones,0)</f>
        <v>1</v>
      </c>
      <c r="CY68" cm="1">
        <f t="array" ref="CY68">(ROW()-$CN$18)-(COND_INTERSTICIAL[[#This Row],[Sección]]-1)*N_capas-(ROUNDUP((ROW()-$CN$18)/(N_capas*N_secciones),0)-1)*N_capas*N_secciones</f>
        <v>7</v>
      </c>
      <c r="CZ68" t="str">
        <f>COND_INTERSTICIAL[[#This Row],[Mes]]&amp;"-"&amp;COND_INTERSTICIAL[[#This Row],[Sección]]&amp;"-"&amp;COND_INTERSTICIAL[[#This Row],[Capa]]</f>
        <v>10-1-7</v>
      </c>
      <c r="DA68">
        <f ca="1">INDEX(SECCIONES_CAPAS[R''n],MATCH(COND_INTERSTICIAL[[#This Row],[Sección]]&amp;"-"&amp;COND_INTERSTICIAL[[#This Row],[Capa]],SECCIONES_CAPAS[llave],0))</f>
        <v>0.04</v>
      </c>
      <c r="DB68" s="172" t="e" cm="1">
        <f t="array" aca="1" ref="DB68" ca="1">INDEX(CLIMA[ϴe],COND_INTERSTICIAL[[#This Row],[Mes]])+COND_INTERSTICIAL[[#This Row],[Rn]]*(INDEX(CLIMA[ϴi],COND_INTERSTICIAL[[#This Row],[Mes]])-INDEX(CLIMA[ϴe],COND_INTERSTICIAL[[#This Row],[Mes]]))/(INDEX(SECCIONES[Rtsección_condensación],COND_INTERSTICIAL[[#This Row],[Sección]]))</f>
        <v>#N/A</v>
      </c>
      <c r="DC68">
        <f>INDEX(SECCIONES_CAPAS[Sd],MATCH(COND_INTERSTICIAL[[#This Row],[Sección]]&amp;"-"&amp;COND_INTERSTICIAL[[#This Row],[Capa]],SECCIONES_CAPAS[llave],0))</f>
        <v>0</v>
      </c>
      <c r="DD68">
        <f ca="1">INDEX(SECCIONES_CAPAS[S''d],MATCH(COND_INTERSTICIAL[[#This Row],[Sección]]&amp;"-"&amp;COND_INTERSTICIAL[[#This Row],[Capa]],SECCIONES_CAPAS[llave],0))</f>
        <v>0</v>
      </c>
      <c r="DE68" s="90" t="e">
        <f ca="1">IF(COND_INTERSTICIAL[[#This Row],[ϴn]]&gt;=0,610.5*EXP((17.269*COND_INTERSTICIAL[[#This Row],[ϴn]])/(237.3+COND_INTERSTICIAL[[#This Row],[ϴn]])),610.5*EXP((21.875*COND_INTERSTICIAL[[#This Row],[ϴn]])/(265.5+COND_INTERSTICIAL[[#This Row],[ϴn]])))</f>
        <v>#N/A</v>
      </c>
      <c r="DF68" s="90" t="e" cm="1">
        <f t="array" aca="1" ref="DF68" ca="1">COND_INTERSTICIAL[[#This Row],[S''d]]*((INDEX(CLIMA[Pi],COND_INTERSTICIAL[[#This Row],[Mes]])-INDEX(CLIMA[Pe],COND_INTERSTICIAL[[#This Row],[Mes]]))/INDEX(SECCIONES[SdT],COND_INTERSTICIAL[[#This Row],[Sección]]))+INDEX(CLIMA[Pe],COND_INTERSTICIAL[[#This Row],[Mes]])</f>
        <v>#N/A</v>
      </c>
      <c r="DG68" s="108" t="e">
        <f ca="1">IF((COND_INTERSTICIAL[[#This Row],[Pn]]&gt;=COND_INTERSTICIAL[[#This Row],[Psat]]),TRUE,FALSE)</f>
        <v>#N/A</v>
      </c>
      <c r="DH68" s="109" t="e" cm="1">
        <f t="array" aca="1" ref="DH68" ca="1">IF(COND_INTERSTICIAL[[#This Row],[Condensa]],COND_INTERSTICIAL[[#This Row],[Psat]],IF(COND_INTERSTICIAL[[#This Row],[Capa]]=N_capas,COND_INTERSTICIAL[[#This Row],[Pn]],""))</f>
        <v>#N/A</v>
      </c>
      <c r="DI68" s="109" t="e">
        <f ca="1">COND_INTERSTICIAL[[#This Row],[Mes]]&amp;"-"&amp;COND_INTERSTICIAL[[#This Row],[Sección]]&amp;"-"&amp;COND_INTERSTICIAL[[#This Row],[tramo cond]]</f>
        <v>#N/A</v>
      </c>
      <c r="DJ68" t="e" cm="1">
        <f t="array" aca="1" ref="DJ68" ca="1">IF(COND_INTERSTICIAL[[#This Row],[Capa]]=1,IF(COND_INTERSTICIAL[[#This Row],[Condensa]],2,1),IF(COND_INTERSTICIAL[[#This Row],[Condensa]],1,0)+INDIRECT(ADDRESS(ROW()-1,COLUMN(),4)))</f>
        <v>#N/A</v>
      </c>
      <c r="DK68" s="108" t="e" cm="1">
        <f t="array" aca="1" ref="DK68" ca="1">IF(COND_INTERSTICIAL[[#This Row],[tramo cond]]=1,0,IF((COND_INTERSTICIAL[[#This Row],[tramo cond]]&gt;INDIRECT(ADDRESS(ROW()-1,COLUMN(COND_INTERSTICIAL[[#This Row],[tramo cond]]),4)))+COND_INTERSTICIAL[[#This Row],[Condensa]],COND_INTERSTICIAL[[#This Row],[Capa]],INDIRECT(ADDRESS(ROW()-1,COLUMN(),4))))</f>
        <v>#N/A</v>
      </c>
      <c r="DL68" s="108" t="e" cm="1">
        <f t="array" aca="1" ref="DL68" ca="1">IF((COND_INTERSTICIAL[[#This Row],[Capa]]=N_capas)+(COND_INTERSTICIAL[[#This Row],[tramo cond]]=COUNTIFS(COND_INTERSTICIAL[Condensa],TRUE,COND_INTERSTICIAL[Mes],CW68,COND_INTERSTICIAL[Sección],CX68)+1),N_capas,INDEX(COND_INTERSTICIAL[capa lím inf cond],MATCH(COND_INTERSTICIAL[[#This Row],[Mes]]&amp;"-"&amp;COND_INTERSTICIAL[[#This Row],[Sección]]&amp;"-"&amp;(COND_INTERSTICIAL[[#This Row],[tramo cond]]+1),COND_INTERSTICIAL[llave tramo cond],0)))</f>
        <v>#N/A</v>
      </c>
      <c r="DM68" s="108" cm="1">
        <f t="array" aca="1" ref="DM6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8" s="110" t="e" cm="1">
        <f t="array" aca="1" ref="DN6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8" s="107" t="e">
        <f ca="1">COND_INTERSTICIAL[[#This Row],[gc]]+COND_INTERSTICIAL[[#This Row],[Ma_anterior cond]]</f>
        <v>#N/A</v>
      </c>
      <c r="DQ68" s="113" t="e">
        <f ca="1">IF((COND_INTERSTICIAL[[#This Row],[Ma_anterior cond]]&gt;0)*NOT(COND_INTERSTICIAL[[#This Row],[Condensa]]),TRUE,FALSE)</f>
        <v>#N/A</v>
      </c>
      <c r="DR68" s="112" t="e" cm="1">
        <f t="array" aca="1" ref="DR68" ca="1">IF(COND_INTERSTICIAL[[#This Row],[evapora]],COND_INTERSTICIAL[[#This Row],[Psat]],IF(COND_INTERSTICIAL[[#This Row],[Capa]]=N_capas,COND_INTERSTICIAL[[#This Row],[Pn]],""))</f>
        <v>#N/A</v>
      </c>
      <c r="DS68" s="112" t="e">
        <f ca="1">COND_INTERSTICIAL[[#This Row],[Mes]]&amp;"-"&amp;COND_INTERSTICIAL[[#This Row],[Sección]]&amp;"-"&amp;COND_INTERSTICIAL[[#This Row],[tramo ev]]</f>
        <v>#N/A</v>
      </c>
      <c r="DT68" s="111" t="e" cm="1">
        <f t="array" aca="1" ref="DT68" ca="1">IF(COND_INTERSTICIAL[[#This Row],[Capa]]=1,IF(COND_INTERSTICIAL[[#This Row],[evapora]],2,1),IF(COND_INTERSTICIAL[[#This Row],[evapora]],1,0)+INDIRECT(ADDRESS(ROW()-1,COLUMN(),4)))</f>
        <v>#N/A</v>
      </c>
      <c r="DU68" s="111" t="e" cm="1">
        <f t="array" aca="1" ref="DU68" ca="1">IF(COND_INTERSTICIAL[[#This Row],[tramo ev]]=1,0,IF((COND_INTERSTICIAL[[#This Row],[tramo ev]]&gt;INDIRECT(ADDRESS(ROW()-1,COLUMN(COND_INTERSTICIAL[[#This Row],[tramo ev]]),4)))+COND_INTERSTICIAL[[#This Row],[evapora]],COND_INTERSTICIAL[[#This Row],[Capa]],INDIRECT(ADDRESS(ROW()-1,COLUMN(),4))))</f>
        <v>#N/A</v>
      </c>
      <c r="DV68" s="111" t="e" cm="1">
        <f t="array" aca="1" ref="DV68" ca="1">IF((COND_INTERSTICIAL[[#This Row],[Capa]]=N_capas)+(COND_INTERSTICIAL[[#This Row],[tramo ev]]=COUNTIFS(COND_INTERSTICIAL[evapora],TRUE,COND_INTERSTICIAL[Mes],CW68,COND_INTERSTICIAL[Sección],CX68)+1),N_capas,INDEX(COND_INTERSTICIAL[capa lím inf ev],MATCH(COND_INTERSTICIAL[[#This Row],[Mes]]&amp;"-"&amp;COND_INTERSTICIAL[[#This Row],[Sección]]&amp;"-"&amp;(COND_INTERSTICIAL[[#This Row],[tramo ev]]+1),COND_INTERSTICIAL[llave tramo ev],0)))</f>
        <v>#N/A</v>
      </c>
      <c r="DW68" s="111" cm="1">
        <f t="array" aca="1" ref="DW6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8" s="113" t="e" cm="1">
        <f t="array" aca="1" ref="DX6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68" s="113" t="e">
        <f ca="1">COND_INTERSTICIAL[[#This Row],[gev]]+COND_INTERSTICIAL[[#This Row],[Ma anterior ev]]</f>
        <v>#N/A</v>
      </c>
      <c r="EA68" s="115" t="e">
        <f ca="1">IF(COND_INTERSTICIAL[[#This Row],[Ma cond]]+COND_INTERSTICIAL[[#This Row],[Ma ev]]&lt;=0,0,COND_INTERSTICIAL[[#This Row],[Ma cond]]+COND_INTERSTICIAL[[#This Row],[Ma ev]])</f>
        <v>#N/A</v>
      </c>
      <c r="EB68" s="115" t="e">
        <f ca="1">IF(COND_INTERSTICIAL[[#This Row],[Ma]]&gt;0,TRUE,FALSE)</f>
        <v>#N/A</v>
      </c>
      <c r="EC68" s="115" t="e" cm="1">
        <f t="array" aca="1" ref="EC68" ca="1">IF(COND_INTERSTICIAL[[#This Row],[agua líquida]],IF(COND_INTERSTICIAL[[#This Row],[Condensa]],COND_INTERSTICIAL[[#This Row],[P límite cond]],COND_INTERSTICIAL[[#This Row],[P límite ev]]),IF(COND_INTERSTICIAL[[#This Row],[Capa]]=N_capas,COND_INTERSTICIAL[[#This Row],[Pn]],""))</f>
        <v>#N/A</v>
      </c>
      <c r="ED68" s="115" t="e">
        <f ca="1">COND_INTERSTICIAL[[#This Row],[Mes]]&amp;"-"&amp;COND_INTERSTICIAL[[#This Row],[Sección]]&amp;"-"&amp;COND_INTERSTICIAL[[#This Row],[tramo gráf]]</f>
        <v>#N/A</v>
      </c>
      <c r="EE68" s="114" t="e" cm="1">
        <f t="array" aca="1" ref="EE68" ca="1">IF(COND_INTERSTICIAL[[#This Row],[Capa]]=1,IF(COND_INTERSTICIAL[[#This Row],[agua líquida]],2,1),IF(COND_INTERSTICIAL[[#This Row],[agua líquida]],1,0)+INDIRECT(ADDRESS(ROW()-1,COLUMN(),4)))</f>
        <v>#N/A</v>
      </c>
      <c r="EF68" s="114" t="e" cm="1">
        <f t="array" aca="1" ref="EF68" ca="1">IF(COND_INTERSTICIAL[[#This Row],[tramo gráf]]=1,0,IF((COND_INTERSTICIAL[[#This Row],[tramo gráf]]&gt;INDIRECT(ADDRESS(ROW()-1,COLUMN(COND_INTERSTICIAL[[#This Row],[tramo gráf]]),4)))+COND_INTERSTICIAL[[#This Row],[agua líquida]],COND_INTERSTICIAL[[#This Row],[Capa]],INDIRECT(ADDRESS(ROW()-1,COLUMN(),4))))</f>
        <v>#N/A</v>
      </c>
      <c r="EG68" s="114" t="e" cm="1">
        <f t="array" aca="1" ref="EG68" ca="1">IF((COND_INTERSTICIAL[[#This Row],[Capa]]=N_capas)+(COND_INTERSTICIAL[[#This Row],[tramo gráf]]=COUNTIFS(COND_INTERSTICIAL[agua líquida],TRUE,COND_INTERSTICIAL[Mes],CW68,COND_INTERSTICIAL[Sección],CX68)+1),N_capas,INDEX(COND_INTERSTICIAL[capa lím inf gráf],MATCH(COND_INTERSTICIAL[[#This Row],[Mes]]&amp;"-"&amp;COND_INTERSTICIAL[[#This Row],[Sección]]&amp;"-"&amp;(COND_INTERSTICIAL[[#This Row],[tramo gráf]]+1),COND_INTERSTICIAL[llave tramo gráf],0)))</f>
        <v>#N/A</v>
      </c>
      <c r="EH68" s="114" cm="1">
        <f t="array" aca="1" ref="EH6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8" s="116" t="e" cm="1">
        <f t="array" aca="1" ref="EI6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9" spans="32:139" x14ac:dyDescent="0.45">
      <c r="BY69">
        <v>12</v>
      </c>
      <c r="BZ69">
        <f t="shared" si="3"/>
        <v>6</v>
      </c>
      <c r="CA69" t="str" cm="1">
        <f t="array" ref="CA69">INDEX(lista_mes_abreviado,BZ69)</f>
        <v>Jun</v>
      </c>
      <c r="CB69" t="str" cm="1">
        <f t="array" ref="CB69">IF($CA$57,INDEX(lista_mes_abreviado,$BY69),INDEX(lista_mes_abreviado,7))</f>
        <v>Dic</v>
      </c>
      <c r="CW69" s="1" cm="1">
        <f t="array" ref="CW69">ROUNDUP((ROW()-$CN$18+(Mes_inicial_de_análisis-1)*N_capas*N_secciones)/(N_capas*N_secciones),0)-12*IF(ROW()-$CN$18&gt;(12-Mes_inicial_de_análisis+1)*N_capas*N_secciones,1,0)</f>
        <v>10</v>
      </c>
      <c r="CX69" cm="1">
        <f t="array" ref="CX69">ROUNDUP((ROW()-$CN$18)/N_capas-(ROUNDUP((ROW()-$CN$18)/(N_capas*N_secciones),0)-1)*N_secciones,0)</f>
        <v>2</v>
      </c>
      <c r="CY69" cm="1">
        <f t="array" ref="CY69">(ROW()-$CN$18)-(COND_INTERSTICIAL[[#This Row],[Sección]]-1)*N_capas-(ROUNDUP((ROW()-$CN$18)/(N_capas*N_secciones),0)-1)*N_capas*N_secciones</f>
        <v>1</v>
      </c>
      <c r="CZ69" t="str">
        <f>COND_INTERSTICIAL[[#This Row],[Mes]]&amp;"-"&amp;COND_INTERSTICIAL[[#This Row],[Sección]]&amp;"-"&amp;COND_INTERSTICIAL[[#This Row],[Capa]]</f>
        <v>10-2-1</v>
      </c>
      <c r="DA69">
        <f ca="1">INDEX(SECCIONES_CAPAS[R''n],MATCH(COND_INTERSTICIAL[[#This Row],[Sección]]&amp;"-"&amp;COND_INTERSTICIAL[[#This Row],[Capa]],SECCIONES_CAPAS[llave],0))</f>
        <v>0.04</v>
      </c>
      <c r="DB69" s="172" t="e" cm="1">
        <f t="array" aca="1" ref="DB69" ca="1">INDEX(CLIMA[ϴe],COND_INTERSTICIAL[[#This Row],[Mes]])+COND_INTERSTICIAL[[#This Row],[Rn]]*(INDEX(CLIMA[ϴi],COND_INTERSTICIAL[[#This Row],[Mes]])-INDEX(CLIMA[ϴe],COND_INTERSTICIAL[[#This Row],[Mes]]))/(INDEX(SECCIONES[Rtsección_condensación],COND_INTERSTICIAL[[#This Row],[Sección]]))</f>
        <v>#N/A</v>
      </c>
      <c r="DC69">
        <f>INDEX(SECCIONES_CAPAS[Sd],MATCH(COND_INTERSTICIAL[[#This Row],[Sección]]&amp;"-"&amp;COND_INTERSTICIAL[[#This Row],[Capa]],SECCIONES_CAPAS[llave],0))</f>
        <v>0</v>
      </c>
      <c r="DD69">
        <f ca="1">INDEX(SECCIONES_CAPAS[S''d],MATCH(COND_INTERSTICIAL[[#This Row],[Sección]]&amp;"-"&amp;COND_INTERSTICIAL[[#This Row],[Capa]],SECCIONES_CAPAS[llave],0))</f>
        <v>0</v>
      </c>
      <c r="DE69" s="90" t="e">
        <f ca="1">IF(COND_INTERSTICIAL[[#This Row],[ϴn]]&gt;=0,610.5*EXP((17.269*COND_INTERSTICIAL[[#This Row],[ϴn]])/(237.3+COND_INTERSTICIAL[[#This Row],[ϴn]])),610.5*EXP((21.875*COND_INTERSTICIAL[[#This Row],[ϴn]])/(265.5+COND_INTERSTICIAL[[#This Row],[ϴn]])))</f>
        <v>#N/A</v>
      </c>
      <c r="DF69" s="90" t="e" cm="1">
        <f t="array" aca="1" ref="DF69" ca="1">COND_INTERSTICIAL[[#This Row],[S''d]]*((INDEX(CLIMA[Pi],COND_INTERSTICIAL[[#This Row],[Mes]])-INDEX(CLIMA[Pe],COND_INTERSTICIAL[[#This Row],[Mes]]))/INDEX(SECCIONES[SdT],COND_INTERSTICIAL[[#This Row],[Sección]]))+INDEX(CLIMA[Pe],COND_INTERSTICIAL[[#This Row],[Mes]])</f>
        <v>#N/A</v>
      </c>
      <c r="DG69" s="108" t="e">
        <f ca="1">IF((COND_INTERSTICIAL[[#This Row],[Pn]]&gt;=COND_INTERSTICIAL[[#This Row],[Psat]]),TRUE,FALSE)</f>
        <v>#N/A</v>
      </c>
      <c r="DH69" s="109" t="e" cm="1">
        <f t="array" aca="1" ref="DH69" ca="1">IF(COND_INTERSTICIAL[[#This Row],[Condensa]],COND_INTERSTICIAL[[#This Row],[Psat]],IF(COND_INTERSTICIAL[[#This Row],[Capa]]=N_capas,COND_INTERSTICIAL[[#This Row],[Pn]],""))</f>
        <v>#N/A</v>
      </c>
      <c r="DI69" s="109" t="e">
        <f ca="1">COND_INTERSTICIAL[[#This Row],[Mes]]&amp;"-"&amp;COND_INTERSTICIAL[[#This Row],[Sección]]&amp;"-"&amp;COND_INTERSTICIAL[[#This Row],[tramo cond]]</f>
        <v>#N/A</v>
      </c>
      <c r="DJ69" t="e" cm="1">
        <f t="array" aca="1" ref="DJ69" ca="1">IF(COND_INTERSTICIAL[[#This Row],[Capa]]=1,IF(COND_INTERSTICIAL[[#This Row],[Condensa]],2,1),IF(COND_INTERSTICIAL[[#This Row],[Condensa]],1,0)+INDIRECT(ADDRESS(ROW()-1,COLUMN(),4)))</f>
        <v>#N/A</v>
      </c>
      <c r="DK69" s="108" t="e" cm="1">
        <f t="array" aca="1" ref="DK69" ca="1">IF(COND_INTERSTICIAL[[#This Row],[tramo cond]]=1,0,IF((COND_INTERSTICIAL[[#This Row],[tramo cond]]&gt;INDIRECT(ADDRESS(ROW()-1,COLUMN(COND_INTERSTICIAL[[#This Row],[tramo cond]]),4)))+COND_INTERSTICIAL[[#This Row],[Condensa]],COND_INTERSTICIAL[[#This Row],[Capa]],INDIRECT(ADDRESS(ROW()-1,COLUMN(),4))))</f>
        <v>#N/A</v>
      </c>
      <c r="DL69" s="108" t="e" cm="1">
        <f t="array" aca="1" ref="DL69" ca="1">IF((COND_INTERSTICIAL[[#This Row],[Capa]]=N_capas)+(COND_INTERSTICIAL[[#This Row],[tramo cond]]=COUNTIFS(COND_INTERSTICIAL[Condensa],TRUE,COND_INTERSTICIAL[Mes],CW69,COND_INTERSTICIAL[Sección],CX69)+1),N_capas,INDEX(COND_INTERSTICIAL[capa lím inf cond],MATCH(COND_INTERSTICIAL[[#This Row],[Mes]]&amp;"-"&amp;COND_INTERSTICIAL[[#This Row],[Sección]]&amp;"-"&amp;(COND_INTERSTICIAL[[#This Row],[tramo cond]]+1),COND_INTERSTICIAL[llave tramo cond],0)))</f>
        <v>#N/A</v>
      </c>
      <c r="DM69" s="108" cm="1">
        <f t="array" aca="1" ref="DM6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9" s="110" t="e" cm="1">
        <f t="array" aca="1" ref="DN6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9" s="107" t="e">
        <f ca="1">COND_INTERSTICIAL[[#This Row],[gc]]+COND_INTERSTICIAL[[#This Row],[Ma_anterior cond]]</f>
        <v>#N/A</v>
      </c>
      <c r="DQ69" s="113" t="e">
        <f ca="1">IF((COND_INTERSTICIAL[[#This Row],[Ma_anterior cond]]&gt;0)*NOT(COND_INTERSTICIAL[[#This Row],[Condensa]]),TRUE,FALSE)</f>
        <v>#N/A</v>
      </c>
      <c r="DR69" s="112" t="e" cm="1">
        <f t="array" aca="1" ref="DR69" ca="1">IF(COND_INTERSTICIAL[[#This Row],[evapora]],COND_INTERSTICIAL[[#This Row],[Psat]],IF(COND_INTERSTICIAL[[#This Row],[Capa]]=N_capas,COND_INTERSTICIAL[[#This Row],[Pn]],""))</f>
        <v>#N/A</v>
      </c>
      <c r="DS69" s="112" t="e">
        <f ca="1">COND_INTERSTICIAL[[#This Row],[Mes]]&amp;"-"&amp;COND_INTERSTICIAL[[#This Row],[Sección]]&amp;"-"&amp;COND_INTERSTICIAL[[#This Row],[tramo ev]]</f>
        <v>#N/A</v>
      </c>
      <c r="DT69" s="111" t="e" cm="1">
        <f t="array" aca="1" ref="DT69" ca="1">IF(COND_INTERSTICIAL[[#This Row],[Capa]]=1,IF(COND_INTERSTICIAL[[#This Row],[evapora]],2,1),IF(COND_INTERSTICIAL[[#This Row],[evapora]],1,0)+INDIRECT(ADDRESS(ROW()-1,COLUMN(),4)))</f>
        <v>#N/A</v>
      </c>
      <c r="DU69" s="111" t="e" cm="1">
        <f t="array" aca="1" ref="DU69" ca="1">IF(COND_INTERSTICIAL[[#This Row],[tramo ev]]=1,0,IF((COND_INTERSTICIAL[[#This Row],[tramo ev]]&gt;INDIRECT(ADDRESS(ROW()-1,COLUMN(COND_INTERSTICIAL[[#This Row],[tramo ev]]),4)))+COND_INTERSTICIAL[[#This Row],[evapora]],COND_INTERSTICIAL[[#This Row],[Capa]],INDIRECT(ADDRESS(ROW()-1,COLUMN(),4))))</f>
        <v>#N/A</v>
      </c>
      <c r="DV69" s="111" t="e" cm="1">
        <f t="array" aca="1" ref="DV69" ca="1">IF((COND_INTERSTICIAL[[#This Row],[Capa]]=N_capas)+(COND_INTERSTICIAL[[#This Row],[tramo ev]]=COUNTIFS(COND_INTERSTICIAL[evapora],TRUE,COND_INTERSTICIAL[Mes],CW69,COND_INTERSTICIAL[Sección],CX69)+1),N_capas,INDEX(COND_INTERSTICIAL[capa lím inf ev],MATCH(COND_INTERSTICIAL[[#This Row],[Mes]]&amp;"-"&amp;COND_INTERSTICIAL[[#This Row],[Sección]]&amp;"-"&amp;(COND_INTERSTICIAL[[#This Row],[tramo ev]]+1),COND_INTERSTICIAL[llave tramo ev],0)))</f>
        <v>#N/A</v>
      </c>
      <c r="DW69" s="111" cm="1">
        <f t="array" aca="1" ref="DW6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9" s="113" t="e" cm="1">
        <f t="array" aca="1" ref="DX6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69" s="113" t="e">
        <f ca="1">COND_INTERSTICIAL[[#This Row],[gev]]+COND_INTERSTICIAL[[#This Row],[Ma anterior ev]]</f>
        <v>#N/A</v>
      </c>
      <c r="EA69" s="115" t="e">
        <f ca="1">IF(COND_INTERSTICIAL[[#This Row],[Ma cond]]+COND_INTERSTICIAL[[#This Row],[Ma ev]]&lt;=0,0,COND_INTERSTICIAL[[#This Row],[Ma cond]]+COND_INTERSTICIAL[[#This Row],[Ma ev]])</f>
        <v>#N/A</v>
      </c>
      <c r="EB69" s="115" t="e">
        <f ca="1">IF(COND_INTERSTICIAL[[#This Row],[Ma]]&gt;0,TRUE,FALSE)</f>
        <v>#N/A</v>
      </c>
      <c r="EC69" s="115" t="e" cm="1">
        <f t="array" aca="1" ref="EC69" ca="1">IF(COND_INTERSTICIAL[[#This Row],[agua líquida]],IF(COND_INTERSTICIAL[[#This Row],[Condensa]],COND_INTERSTICIAL[[#This Row],[P límite cond]],COND_INTERSTICIAL[[#This Row],[P límite ev]]),IF(COND_INTERSTICIAL[[#This Row],[Capa]]=N_capas,COND_INTERSTICIAL[[#This Row],[Pn]],""))</f>
        <v>#N/A</v>
      </c>
      <c r="ED69" s="115" t="e">
        <f ca="1">COND_INTERSTICIAL[[#This Row],[Mes]]&amp;"-"&amp;COND_INTERSTICIAL[[#This Row],[Sección]]&amp;"-"&amp;COND_INTERSTICIAL[[#This Row],[tramo gráf]]</f>
        <v>#N/A</v>
      </c>
      <c r="EE69" s="114" t="e" cm="1">
        <f t="array" aca="1" ref="EE69" ca="1">IF(COND_INTERSTICIAL[[#This Row],[Capa]]=1,IF(COND_INTERSTICIAL[[#This Row],[agua líquida]],2,1),IF(COND_INTERSTICIAL[[#This Row],[agua líquida]],1,0)+INDIRECT(ADDRESS(ROW()-1,COLUMN(),4)))</f>
        <v>#N/A</v>
      </c>
      <c r="EF69" s="114" t="e" cm="1">
        <f t="array" aca="1" ref="EF69" ca="1">IF(COND_INTERSTICIAL[[#This Row],[tramo gráf]]=1,0,IF((COND_INTERSTICIAL[[#This Row],[tramo gráf]]&gt;INDIRECT(ADDRESS(ROW()-1,COLUMN(COND_INTERSTICIAL[[#This Row],[tramo gráf]]),4)))+COND_INTERSTICIAL[[#This Row],[agua líquida]],COND_INTERSTICIAL[[#This Row],[Capa]],INDIRECT(ADDRESS(ROW()-1,COLUMN(),4))))</f>
        <v>#N/A</v>
      </c>
      <c r="EG69" s="114" t="e" cm="1">
        <f t="array" aca="1" ref="EG69" ca="1">IF((COND_INTERSTICIAL[[#This Row],[Capa]]=N_capas)+(COND_INTERSTICIAL[[#This Row],[tramo gráf]]=COUNTIFS(COND_INTERSTICIAL[agua líquida],TRUE,COND_INTERSTICIAL[Mes],CW69,COND_INTERSTICIAL[Sección],CX69)+1),N_capas,INDEX(COND_INTERSTICIAL[capa lím inf gráf],MATCH(COND_INTERSTICIAL[[#This Row],[Mes]]&amp;"-"&amp;COND_INTERSTICIAL[[#This Row],[Sección]]&amp;"-"&amp;(COND_INTERSTICIAL[[#This Row],[tramo gráf]]+1),COND_INTERSTICIAL[llave tramo gráf],0)))</f>
        <v>#N/A</v>
      </c>
      <c r="EH69" s="114" cm="1">
        <f t="array" aca="1" ref="EH6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9" s="116" t="e" cm="1">
        <f t="array" aca="1" ref="EI6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0" spans="32:139" x14ac:dyDescent="0.45">
      <c r="CW70" s="1" cm="1">
        <f t="array" ref="CW70">ROUNDUP((ROW()-$CN$18+(Mes_inicial_de_análisis-1)*N_capas*N_secciones)/(N_capas*N_secciones),0)-12*IF(ROW()-$CN$18&gt;(12-Mes_inicial_de_análisis+1)*N_capas*N_secciones,1,0)</f>
        <v>10</v>
      </c>
      <c r="CX70" cm="1">
        <f t="array" ref="CX70">ROUNDUP((ROW()-$CN$18)/N_capas-(ROUNDUP((ROW()-$CN$18)/(N_capas*N_secciones),0)-1)*N_secciones,0)</f>
        <v>2</v>
      </c>
      <c r="CY70" cm="1">
        <f t="array" ref="CY70">(ROW()-$CN$18)-(COND_INTERSTICIAL[[#This Row],[Sección]]-1)*N_capas-(ROUNDUP((ROW()-$CN$18)/(N_capas*N_secciones),0)-1)*N_capas*N_secciones</f>
        <v>2</v>
      </c>
      <c r="CZ70" t="str">
        <f>COND_INTERSTICIAL[[#This Row],[Mes]]&amp;"-"&amp;COND_INTERSTICIAL[[#This Row],[Sección]]&amp;"-"&amp;COND_INTERSTICIAL[[#This Row],[Capa]]</f>
        <v>10-2-2</v>
      </c>
      <c r="DA70">
        <f ca="1">INDEX(SECCIONES_CAPAS[R''n],MATCH(COND_INTERSTICIAL[[#This Row],[Sección]]&amp;"-"&amp;COND_INTERSTICIAL[[#This Row],[Capa]],SECCIONES_CAPAS[llave],0))</f>
        <v>0.04</v>
      </c>
      <c r="DB70" s="172" t="e" cm="1">
        <f t="array" aca="1" ref="DB70" ca="1">INDEX(CLIMA[ϴe],COND_INTERSTICIAL[[#This Row],[Mes]])+COND_INTERSTICIAL[[#This Row],[Rn]]*(INDEX(CLIMA[ϴi],COND_INTERSTICIAL[[#This Row],[Mes]])-INDEX(CLIMA[ϴe],COND_INTERSTICIAL[[#This Row],[Mes]]))/(INDEX(SECCIONES[Rtsección_condensación],COND_INTERSTICIAL[[#This Row],[Sección]]))</f>
        <v>#N/A</v>
      </c>
      <c r="DC70">
        <f>INDEX(SECCIONES_CAPAS[Sd],MATCH(COND_INTERSTICIAL[[#This Row],[Sección]]&amp;"-"&amp;COND_INTERSTICIAL[[#This Row],[Capa]],SECCIONES_CAPAS[llave],0))</f>
        <v>0</v>
      </c>
      <c r="DD70">
        <f ca="1">INDEX(SECCIONES_CAPAS[S''d],MATCH(COND_INTERSTICIAL[[#This Row],[Sección]]&amp;"-"&amp;COND_INTERSTICIAL[[#This Row],[Capa]],SECCIONES_CAPAS[llave],0))</f>
        <v>0</v>
      </c>
      <c r="DE70" s="90" t="e">
        <f ca="1">IF(COND_INTERSTICIAL[[#This Row],[ϴn]]&gt;=0,610.5*EXP((17.269*COND_INTERSTICIAL[[#This Row],[ϴn]])/(237.3+COND_INTERSTICIAL[[#This Row],[ϴn]])),610.5*EXP((21.875*COND_INTERSTICIAL[[#This Row],[ϴn]])/(265.5+COND_INTERSTICIAL[[#This Row],[ϴn]])))</f>
        <v>#N/A</v>
      </c>
      <c r="DF70" s="90" t="e" cm="1">
        <f t="array" aca="1" ref="DF70" ca="1">COND_INTERSTICIAL[[#This Row],[S''d]]*((INDEX(CLIMA[Pi],COND_INTERSTICIAL[[#This Row],[Mes]])-INDEX(CLIMA[Pe],COND_INTERSTICIAL[[#This Row],[Mes]]))/INDEX(SECCIONES[SdT],COND_INTERSTICIAL[[#This Row],[Sección]]))+INDEX(CLIMA[Pe],COND_INTERSTICIAL[[#This Row],[Mes]])</f>
        <v>#N/A</v>
      </c>
      <c r="DG70" s="108" t="e">
        <f ca="1">IF((COND_INTERSTICIAL[[#This Row],[Pn]]&gt;=COND_INTERSTICIAL[[#This Row],[Psat]]),TRUE,FALSE)</f>
        <v>#N/A</v>
      </c>
      <c r="DH70" s="109" t="e" cm="1">
        <f t="array" aca="1" ref="DH70" ca="1">IF(COND_INTERSTICIAL[[#This Row],[Condensa]],COND_INTERSTICIAL[[#This Row],[Psat]],IF(COND_INTERSTICIAL[[#This Row],[Capa]]=N_capas,COND_INTERSTICIAL[[#This Row],[Pn]],""))</f>
        <v>#N/A</v>
      </c>
      <c r="DI70" s="109" t="e">
        <f ca="1">COND_INTERSTICIAL[[#This Row],[Mes]]&amp;"-"&amp;COND_INTERSTICIAL[[#This Row],[Sección]]&amp;"-"&amp;COND_INTERSTICIAL[[#This Row],[tramo cond]]</f>
        <v>#N/A</v>
      </c>
      <c r="DJ70" t="e" cm="1">
        <f t="array" aca="1" ref="DJ70" ca="1">IF(COND_INTERSTICIAL[[#This Row],[Capa]]=1,IF(COND_INTERSTICIAL[[#This Row],[Condensa]],2,1),IF(COND_INTERSTICIAL[[#This Row],[Condensa]],1,0)+INDIRECT(ADDRESS(ROW()-1,COLUMN(),4)))</f>
        <v>#N/A</v>
      </c>
      <c r="DK70" s="108" t="e" cm="1">
        <f t="array" aca="1" ref="DK70" ca="1">IF(COND_INTERSTICIAL[[#This Row],[tramo cond]]=1,0,IF((COND_INTERSTICIAL[[#This Row],[tramo cond]]&gt;INDIRECT(ADDRESS(ROW()-1,COLUMN(COND_INTERSTICIAL[[#This Row],[tramo cond]]),4)))+COND_INTERSTICIAL[[#This Row],[Condensa]],COND_INTERSTICIAL[[#This Row],[Capa]],INDIRECT(ADDRESS(ROW()-1,COLUMN(),4))))</f>
        <v>#N/A</v>
      </c>
      <c r="DL70" s="108" t="e" cm="1">
        <f t="array" aca="1" ref="DL70" ca="1">IF((COND_INTERSTICIAL[[#This Row],[Capa]]=N_capas)+(COND_INTERSTICIAL[[#This Row],[tramo cond]]=COUNTIFS(COND_INTERSTICIAL[Condensa],TRUE,COND_INTERSTICIAL[Mes],CW70,COND_INTERSTICIAL[Sección],CX70)+1),N_capas,INDEX(COND_INTERSTICIAL[capa lím inf cond],MATCH(COND_INTERSTICIAL[[#This Row],[Mes]]&amp;"-"&amp;COND_INTERSTICIAL[[#This Row],[Sección]]&amp;"-"&amp;(COND_INTERSTICIAL[[#This Row],[tramo cond]]+1),COND_INTERSTICIAL[llave tramo cond],0)))</f>
        <v>#N/A</v>
      </c>
      <c r="DM70" s="108" cm="1">
        <f t="array" aca="1" ref="DM7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0" s="110" t="e" cm="1">
        <f t="array" aca="1" ref="DN7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0" s="107" t="e">
        <f ca="1">COND_INTERSTICIAL[[#This Row],[gc]]+COND_INTERSTICIAL[[#This Row],[Ma_anterior cond]]</f>
        <v>#N/A</v>
      </c>
      <c r="DQ70" s="113" t="e">
        <f ca="1">IF((COND_INTERSTICIAL[[#This Row],[Ma_anterior cond]]&gt;0)*NOT(COND_INTERSTICIAL[[#This Row],[Condensa]]),TRUE,FALSE)</f>
        <v>#N/A</v>
      </c>
      <c r="DR70" s="112" t="e" cm="1">
        <f t="array" aca="1" ref="DR70" ca="1">IF(COND_INTERSTICIAL[[#This Row],[evapora]],COND_INTERSTICIAL[[#This Row],[Psat]],IF(COND_INTERSTICIAL[[#This Row],[Capa]]=N_capas,COND_INTERSTICIAL[[#This Row],[Pn]],""))</f>
        <v>#N/A</v>
      </c>
      <c r="DS70" s="112" t="e">
        <f ca="1">COND_INTERSTICIAL[[#This Row],[Mes]]&amp;"-"&amp;COND_INTERSTICIAL[[#This Row],[Sección]]&amp;"-"&amp;COND_INTERSTICIAL[[#This Row],[tramo ev]]</f>
        <v>#N/A</v>
      </c>
      <c r="DT70" s="111" t="e" cm="1">
        <f t="array" aca="1" ref="DT70" ca="1">IF(COND_INTERSTICIAL[[#This Row],[Capa]]=1,IF(COND_INTERSTICIAL[[#This Row],[evapora]],2,1),IF(COND_INTERSTICIAL[[#This Row],[evapora]],1,0)+INDIRECT(ADDRESS(ROW()-1,COLUMN(),4)))</f>
        <v>#N/A</v>
      </c>
      <c r="DU70" s="111" t="e" cm="1">
        <f t="array" aca="1" ref="DU70" ca="1">IF(COND_INTERSTICIAL[[#This Row],[tramo ev]]=1,0,IF((COND_INTERSTICIAL[[#This Row],[tramo ev]]&gt;INDIRECT(ADDRESS(ROW()-1,COLUMN(COND_INTERSTICIAL[[#This Row],[tramo ev]]),4)))+COND_INTERSTICIAL[[#This Row],[evapora]],COND_INTERSTICIAL[[#This Row],[Capa]],INDIRECT(ADDRESS(ROW()-1,COLUMN(),4))))</f>
        <v>#N/A</v>
      </c>
      <c r="DV70" s="111" t="e" cm="1">
        <f t="array" aca="1" ref="DV70" ca="1">IF((COND_INTERSTICIAL[[#This Row],[Capa]]=N_capas)+(COND_INTERSTICIAL[[#This Row],[tramo ev]]=COUNTIFS(COND_INTERSTICIAL[evapora],TRUE,COND_INTERSTICIAL[Mes],CW70,COND_INTERSTICIAL[Sección],CX70)+1),N_capas,INDEX(COND_INTERSTICIAL[capa lím inf ev],MATCH(COND_INTERSTICIAL[[#This Row],[Mes]]&amp;"-"&amp;COND_INTERSTICIAL[[#This Row],[Sección]]&amp;"-"&amp;(COND_INTERSTICIAL[[#This Row],[tramo ev]]+1),COND_INTERSTICIAL[llave tramo ev],0)))</f>
        <v>#N/A</v>
      </c>
      <c r="DW70" s="111" cm="1">
        <f t="array" aca="1" ref="DW7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0" s="113" t="e" cm="1">
        <f t="array" aca="1" ref="DX7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0" s="113" t="e">
        <f ca="1">COND_INTERSTICIAL[[#This Row],[gev]]+COND_INTERSTICIAL[[#This Row],[Ma anterior ev]]</f>
        <v>#N/A</v>
      </c>
      <c r="EA70" s="115" t="e">
        <f ca="1">IF(COND_INTERSTICIAL[[#This Row],[Ma cond]]+COND_INTERSTICIAL[[#This Row],[Ma ev]]&lt;=0,0,COND_INTERSTICIAL[[#This Row],[Ma cond]]+COND_INTERSTICIAL[[#This Row],[Ma ev]])</f>
        <v>#N/A</v>
      </c>
      <c r="EB70" s="115" t="e">
        <f ca="1">IF(COND_INTERSTICIAL[[#This Row],[Ma]]&gt;0,TRUE,FALSE)</f>
        <v>#N/A</v>
      </c>
      <c r="EC70" s="115" t="e" cm="1">
        <f t="array" aca="1" ref="EC70" ca="1">IF(COND_INTERSTICIAL[[#This Row],[agua líquida]],IF(COND_INTERSTICIAL[[#This Row],[Condensa]],COND_INTERSTICIAL[[#This Row],[P límite cond]],COND_INTERSTICIAL[[#This Row],[P límite ev]]),IF(COND_INTERSTICIAL[[#This Row],[Capa]]=N_capas,COND_INTERSTICIAL[[#This Row],[Pn]],""))</f>
        <v>#N/A</v>
      </c>
      <c r="ED70" s="115" t="e">
        <f ca="1">COND_INTERSTICIAL[[#This Row],[Mes]]&amp;"-"&amp;COND_INTERSTICIAL[[#This Row],[Sección]]&amp;"-"&amp;COND_INTERSTICIAL[[#This Row],[tramo gráf]]</f>
        <v>#N/A</v>
      </c>
      <c r="EE70" s="114" t="e" cm="1">
        <f t="array" aca="1" ref="EE70" ca="1">IF(COND_INTERSTICIAL[[#This Row],[Capa]]=1,IF(COND_INTERSTICIAL[[#This Row],[agua líquida]],2,1),IF(COND_INTERSTICIAL[[#This Row],[agua líquida]],1,0)+INDIRECT(ADDRESS(ROW()-1,COLUMN(),4)))</f>
        <v>#N/A</v>
      </c>
      <c r="EF70" s="114" t="e" cm="1">
        <f t="array" aca="1" ref="EF70" ca="1">IF(COND_INTERSTICIAL[[#This Row],[tramo gráf]]=1,0,IF((COND_INTERSTICIAL[[#This Row],[tramo gráf]]&gt;INDIRECT(ADDRESS(ROW()-1,COLUMN(COND_INTERSTICIAL[[#This Row],[tramo gráf]]),4)))+COND_INTERSTICIAL[[#This Row],[agua líquida]],COND_INTERSTICIAL[[#This Row],[Capa]],INDIRECT(ADDRESS(ROW()-1,COLUMN(),4))))</f>
        <v>#N/A</v>
      </c>
      <c r="EG70" s="114" t="e" cm="1">
        <f t="array" aca="1" ref="EG70" ca="1">IF((COND_INTERSTICIAL[[#This Row],[Capa]]=N_capas)+(COND_INTERSTICIAL[[#This Row],[tramo gráf]]=COUNTIFS(COND_INTERSTICIAL[agua líquida],TRUE,COND_INTERSTICIAL[Mes],CW70,COND_INTERSTICIAL[Sección],CX70)+1),N_capas,INDEX(COND_INTERSTICIAL[capa lím inf gráf],MATCH(COND_INTERSTICIAL[[#This Row],[Mes]]&amp;"-"&amp;COND_INTERSTICIAL[[#This Row],[Sección]]&amp;"-"&amp;(COND_INTERSTICIAL[[#This Row],[tramo gráf]]+1),COND_INTERSTICIAL[llave tramo gráf],0)))</f>
        <v>#N/A</v>
      </c>
      <c r="EH70" s="114" cm="1">
        <f t="array" aca="1" ref="EH7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0" s="116" t="e" cm="1">
        <f t="array" aca="1" ref="EI7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1" spans="32:139" x14ac:dyDescent="0.45">
      <c r="CW71" s="1" cm="1">
        <f t="array" ref="CW71">ROUNDUP((ROW()-$CN$18+(Mes_inicial_de_análisis-1)*N_capas*N_secciones)/(N_capas*N_secciones),0)-12*IF(ROW()-$CN$18&gt;(12-Mes_inicial_de_análisis+1)*N_capas*N_secciones,1,0)</f>
        <v>10</v>
      </c>
      <c r="CX71" cm="1">
        <f t="array" ref="CX71">ROUNDUP((ROW()-$CN$18)/N_capas-(ROUNDUP((ROW()-$CN$18)/(N_capas*N_secciones),0)-1)*N_secciones,0)</f>
        <v>2</v>
      </c>
      <c r="CY71" cm="1">
        <f t="array" ref="CY71">(ROW()-$CN$18)-(COND_INTERSTICIAL[[#This Row],[Sección]]-1)*N_capas-(ROUNDUP((ROW()-$CN$18)/(N_capas*N_secciones),0)-1)*N_capas*N_secciones</f>
        <v>3</v>
      </c>
      <c r="CZ71" t="str">
        <f>COND_INTERSTICIAL[[#This Row],[Mes]]&amp;"-"&amp;COND_INTERSTICIAL[[#This Row],[Sección]]&amp;"-"&amp;COND_INTERSTICIAL[[#This Row],[Capa]]</f>
        <v>10-2-3</v>
      </c>
      <c r="DA71">
        <f ca="1">INDEX(SECCIONES_CAPAS[R''n],MATCH(COND_INTERSTICIAL[[#This Row],[Sección]]&amp;"-"&amp;COND_INTERSTICIAL[[#This Row],[Capa]],SECCIONES_CAPAS[llave],0))</f>
        <v>0.04</v>
      </c>
      <c r="DB71" s="172" t="e" cm="1">
        <f t="array" aca="1" ref="DB71" ca="1">INDEX(CLIMA[ϴe],COND_INTERSTICIAL[[#This Row],[Mes]])+COND_INTERSTICIAL[[#This Row],[Rn]]*(INDEX(CLIMA[ϴi],COND_INTERSTICIAL[[#This Row],[Mes]])-INDEX(CLIMA[ϴe],COND_INTERSTICIAL[[#This Row],[Mes]]))/(INDEX(SECCIONES[Rtsección_condensación],COND_INTERSTICIAL[[#This Row],[Sección]]))</f>
        <v>#N/A</v>
      </c>
      <c r="DC71">
        <f>INDEX(SECCIONES_CAPAS[Sd],MATCH(COND_INTERSTICIAL[[#This Row],[Sección]]&amp;"-"&amp;COND_INTERSTICIAL[[#This Row],[Capa]],SECCIONES_CAPAS[llave],0))</f>
        <v>0</v>
      </c>
      <c r="DD71">
        <f ca="1">INDEX(SECCIONES_CAPAS[S''d],MATCH(COND_INTERSTICIAL[[#This Row],[Sección]]&amp;"-"&amp;COND_INTERSTICIAL[[#This Row],[Capa]],SECCIONES_CAPAS[llave],0))</f>
        <v>0</v>
      </c>
      <c r="DE71" s="90" t="e">
        <f ca="1">IF(COND_INTERSTICIAL[[#This Row],[ϴn]]&gt;=0,610.5*EXP((17.269*COND_INTERSTICIAL[[#This Row],[ϴn]])/(237.3+COND_INTERSTICIAL[[#This Row],[ϴn]])),610.5*EXP((21.875*COND_INTERSTICIAL[[#This Row],[ϴn]])/(265.5+COND_INTERSTICIAL[[#This Row],[ϴn]])))</f>
        <v>#N/A</v>
      </c>
      <c r="DF71" s="90" t="e" cm="1">
        <f t="array" aca="1" ref="DF71" ca="1">COND_INTERSTICIAL[[#This Row],[S''d]]*((INDEX(CLIMA[Pi],COND_INTERSTICIAL[[#This Row],[Mes]])-INDEX(CLIMA[Pe],COND_INTERSTICIAL[[#This Row],[Mes]]))/INDEX(SECCIONES[SdT],COND_INTERSTICIAL[[#This Row],[Sección]]))+INDEX(CLIMA[Pe],COND_INTERSTICIAL[[#This Row],[Mes]])</f>
        <v>#N/A</v>
      </c>
      <c r="DG71" s="108" t="e">
        <f ca="1">IF((COND_INTERSTICIAL[[#This Row],[Pn]]&gt;=COND_INTERSTICIAL[[#This Row],[Psat]]),TRUE,FALSE)</f>
        <v>#N/A</v>
      </c>
      <c r="DH71" s="109" t="e" cm="1">
        <f t="array" aca="1" ref="DH71" ca="1">IF(COND_INTERSTICIAL[[#This Row],[Condensa]],COND_INTERSTICIAL[[#This Row],[Psat]],IF(COND_INTERSTICIAL[[#This Row],[Capa]]=N_capas,COND_INTERSTICIAL[[#This Row],[Pn]],""))</f>
        <v>#N/A</v>
      </c>
      <c r="DI71" s="109" t="e">
        <f ca="1">COND_INTERSTICIAL[[#This Row],[Mes]]&amp;"-"&amp;COND_INTERSTICIAL[[#This Row],[Sección]]&amp;"-"&amp;COND_INTERSTICIAL[[#This Row],[tramo cond]]</f>
        <v>#N/A</v>
      </c>
      <c r="DJ71" t="e" cm="1">
        <f t="array" aca="1" ref="DJ71" ca="1">IF(COND_INTERSTICIAL[[#This Row],[Capa]]=1,IF(COND_INTERSTICIAL[[#This Row],[Condensa]],2,1),IF(COND_INTERSTICIAL[[#This Row],[Condensa]],1,0)+INDIRECT(ADDRESS(ROW()-1,COLUMN(),4)))</f>
        <v>#N/A</v>
      </c>
      <c r="DK71" s="108" t="e" cm="1">
        <f t="array" aca="1" ref="DK71" ca="1">IF(COND_INTERSTICIAL[[#This Row],[tramo cond]]=1,0,IF((COND_INTERSTICIAL[[#This Row],[tramo cond]]&gt;INDIRECT(ADDRESS(ROW()-1,COLUMN(COND_INTERSTICIAL[[#This Row],[tramo cond]]),4)))+COND_INTERSTICIAL[[#This Row],[Condensa]],COND_INTERSTICIAL[[#This Row],[Capa]],INDIRECT(ADDRESS(ROW()-1,COLUMN(),4))))</f>
        <v>#N/A</v>
      </c>
      <c r="DL71" s="108" t="e" cm="1">
        <f t="array" aca="1" ref="DL71" ca="1">IF((COND_INTERSTICIAL[[#This Row],[Capa]]=N_capas)+(COND_INTERSTICIAL[[#This Row],[tramo cond]]=COUNTIFS(COND_INTERSTICIAL[Condensa],TRUE,COND_INTERSTICIAL[Mes],CW71,COND_INTERSTICIAL[Sección],CX71)+1),N_capas,INDEX(COND_INTERSTICIAL[capa lím inf cond],MATCH(COND_INTERSTICIAL[[#This Row],[Mes]]&amp;"-"&amp;COND_INTERSTICIAL[[#This Row],[Sección]]&amp;"-"&amp;(COND_INTERSTICIAL[[#This Row],[tramo cond]]+1),COND_INTERSTICIAL[llave tramo cond],0)))</f>
        <v>#N/A</v>
      </c>
      <c r="DM71" s="108" cm="1">
        <f t="array" aca="1" ref="DM7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1" s="110" t="e" cm="1">
        <f t="array" aca="1" ref="DN7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1" s="107" t="e">
        <f ca="1">COND_INTERSTICIAL[[#This Row],[gc]]+COND_INTERSTICIAL[[#This Row],[Ma_anterior cond]]</f>
        <v>#N/A</v>
      </c>
      <c r="DQ71" s="113" t="e">
        <f ca="1">IF((COND_INTERSTICIAL[[#This Row],[Ma_anterior cond]]&gt;0)*NOT(COND_INTERSTICIAL[[#This Row],[Condensa]]),TRUE,FALSE)</f>
        <v>#N/A</v>
      </c>
      <c r="DR71" s="112" t="e" cm="1">
        <f t="array" aca="1" ref="DR71" ca="1">IF(COND_INTERSTICIAL[[#This Row],[evapora]],COND_INTERSTICIAL[[#This Row],[Psat]],IF(COND_INTERSTICIAL[[#This Row],[Capa]]=N_capas,COND_INTERSTICIAL[[#This Row],[Pn]],""))</f>
        <v>#N/A</v>
      </c>
      <c r="DS71" s="112" t="e">
        <f ca="1">COND_INTERSTICIAL[[#This Row],[Mes]]&amp;"-"&amp;COND_INTERSTICIAL[[#This Row],[Sección]]&amp;"-"&amp;COND_INTERSTICIAL[[#This Row],[tramo ev]]</f>
        <v>#N/A</v>
      </c>
      <c r="DT71" s="111" t="e" cm="1">
        <f t="array" aca="1" ref="DT71" ca="1">IF(COND_INTERSTICIAL[[#This Row],[Capa]]=1,IF(COND_INTERSTICIAL[[#This Row],[evapora]],2,1),IF(COND_INTERSTICIAL[[#This Row],[evapora]],1,0)+INDIRECT(ADDRESS(ROW()-1,COLUMN(),4)))</f>
        <v>#N/A</v>
      </c>
      <c r="DU71" s="111" t="e" cm="1">
        <f t="array" aca="1" ref="DU71" ca="1">IF(COND_INTERSTICIAL[[#This Row],[tramo ev]]=1,0,IF((COND_INTERSTICIAL[[#This Row],[tramo ev]]&gt;INDIRECT(ADDRESS(ROW()-1,COLUMN(COND_INTERSTICIAL[[#This Row],[tramo ev]]),4)))+COND_INTERSTICIAL[[#This Row],[evapora]],COND_INTERSTICIAL[[#This Row],[Capa]],INDIRECT(ADDRESS(ROW()-1,COLUMN(),4))))</f>
        <v>#N/A</v>
      </c>
      <c r="DV71" s="111" t="e" cm="1">
        <f t="array" aca="1" ref="DV71" ca="1">IF((COND_INTERSTICIAL[[#This Row],[Capa]]=N_capas)+(COND_INTERSTICIAL[[#This Row],[tramo ev]]=COUNTIFS(COND_INTERSTICIAL[evapora],TRUE,COND_INTERSTICIAL[Mes],CW71,COND_INTERSTICIAL[Sección],CX71)+1),N_capas,INDEX(COND_INTERSTICIAL[capa lím inf ev],MATCH(COND_INTERSTICIAL[[#This Row],[Mes]]&amp;"-"&amp;COND_INTERSTICIAL[[#This Row],[Sección]]&amp;"-"&amp;(COND_INTERSTICIAL[[#This Row],[tramo ev]]+1),COND_INTERSTICIAL[llave tramo ev],0)))</f>
        <v>#N/A</v>
      </c>
      <c r="DW71" s="111" cm="1">
        <f t="array" aca="1" ref="DW7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1" s="113" t="e" cm="1">
        <f t="array" aca="1" ref="DX7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1" s="113" t="e">
        <f ca="1">COND_INTERSTICIAL[[#This Row],[gev]]+COND_INTERSTICIAL[[#This Row],[Ma anterior ev]]</f>
        <v>#N/A</v>
      </c>
      <c r="EA71" s="115" t="e">
        <f ca="1">IF(COND_INTERSTICIAL[[#This Row],[Ma cond]]+COND_INTERSTICIAL[[#This Row],[Ma ev]]&lt;=0,0,COND_INTERSTICIAL[[#This Row],[Ma cond]]+COND_INTERSTICIAL[[#This Row],[Ma ev]])</f>
        <v>#N/A</v>
      </c>
      <c r="EB71" s="115" t="e">
        <f ca="1">IF(COND_INTERSTICIAL[[#This Row],[Ma]]&gt;0,TRUE,FALSE)</f>
        <v>#N/A</v>
      </c>
      <c r="EC71" s="115" t="e" cm="1">
        <f t="array" aca="1" ref="EC71" ca="1">IF(COND_INTERSTICIAL[[#This Row],[agua líquida]],IF(COND_INTERSTICIAL[[#This Row],[Condensa]],COND_INTERSTICIAL[[#This Row],[P límite cond]],COND_INTERSTICIAL[[#This Row],[P límite ev]]),IF(COND_INTERSTICIAL[[#This Row],[Capa]]=N_capas,COND_INTERSTICIAL[[#This Row],[Pn]],""))</f>
        <v>#N/A</v>
      </c>
      <c r="ED71" s="115" t="e">
        <f ca="1">COND_INTERSTICIAL[[#This Row],[Mes]]&amp;"-"&amp;COND_INTERSTICIAL[[#This Row],[Sección]]&amp;"-"&amp;COND_INTERSTICIAL[[#This Row],[tramo gráf]]</f>
        <v>#N/A</v>
      </c>
      <c r="EE71" s="114" t="e" cm="1">
        <f t="array" aca="1" ref="EE71" ca="1">IF(COND_INTERSTICIAL[[#This Row],[Capa]]=1,IF(COND_INTERSTICIAL[[#This Row],[agua líquida]],2,1),IF(COND_INTERSTICIAL[[#This Row],[agua líquida]],1,0)+INDIRECT(ADDRESS(ROW()-1,COLUMN(),4)))</f>
        <v>#N/A</v>
      </c>
      <c r="EF71" s="114" t="e" cm="1">
        <f t="array" aca="1" ref="EF71" ca="1">IF(COND_INTERSTICIAL[[#This Row],[tramo gráf]]=1,0,IF((COND_INTERSTICIAL[[#This Row],[tramo gráf]]&gt;INDIRECT(ADDRESS(ROW()-1,COLUMN(COND_INTERSTICIAL[[#This Row],[tramo gráf]]),4)))+COND_INTERSTICIAL[[#This Row],[agua líquida]],COND_INTERSTICIAL[[#This Row],[Capa]],INDIRECT(ADDRESS(ROW()-1,COLUMN(),4))))</f>
        <v>#N/A</v>
      </c>
      <c r="EG71" s="114" t="e" cm="1">
        <f t="array" aca="1" ref="EG71" ca="1">IF((COND_INTERSTICIAL[[#This Row],[Capa]]=N_capas)+(COND_INTERSTICIAL[[#This Row],[tramo gráf]]=COUNTIFS(COND_INTERSTICIAL[agua líquida],TRUE,COND_INTERSTICIAL[Mes],CW71,COND_INTERSTICIAL[Sección],CX71)+1),N_capas,INDEX(COND_INTERSTICIAL[capa lím inf gráf],MATCH(COND_INTERSTICIAL[[#This Row],[Mes]]&amp;"-"&amp;COND_INTERSTICIAL[[#This Row],[Sección]]&amp;"-"&amp;(COND_INTERSTICIAL[[#This Row],[tramo gráf]]+1),COND_INTERSTICIAL[llave tramo gráf],0)))</f>
        <v>#N/A</v>
      </c>
      <c r="EH71" s="114" cm="1">
        <f t="array" aca="1" ref="EH7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1" s="116" t="e" cm="1">
        <f t="array" aca="1" ref="EI7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2" spans="32:139" x14ac:dyDescent="0.45">
      <c r="CW72" s="1" cm="1">
        <f t="array" ref="CW72">ROUNDUP((ROW()-$CN$18+(Mes_inicial_de_análisis-1)*N_capas*N_secciones)/(N_capas*N_secciones),0)-12*IF(ROW()-$CN$18&gt;(12-Mes_inicial_de_análisis+1)*N_capas*N_secciones,1,0)</f>
        <v>10</v>
      </c>
      <c r="CX72" cm="1">
        <f t="array" ref="CX72">ROUNDUP((ROW()-$CN$18)/N_capas-(ROUNDUP((ROW()-$CN$18)/(N_capas*N_secciones),0)-1)*N_secciones,0)</f>
        <v>2</v>
      </c>
      <c r="CY72" cm="1">
        <f t="array" ref="CY72">(ROW()-$CN$18)-(COND_INTERSTICIAL[[#This Row],[Sección]]-1)*N_capas-(ROUNDUP((ROW()-$CN$18)/(N_capas*N_secciones),0)-1)*N_capas*N_secciones</f>
        <v>4</v>
      </c>
      <c r="CZ72" t="str">
        <f>COND_INTERSTICIAL[[#This Row],[Mes]]&amp;"-"&amp;COND_INTERSTICIAL[[#This Row],[Sección]]&amp;"-"&amp;COND_INTERSTICIAL[[#This Row],[Capa]]</f>
        <v>10-2-4</v>
      </c>
      <c r="DA72">
        <f ca="1">INDEX(SECCIONES_CAPAS[R''n],MATCH(COND_INTERSTICIAL[[#This Row],[Sección]]&amp;"-"&amp;COND_INTERSTICIAL[[#This Row],[Capa]],SECCIONES_CAPAS[llave],0))</f>
        <v>0.04</v>
      </c>
      <c r="DB72" s="172" t="e" cm="1">
        <f t="array" aca="1" ref="DB72" ca="1">INDEX(CLIMA[ϴe],COND_INTERSTICIAL[[#This Row],[Mes]])+COND_INTERSTICIAL[[#This Row],[Rn]]*(INDEX(CLIMA[ϴi],COND_INTERSTICIAL[[#This Row],[Mes]])-INDEX(CLIMA[ϴe],COND_INTERSTICIAL[[#This Row],[Mes]]))/(INDEX(SECCIONES[Rtsección_condensación],COND_INTERSTICIAL[[#This Row],[Sección]]))</f>
        <v>#N/A</v>
      </c>
      <c r="DC72">
        <f>INDEX(SECCIONES_CAPAS[Sd],MATCH(COND_INTERSTICIAL[[#This Row],[Sección]]&amp;"-"&amp;COND_INTERSTICIAL[[#This Row],[Capa]],SECCIONES_CAPAS[llave],0))</f>
        <v>0</v>
      </c>
      <c r="DD72">
        <f ca="1">INDEX(SECCIONES_CAPAS[S''d],MATCH(COND_INTERSTICIAL[[#This Row],[Sección]]&amp;"-"&amp;COND_INTERSTICIAL[[#This Row],[Capa]],SECCIONES_CAPAS[llave],0))</f>
        <v>0</v>
      </c>
      <c r="DE72" s="90" t="e">
        <f ca="1">IF(COND_INTERSTICIAL[[#This Row],[ϴn]]&gt;=0,610.5*EXP((17.269*COND_INTERSTICIAL[[#This Row],[ϴn]])/(237.3+COND_INTERSTICIAL[[#This Row],[ϴn]])),610.5*EXP((21.875*COND_INTERSTICIAL[[#This Row],[ϴn]])/(265.5+COND_INTERSTICIAL[[#This Row],[ϴn]])))</f>
        <v>#N/A</v>
      </c>
      <c r="DF72" s="90" t="e" cm="1">
        <f t="array" aca="1" ref="DF72" ca="1">COND_INTERSTICIAL[[#This Row],[S''d]]*((INDEX(CLIMA[Pi],COND_INTERSTICIAL[[#This Row],[Mes]])-INDEX(CLIMA[Pe],COND_INTERSTICIAL[[#This Row],[Mes]]))/INDEX(SECCIONES[SdT],COND_INTERSTICIAL[[#This Row],[Sección]]))+INDEX(CLIMA[Pe],COND_INTERSTICIAL[[#This Row],[Mes]])</f>
        <v>#N/A</v>
      </c>
      <c r="DG72" s="108" t="e">
        <f ca="1">IF((COND_INTERSTICIAL[[#This Row],[Pn]]&gt;=COND_INTERSTICIAL[[#This Row],[Psat]]),TRUE,FALSE)</f>
        <v>#N/A</v>
      </c>
      <c r="DH72" s="109" t="e" cm="1">
        <f t="array" aca="1" ref="DH72" ca="1">IF(COND_INTERSTICIAL[[#This Row],[Condensa]],COND_INTERSTICIAL[[#This Row],[Psat]],IF(COND_INTERSTICIAL[[#This Row],[Capa]]=N_capas,COND_INTERSTICIAL[[#This Row],[Pn]],""))</f>
        <v>#N/A</v>
      </c>
      <c r="DI72" s="109" t="e">
        <f ca="1">COND_INTERSTICIAL[[#This Row],[Mes]]&amp;"-"&amp;COND_INTERSTICIAL[[#This Row],[Sección]]&amp;"-"&amp;COND_INTERSTICIAL[[#This Row],[tramo cond]]</f>
        <v>#N/A</v>
      </c>
      <c r="DJ72" t="e" cm="1">
        <f t="array" aca="1" ref="DJ72" ca="1">IF(COND_INTERSTICIAL[[#This Row],[Capa]]=1,IF(COND_INTERSTICIAL[[#This Row],[Condensa]],2,1),IF(COND_INTERSTICIAL[[#This Row],[Condensa]],1,0)+INDIRECT(ADDRESS(ROW()-1,COLUMN(),4)))</f>
        <v>#N/A</v>
      </c>
      <c r="DK72" s="108" t="e" cm="1">
        <f t="array" aca="1" ref="DK72" ca="1">IF(COND_INTERSTICIAL[[#This Row],[tramo cond]]=1,0,IF((COND_INTERSTICIAL[[#This Row],[tramo cond]]&gt;INDIRECT(ADDRESS(ROW()-1,COLUMN(COND_INTERSTICIAL[[#This Row],[tramo cond]]),4)))+COND_INTERSTICIAL[[#This Row],[Condensa]],COND_INTERSTICIAL[[#This Row],[Capa]],INDIRECT(ADDRESS(ROW()-1,COLUMN(),4))))</f>
        <v>#N/A</v>
      </c>
      <c r="DL72" s="108" t="e" cm="1">
        <f t="array" aca="1" ref="DL72" ca="1">IF((COND_INTERSTICIAL[[#This Row],[Capa]]=N_capas)+(COND_INTERSTICIAL[[#This Row],[tramo cond]]=COUNTIFS(COND_INTERSTICIAL[Condensa],TRUE,COND_INTERSTICIAL[Mes],CW72,COND_INTERSTICIAL[Sección],CX72)+1),N_capas,INDEX(COND_INTERSTICIAL[capa lím inf cond],MATCH(COND_INTERSTICIAL[[#This Row],[Mes]]&amp;"-"&amp;COND_INTERSTICIAL[[#This Row],[Sección]]&amp;"-"&amp;(COND_INTERSTICIAL[[#This Row],[tramo cond]]+1),COND_INTERSTICIAL[llave tramo cond],0)))</f>
        <v>#N/A</v>
      </c>
      <c r="DM72" s="108" cm="1">
        <f t="array" aca="1" ref="DM7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2" s="110" t="e" cm="1">
        <f t="array" aca="1" ref="DN7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2" s="107" t="e">
        <f ca="1">COND_INTERSTICIAL[[#This Row],[gc]]+COND_INTERSTICIAL[[#This Row],[Ma_anterior cond]]</f>
        <v>#N/A</v>
      </c>
      <c r="DQ72" s="113" t="e">
        <f ca="1">IF((COND_INTERSTICIAL[[#This Row],[Ma_anterior cond]]&gt;0)*NOT(COND_INTERSTICIAL[[#This Row],[Condensa]]),TRUE,FALSE)</f>
        <v>#N/A</v>
      </c>
      <c r="DR72" s="112" t="e" cm="1">
        <f t="array" aca="1" ref="DR72" ca="1">IF(COND_INTERSTICIAL[[#This Row],[evapora]],COND_INTERSTICIAL[[#This Row],[Psat]],IF(COND_INTERSTICIAL[[#This Row],[Capa]]=N_capas,COND_INTERSTICIAL[[#This Row],[Pn]],""))</f>
        <v>#N/A</v>
      </c>
      <c r="DS72" s="112" t="e">
        <f ca="1">COND_INTERSTICIAL[[#This Row],[Mes]]&amp;"-"&amp;COND_INTERSTICIAL[[#This Row],[Sección]]&amp;"-"&amp;COND_INTERSTICIAL[[#This Row],[tramo ev]]</f>
        <v>#N/A</v>
      </c>
      <c r="DT72" s="111" t="e" cm="1">
        <f t="array" aca="1" ref="DT72" ca="1">IF(COND_INTERSTICIAL[[#This Row],[Capa]]=1,IF(COND_INTERSTICIAL[[#This Row],[evapora]],2,1),IF(COND_INTERSTICIAL[[#This Row],[evapora]],1,0)+INDIRECT(ADDRESS(ROW()-1,COLUMN(),4)))</f>
        <v>#N/A</v>
      </c>
      <c r="DU72" s="111" t="e" cm="1">
        <f t="array" aca="1" ref="DU72" ca="1">IF(COND_INTERSTICIAL[[#This Row],[tramo ev]]=1,0,IF((COND_INTERSTICIAL[[#This Row],[tramo ev]]&gt;INDIRECT(ADDRESS(ROW()-1,COLUMN(COND_INTERSTICIAL[[#This Row],[tramo ev]]),4)))+COND_INTERSTICIAL[[#This Row],[evapora]],COND_INTERSTICIAL[[#This Row],[Capa]],INDIRECT(ADDRESS(ROW()-1,COLUMN(),4))))</f>
        <v>#N/A</v>
      </c>
      <c r="DV72" s="111" t="e" cm="1">
        <f t="array" aca="1" ref="DV72" ca="1">IF((COND_INTERSTICIAL[[#This Row],[Capa]]=N_capas)+(COND_INTERSTICIAL[[#This Row],[tramo ev]]=COUNTIFS(COND_INTERSTICIAL[evapora],TRUE,COND_INTERSTICIAL[Mes],CW72,COND_INTERSTICIAL[Sección],CX72)+1),N_capas,INDEX(COND_INTERSTICIAL[capa lím inf ev],MATCH(COND_INTERSTICIAL[[#This Row],[Mes]]&amp;"-"&amp;COND_INTERSTICIAL[[#This Row],[Sección]]&amp;"-"&amp;(COND_INTERSTICIAL[[#This Row],[tramo ev]]+1),COND_INTERSTICIAL[llave tramo ev],0)))</f>
        <v>#N/A</v>
      </c>
      <c r="DW72" s="111" cm="1">
        <f t="array" aca="1" ref="DW7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2" s="113" t="e" cm="1">
        <f t="array" aca="1" ref="DX7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2" s="113" t="e">
        <f ca="1">COND_INTERSTICIAL[[#This Row],[gev]]+COND_INTERSTICIAL[[#This Row],[Ma anterior ev]]</f>
        <v>#N/A</v>
      </c>
      <c r="EA72" s="115" t="e">
        <f ca="1">IF(COND_INTERSTICIAL[[#This Row],[Ma cond]]+COND_INTERSTICIAL[[#This Row],[Ma ev]]&lt;=0,0,COND_INTERSTICIAL[[#This Row],[Ma cond]]+COND_INTERSTICIAL[[#This Row],[Ma ev]])</f>
        <v>#N/A</v>
      </c>
      <c r="EB72" s="115" t="e">
        <f ca="1">IF(COND_INTERSTICIAL[[#This Row],[Ma]]&gt;0,TRUE,FALSE)</f>
        <v>#N/A</v>
      </c>
      <c r="EC72" s="115" t="e" cm="1">
        <f t="array" aca="1" ref="EC72" ca="1">IF(COND_INTERSTICIAL[[#This Row],[agua líquida]],IF(COND_INTERSTICIAL[[#This Row],[Condensa]],COND_INTERSTICIAL[[#This Row],[P límite cond]],COND_INTERSTICIAL[[#This Row],[P límite ev]]),IF(COND_INTERSTICIAL[[#This Row],[Capa]]=N_capas,COND_INTERSTICIAL[[#This Row],[Pn]],""))</f>
        <v>#N/A</v>
      </c>
      <c r="ED72" s="115" t="e">
        <f ca="1">COND_INTERSTICIAL[[#This Row],[Mes]]&amp;"-"&amp;COND_INTERSTICIAL[[#This Row],[Sección]]&amp;"-"&amp;COND_INTERSTICIAL[[#This Row],[tramo gráf]]</f>
        <v>#N/A</v>
      </c>
      <c r="EE72" s="114" t="e" cm="1">
        <f t="array" aca="1" ref="EE72" ca="1">IF(COND_INTERSTICIAL[[#This Row],[Capa]]=1,IF(COND_INTERSTICIAL[[#This Row],[agua líquida]],2,1),IF(COND_INTERSTICIAL[[#This Row],[agua líquida]],1,0)+INDIRECT(ADDRESS(ROW()-1,COLUMN(),4)))</f>
        <v>#N/A</v>
      </c>
      <c r="EF72" s="114" t="e" cm="1">
        <f t="array" aca="1" ref="EF72" ca="1">IF(COND_INTERSTICIAL[[#This Row],[tramo gráf]]=1,0,IF((COND_INTERSTICIAL[[#This Row],[tramo gráf]]&gt;INDIRECT(ADDRESS(ROW()-1,COLUMN(COND_INTERSTICIAL[[#This Row],[tramo gráf]]),4)))+COND_INTERSTICIAL[[#This Row],[agua líquida]],COND_INTERSTICIAL[[#This Row],[Capa]],INDIRECT(ADDRESS(ROW()-1,COLUMN(),4))))</f>
        <v>#N/A</v>
      </c>
      <c r="EG72" s="114" t="e" cm="1">
        <f t="array" aca="1" ref="EG72" ca="1">IF((COND_INTERSTICIAL[[#This Row],[Capa]]=N_capas)+(COND_INTERSTICIAL[[#This Row],[tramo gráf]]=COUNTIFS(COND_INTERSTICIAL[agua líquida],TRUE,COND_INTERSTICIAL[Mes],CW72,COND_INTERSTICIAL[Sección],CX72)+1),N_capas,INDEX(COND_INTERSTICIAL[capa lím inf gráf],MATCH(COND_INTERSTICIAL[[#This Row],[Mes]]&amp;"-"&amp;COND_INTERSTICIAL[[#This Row],[Sección]]&amp;"-"&amp;(COND_INTERSTICIAL[[#This Row],[tramo gráf]]+1),COND_INTERSTICIAL[llave tramo gráf],0)))</f>
        <v>#N/A</v>
      </c>
      <c r="EH72" s="114" cm="1">
        <f t="array" aca="1" ref="EH7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2" s="116" t="e" cm="1">
        <f t="array" aca="1" ref="EI7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3" spans="32:139" x14ac:dyDescent="0.45">
      <c r="CW73" s="1" cm="1">
        <f t="array" ref="CW73">ROUNDUP((ROW()-$CN$18+(Mes_inicial_de_análisis-1)*N_capas*N_secciones)/(N_capas*N_secciones),0)-12*IF(ROW()-$CN$18&gt;(12-Mes_inicial_de_análisis+1)*N_capas*N_secciones,1,0)</f>
        <v>10</v>
      </c>
      <c r="CX73" cm="1">
        <f t="array" ref="CX73">ROUNDUP((ROW()-$CN$18)/N_capas-(ROUNDUP((ROW()-$CN$18)/(N_capas*N_secciones),0)-1)*N_secciones,0)</f>
        <v>2</v>
      </c>
      <c r="CY73" cm="1">
        <f t="array" ref="CY73">(ROW()-$CN$18)-(COND_INTERSTICIAL[[#This Row],[Sección]]-1)*N_capas-(ROUNDUP((ROW()-$CN$18)/(N_capas*N_secciones),0)-1)*N_capas*N_secciones</f>
        <v>5</v>
      </c>
      <c r="CZ73" t="str">
        <f>COND_INTERSTICIAL[[#This Row],[Mes]]&amp;"-"&amp;COND_INTERSTICIAL[[#This Row],[Sección]]&amp;"-"&amp;COND_INTERSTICIAL[[#This Row],[Capa]]</f>
        <v>10-2-5</v>
      </c>
      <c r="DA73">
        <f ca="1">INDEX(SECCIONES_CAPAS[R''n],MATCH(COND_INTERSTICIAL[[#This Row],[Sección]]&amp;"-"&amp;COND_INTERSTICIAL[[#This Row],[Capa]],SECCIONES_CAPAS[llave],0))</f>
        <v>0.04</v>
      </c>
      <c r="DB73" s="172" t="e" cm="1">
        <f t="array" aca="1" ref="DB73" ca="1">INDEX(CLIMA[ϴe],COND_INTERSTICIAL[[#This Row],[Mes]])+COND_INTERSTICIAL[[#This Row],[Rn]]*(INDEX(CLIMA[ϴi],COND_INTERSTICIAL[[#This Row],[Mes]])-INDEX(CLIMA[ϴe],COND_INTERSTICIAL[[#This Row],[Mes]]))/(INDEX(SECCIONES[Rtsección_condensación],COND_INTERSTICIAL[[#This Row],[Sección]]))</f>
        <v>#N/A</v>
      </c>
      <c r="DC73">
        <f>INDEX(SECCIONES_CAPAS[Sd],MATCH(COND_INTERSTICIAL[[#This Row],[Sección]]&amp;"-"&amp;COND_INTERSTICIAL[[#This Row],[Capa]],SECCIONES_CAPAS[llave],0))</f>
        <v>0</v>
      </c>
      <c r="DD73">
        <f ca="1">INDEX(SECCIONES_CAPAS[S''d],MATCH(COND_INTERSTICIAL[[#This Row],[Sección]]&amp;"-"&amp;COND_INTERSTICIAL[[#This Row],[Capa]],SECCIONES_CAPAS[llave],0))</f>
        <v>0</v>
      </c>
      <c r="DE73" s="90" t="e">
        <f ca="1">IF(COND_INTERSTICIAL[[#This Row],[ϴn]]&gt;=0,610.5*EXP((17.269*COND_INTERSTICIAL[[#This Row],[ϴn]])/(237.3+COND_INTERSTICIAL[[#This Row],[ϴn]])),610.5*EXP((21.875*COND_INTERSTICIAL[[#This Row],[ϴn]])/(265.5+COND_INTERSTICIAL[[#This Row],[ϴn]])))</f>
        <v>#N/A</v>
      </c>
      <c r="DF73" s="90" t="e" cm="1">
        <f t="array" aca="1" ref="DF73" ca="1">COND_INTERSTICIAL[[#This Row],[S''d]]*((INDEX(CLIMA[Pi],COND_INTERSTICIAL[[#This Row],[Mes]])-INDEX(CLIMA[Pe],COND_INTERSTICIAL[[#This Row],[Mes]]))/INDEX(SECCIONES[SdT],COND_INTERSTICIAL[[#This Row],[Sección]]))+INDEX(CLIMA[Pe],COND_INTERSTICIAL[[#This Row],[Mes]])</f>
        <v>#N/A</v>
      </c>
      <c r="DG73" s="108" t="e">
        <f ca="1">IF((COND_INTERSTICIAL[[#This Row],[Pn]]&gt;=COND_INTERSTICIAL[[#This Row],[Psat]]),TRUE,FALSE)</f>
        <v>#N/A</v>
      </c>
      <c r="DH73" s="109" t="e" cm="1">
        <f t="array" aca="1" ref="DH73" ca="1">IF(COND_INTERSTICIAL[[#This Row],[Condensa]],COND_INTERSTICIAL[[#This Row],[Psat]],IF(COND_INTERSTICIAL[[#This Row],[Capa]]=N_capas,COND_INTERSTICIAL[[#This Row],[Pn]],""))</f>
        <v>#N/A</v>
      </c>
      <c r="DI73" s="109" t="e">
        <f ca="1">COND_INTERSTICIAL[[#This Row],[Mes]]&amp;"-"&amp;COND_INTERSTICIAL[[#This Row],[Sección]]&amp;"-"&amp;COND_INTERSTICIAL[[#This Row],[tramo cond]]</f>
        <v>#N/A</v>
      </c>
      <c r="DJ73" t="e" cm="1">
        <f t="array" aca="1" ref="DJ73" ca="1">IF(COND_INTERSTICIAL[[#This Row],[Capa]]=1,IF(COND_INTERSTICIAL[[#This Row],[Condensa]],2,1),IF(COND_INTERSTICIAL[[#This Row],[Condensa]],1,0)+INDIRECT(ADDRESS(ROW()-1,COLUMN(),4)))</f>
        <v>#N/A</v>
      </c>
      <c r="DK73" s="108" t="e" cm="1">
        <f t="array" aca="1" ref="DK73" ca="1">IF(COND_INTERSTICIAL[[#This Row],[tramo cond]]=1,0,IF((COND_INTERSTICIAL[[#This Row],[tramo cond]]&gt;INDIRECT(ADDRESS(ROW()-1,COLUMN(COND_INTERSTICIAL[[#This Row],[tramo cond]]),4)))+COND_INTERSTICIAL[[#This Row],[Condensa]],COND_INTERSTICIAL[[#This Row],[Capa]],INDIRECT(ADDRESS(ROW()-1,COLUMN(),4))))</f>
        <v>#N/A</v>
      </c>
      <c r="DL73" s="108" t="e" cm="1">
        <f t="array" aca="1" ref="DL73" ca="1">IF((COND_INTERSTICIAL[[#This Row],[Capa]]=N_capas)+(COND_INTERSTICIAL[[#This Row],[tramo cond]]=COUNTIFS(COND_INTERSTICIAL[Condensa],TRUE,COND_INTERSTICIAL[Mes],CW73,COND_INTERSTICIAL[Sección],CX73)+1),N_capas,INDEX(COND_INTERSTICIAL[capa lím inf cond],MATCH(COND_INTERSTICIAL[[#This Row],[Mes]]&amp;"-"&amp;COND_INTERSTICIAL[[#This Row],[Sección]]&amp;"-"&amp;(COND_INTERSTICIAL[[#This Row],[tramo cond]]+1),COND_INTERSTICIAL[llave tramo cond],0)))</f>
        <v>#N/A</v>
      </c>
      <c r="DM73" s="108" cm="1">
        <f t="array" aca="1" ref="DM7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3" s="110" t="e" cm="1">
        <f t="array" aca="1" ref="DN7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3" s="107" t="e">
        <f ca="1">COND_INTERSTICIAL[[#This Row],[gc]]+COND_INTERSTICIAL[[#This Row],[Ma_anterior cond]]</f>
        <v>#N/A</v>
      </c>
      <c r="DQ73" s="113" t="e">
        <f ca="1">IF((COND_INTERSTICIAL[[#This Row],[Ma_anterior cond]]&gt;0)*NOT(COND_INTERSTICIAL[[#This Row],[Condensa]]),TRUE,FALSE)</f>
        <v>#N/A</v>
      </c>
      <c r="DR73" s="112" t="e" cm="1">
        <f t="array" aca="1" ref="DR73" ca="1">IF(COND_INTERSTICIAL[[#This Row],[evapora]],COND_INTERSTICIAL[[#This Row],[Psat]],IF(COND_INTERSTICIAL[[#This Row],[Capa]]=N_capas,COND_INTERSTICIAL[[#This Row],[Pn]],""))</f>
        <v>#N/A</v>
      </c>
      <c r="DS73" s="112" t="e">
        <f ca="1">COND_INTERSTICIAL[[#This Row],[Mes]]&amp;"-"&amp;COND_INTERSTICIAL[[#This Row],[Sección]]&amp;"-"&amp;COND_INTERSTICIAL[[#This Row],[tramo ev]]</f>
        <v>#N/A</v>
      </c>
      <c r="DT73" s="111" t="e" cm="1">
        <f t="array" aca="1" ref="DT73" ca="1">IF(COND_INTERSTICIAL[[#This Row],[Capa]]=1,IF(COND_INTERSTICIAL[[#This Row],[evapora]],2,1),IF(COND_INTERSTICIAL[[#This Row],[evapora]],1,0)+INDIRECT(ADDRESS(ROW()-1,COLUMN(),4)))</f>
        <v>#N/A</v>
      </c>
      <c r="DU73" s="111" t="e" cm="1">
        <f t="array" aca="1" ref="DU73" ca="1">IF(COND_INTERSTICIAL[[#This Row],[tramo ev]]=1,0,IF((COND_INTERSTICIAL[[#This Row],[tramo ev]]&gt;INDIRECT(ADDRESS(ROW()-1,COLUMN(COND_INTERSTICIAL[[#This Row],[tramo ev]]),4)))+COND_INTERSTICIAL[[#This Row],[evapora]],COND_INTERSTICIAL[[#This Row],[Capa]],INDIRECT(ADDRESS(ROW()-1,COLUMN(),4))))</f>
        <v>#N/A</v>
      </c>
      <c r="DV73" s="111" t="e" cm="1">
        <f t="array" aca="1" ref="DV73" ca="1">IF((COND_INTERSTICIAL[[#This Row],[Capa]]=N_capas)+(COND_INTERSTICIAL[[#This Row],[tramo ev]]=COUNTIFS(COND_INTERSTICIAL[evapora],TRUE,COND_INTERSTICIAL[Mes],CW73,COND_INTERSTICIAL[Sección],CX73)+1),N_capas,INDEX(COND_INTERSTICIAL[capa lím inf ev],MATCH(COND_INTERSTICIAL[[#This Row],[Mes]]&amp;"-"&amp;COND_INTERSTICIAL[[#This Row],[Sección]]&amp;"-"&amp;(COND_INTERSTICIAL[[#This Row],[tramo ev]]+1),COND_INTERSTICIAL[llave tramo ev],0)))</f>
        <v>#N/A</v>
      </c>
      <c r="DW73" s="111" cm="1">
        <f t="array" aca="1" ref="DW7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3" s="113" t="e" cm="1">
        <f t="array" aca="1" ref="DX7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3" s="113" t="e">
        <f ca="1">COND_INTERSTICIAL[[#This Row],[gev]]+COND_INTERSTICIAL[[#This Row],[Ma anterior ev]]</f>
        <v>#N/A</v>
      </c>
      <c r="EA73" s="115" t="e">
        <f ca="1">IF(COND_INTERSTICIAL[[#This Row],[Ma cond]]+COND_INTERSTICIAL[[#This Row],[Ma ev]]&lt;=0,0,COND_INTERSTICIAL[[#This Row],[Ma cond]]+COND_INTERSTICIAL[[#This Row],[Ma ev]])</f>
        <v>#N/A</v>
      </c>
      <c r="EB73" s="115" t="e">
        <f ca="1">IF(COND_INTERSTICIAL[[#This Row],[Ma]]&gt;0,TRUE,FALSE)</f>
        <v>#N/A</v>
      </c>
      <c r="EC73" s="115" t="e" cm="1">
        <f t="array" aca="1" ref="EC73" ca="1">IF(COND_INTERSTICIAL[[#This Row],[agua líquida]],IF(COND_INTERSTICIAL[[#This Row],[Condensa]],COND_INTERSTICIAL[[#This Row],[P límite cond]],COND_INTERSTICIAL[[#This Row],[P límite ev]]),IF(COND_INTERSTICIAL[[#This Row],[Capa]]=N_capas,COND_INTERSTICIAL[[#This Row],[Pn]],""))</f>
        <v>#N/A</v>
      </c>
      <c r="ED73" s="115" t="e">
        <f ca="1">COND_INTERSTICIAL[[#This Row],[Mes]]&amp;"-"&amp;COND_INTERSTICIAL[[#This Row],[Sección]]&amp;"-"&amp;COND_INTERSTICIAL[[#This Row],[tramo gráf]]</f>
        <v>#N/A</v>
      </c>
      <c r="EE73" s="114" t="e" cm="1">
        <f t="array" aca="1" ref="EE73" ca="1">IF(COND_INTERSTICIAL[[#This Row],[Capa]]=1,IF(COND_INTERSTICIAL[[#This Row],[agua líquida]],2,1),IF(COND_INTERSTICIAL[[#This Row],[agua líquida]],1,0)+INDIRECT(ADDRESS(ROW()-1,COLUMN(),4)))</f>
        <v>#N/A</v>
      </c>
      <c r="EF73" s="114" t="e" cm="1">
        <f t="array" aca="1" ref="EF73" ca="1">IF(COND_INTERSTICIAL[[#This Row],[tramo gráf]]=1,0,IF((COND_INTERSTICIAL[[#This Row],[tramo gráf]]&gt;INDIRECT(ADDRESS(ROW()-1,COLUMN(COND_INTERSTICIAL[[#This Row],[tramo gráf]]),4)))+COND_INTERSTICIAL[[#This Row],[agua líquida]],COND_INTERSTICIAL[[#This Row],[Capa]],INDIRECT(ADDRESS(ROW()-1,COLUMN(),4))))</f>
        <v>#N/A</v>
      </c>
      <c r="EG73" s="114" t="e" cm="1">
        <f t="array" aca="1" ref="EG73" ca="1">IF((COND_INTERSTICIAL[[#This Row],[Capa]]=N_capas)+(COND_INTERSTICIAL[[#This Row],[tramo gráf]]=COUNTIFS(COND_INTERSTICIAL[agua líquida],TRUE,COND_INTERSTICIAL[Mes],CW73,COND_INTERSTICIAL[Sección],CX73)+1),N_capas,INDEX(COND_INTERSTICIAL[capa lím inf gráf],MATCH(COND_INTERSTICIAL[[#This Row],[Mes]]&amp;"-"&amp;COND_INTERSTICIAL[[#This Row],[Sección]]&amp;"-"&amp;(COND_INTERSTICIAL[[#This Row],[tramo gráf]]+1),COND_INTERSTICIAL[llave tramo gráf],0)))</f>
        <v>#N/A</v>
      </c>
      <c r="EH73" s="114" cm="1">
        <f t="array" aca="1" ref="EH7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3" s="116" t="e" cm="1">
        <f t="array" aca="1" ref="EI7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4" spans="32:139" x14ac:dyDescent="0.45">
      <c r="CW74" s="1" cm="1">
        <f t="array" ref="CW74">ROUNDUP((ROW()-$CN$18+(Mes_inicial_de_análisis-1)*N_capas*N_secciones)/(N_capas*N_secciones),0)-12*IF(ROW()-$CN$18&gt;(12-Mes_inicial_de_análisis+1)*N_capas*N_secciones,1,0)</f>
        <v>10</v>
      </c>
      <c r="CX74" cm="1">
        <f t="array" ref="CX74">ROUNDUP((ROW()-$CN$18)/N_capas-(ROUNDUP((ROW()-$CN$18)/(N_capas*N_secciones),0)-1)*N_secciones,0)</f>
        <v>2</v>
      </c>
      <c r="CY74" cm="1">
        <f t="array" ref="CY74">(ROW()-$CN$18)-(COND_INTERSTICIAL[[#This Row],[Sección]]-1)*N_capas-(ROUNDUP((ROW()-$CN$18)/(N_capas*N_secciones),0)-1)*N_capas*N_secciones</f>
        <v>6</v>
      </c>
      <c r="CZ74" t="str">
        <f>COND_INTERSTICIAL[[#This Row],[Mes]]&amp;"-"&amp;COND_INTERSTICIAL[[#This Row],[Sección]]&amp;"-"&amp;COND_INTERSTICIAL[[#This Row],[Capa]]</f>
        <v>10-2-6</v>
      </c>
      <c r="DA74">
        <f ca="1">INDEX(SECCIONES_CAPAS[R''n],MATCH(COND_INTERSTICIAL[[#This Row],[Sección]]&amp;"-"&amp;COND_INTERSTICIAL[[#This Row],[Capa]],SECCIONES_CAPAS[llave],0))</f>
        <v>0.04</v>
      </c>
      <c r="DB74" s="172" t="e" cm="1">
        <f t="array" aca="1" ref="DB74" ca="1">INDEX(CLIMA[ϴe],COND_INTERSTICIAL[[#This Row],[Mes]])+COND_INTERSTICIAL[[#This Row],[Rn]]*(INDEX(CLIMA[ϴi],COND_INTERSTICIAL[[#This Row],[Mes]])-INDEX(CLIMA[ϴe],COND_INTERSTICIAL[[#This Row],[Mes]]))/(INDEX(SECCIONES[Rtsección_condensación],COND_INTERSTICIAL[[#This Row],[Sección]]))</f>
        <v>#N/A</v>
      </c>
      <c r="DC74">
        <f>INDEX(SECCIONES_CAPAS[Sd],MATCH(COND_INTERSTICIAL[[#This Row],[Sección]]&amp;"-"&amp;COND_INTERSTICIAL[[#This Row],[Capa]],SECCIONES_CAPAS[llave],0))</f>
        <v>0</v>
      </c>
      <c r="DD74">
        <f ca="1">INDEX(SECCIONES_CAPAS[S''d],MATCH(COND_INTERSTICIAL[[#This Row],[Sección]]&amp;"-"&amp;COND_INTERSTICIAL[[#This Row],[Capa]],SECCIONES_CAPAS[llave],0))</f>
        <v>0</v>
      </c>
      <c r="DE74" s="90" t="e">
        <f ca="1">IF(COND_INTERSTICIAL[[#This Row],[ϴn]]&gt;=0,610.5*EXP((17.269*COND_INTERSTICIAL[[#This Row],[ϴn]])/(237.3+COND_INTERSTICIAL[[#This Row],[ϴn]])),610.5*EXP((21.875*COND_INTERSTICIAL[[#This Row],[ϴn]])/(265.5+COND_INTERSTICIAL[[#This Row],[ϴn]])))</f>
        <v>#N/A</v>
      </c>
      <c r="DF74" s="90" t="e" cm="1">
        <f t="array" aca="1" ref="DF74" ca="1">COND_INTERSTICIAL[[#This Row],[S''d]]*((INDEX(CLIMA[Pi],COND_INTERSTICIAL[[#This Row],[Mes]])-INDEX(CLIMA[Pe],COND_INTERSTICIAL[[#This Row],[Mes]]))/INDEX(SECCIONES[SdT],COND_INTERSTICIAL[[#This Row],[Sección]]))+INDEX(CLIMA[Pe],COND_INTERSTICIAL[[#This Row],[Mes]])</f>
        <v>#N/A</v>
      </c>
      <c r="DG74" s="108" t="e">
        <f ca="1">IF((COND_INTERSTICIAL[[#This Row],[Pn]]&gt;=COND_INTERSTICIAL[[#This Row],[Psat]]),TRUE,FALSE)</f>
        <v>#N/A</v>
      </c>
      <c r="DH74" s="109" t="e" cm="1">
        <f t="array" aca="1" ref="DH74" ca="1">IF(COND_INTERSTICIAL[[#This Row],[Condensa]],COND_INTERSTICIAL[[#This Row],[Psat]],IF(COND_INTERSTICIAL[[#This Row],[Capa]]=N_capas,COND_INTERSTICIAL[[#This Row],[Pn]],""))</f>
        <v>#N/A</v>
      </c>
      <c r="DI74" s="109" t="e">
        <f ca="1">COND_INTERSTICIAL[[#This Row],[Mes]]&amp;"-"&amp;COND_INTERSTICIAL[[#This Row],[Sección]]&amp;"-"&amp;COND_INTERSTICIAL[[#This Row],[tramo cond]]</f>
        <v>#N/A</v>
      </c>
      <c r="DJ74" t="e" cm="1">
        <f t="array" aca="1" ref="DJ74" ca="1">IF(COND_INTERSTICIAL[[#This Row],[Capa]]=1,IF(COND_INTERSTICIAL[[#This Row],[Condensa]],2,1),IF(COND_INTERSTICIAL[[#This Row],[Condensa]],1,0)+INDIRECT(ADDRESS(ROW()-1,COLUMN(),4)))</f>
        <v>#N/A</v>
      </c>
      <c r="DK74" s="108" t="e" cm="1">
        <f t="array" aca="1" ref="DK74" ca="1">IF(COND_INTERSTICIAL[[#This Row],[tramo cond]]=1,0,IF((COND_INTERSTICIAL[[#This Row],[tramo cond]]&gt;INDIRECT(ADDRESS(ROW()-1,COLUMN(COND_INTERSTICIAL[[#This Row],[tramo cond]]),4)))+COND_INTERSTICIAL[[#This Row],[Condensa]],COND_INTERSTICIAL[[#This Row],[Capa]],INDIRECT(ADDRESS(ROW()-1,COLUMN(),4))))</f>
        <v>#N/A</v>
      </c>
      <c r="DL74" s="108" t="e" cm="1">
        <f t="array" aca="1" ref="DL74" ca="1">IF((COND_INTERSTICIAL[[#This Row],[Capa]]=N_capas)+(COND_INTERSTICIAL[[#This Row],[tramo cond]]=COUNTIFS(COND_INTERSTICIAL[Condensa],TRUE,COND_INTERSTICIAL[Mes],CW74,COND_INTERSTICIAL[Sección],CX74)+1),N_capas,INDEX(COND_INTERSTICIAL[capa lím inf cond],MATCH(COND_INTERSTICIAL[[#This Row],[Mes]]&amp;"-"&amp;COND_INTERSTICIAL[[#This Row],[Sección]]&amp;"-"&amp;(COND_INTERSTICIAL[[#This Row],[tramo cond]]+1),COND_INTERSTICIAL[llave tramo cond],0)))</f>
        <v>#N/A</v>
      </c>
      <c r="DM74" s="108" cm="1">
        <f t="array" aca="1" ref="DM7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4" s="110" t="e" cm="1">
        <f t="array" aca="1" ref="DN7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4" s="107" t="e">
        <f ca="1">COND_INTERSTICIAL[[#This Row],[gc]]+COND_INTERSTICIAL[[#This Row],[Ma_anterior cond]]</f>
        <v>#N/A</v>
      </c>
      <c r="DQ74" s="113" t="e">
        <f ca="1">IF((COND_INTERSTICIAL[[#This Row],[Ma_anterior cond]]&gt;0)*NOT(COND_INTERSTICIAL[[#This Row],[Condensa]]),TRUE,FALSE)</f>
        <v>#N/A</v>
      </c>
      <c r="DR74" s="112" t="e" cm="1">
        <f t="array" aca="1" ref="DR74" ca="1">IF(COND_INTERSTICIAL[[#This Row],[evapora]],COND_INTERSTICIAL[[#This Row],[Psat]],IF(COND_INTERSTICIAL[[#This Row],[Capa]]=N_capas,COND_INTERSTICIAL[[#This Row],[Pn]],""))</f>
        <v>#N/A</v>
      </c>
      <c r="DS74" s="112" t="e">
        <f ca="1">COND_INTERSTICIAL[[#This Row],[Mes]]&amp;"-"&amp;COND_INTERSTICIAL[[#This Row],[Sección]]&amp;"-"&amp;COND_INTERSTICIAL[[#This Row],[tramo ev]]</f>
        <v>#N/A</v>
      </c>
      <c r="DT74" s="111" t="e" cm="1">
        <f t="array" aca="1" ref="DT74" ca="1">IF(COND_INTERSTICIAL[[#This Row],[Capa]]=1,IF(COND_INTERSTICIAL[[#This Row],[evapora]],2,1),IF(COND_INTERSTICIAL[[#This Row],[evapora]],1,0)+INDIRECT(ADDRESS(ROW()-1,COLUMN(),4)))</f>
        <v>#N/A</v>
      </c>
      <c r="DU74" s="111" t="e" cm="1">
        <f t="array" aca="1" ref="DU74" ca="1">IF(COND_INTERSTICIAL[[#This Row],[tramo ev]]=1,0,IF((COND_INTERSTICIAL[[#This Row],[tramo ev]]&gt;INDIRECT(ADDRESS(ROW()-1,COLUMN(COND_INTERSTICIAL[[#This Row],[tramo ev]]),4)))+COND_INTERSTICIAL[[#This Row],[evapora]],COND_INTERSTICIAL[[#This Row],[Capa]],INDIRECT(ADDRESS(ROW()-1,COLUMN(),4))))</f>
        <v>#N/A</v>
      </c>
      <c r="DV74" s="111" t="e" cm="1">
        <f t="array" aca="1" ref="DV74" ca="1">IF((COND_INTERSTICIAL[[#This Row],[Capa]]=N_capas)+(COND_INTERSTICIAL[[#This Row],[tramo ev]]=COUNTIFS(COND_INTERSTICIAL[evapora],TRUE,COND_INTERSTICIAL[Mes],CW74,COND_INTERSTICIAL[Sección],CX74)+1),N_capas,INDEX(COND_INTERSTICIAL[capa lím inf ev],MATCH(COND_INTERSTICIAL[[#This Row],[Mes]]&amp;"-"&amp;COND_INTERSTICIAL[[#This Row],[Sección]]&amp;"-"&amp;(COND_INTERSTICIAL[[#This Row],[tramo ev]]+1),COND_INTERSTICIAL[llave tramo ev],0)))</f>
        <v>#N/A</v>
      </c>
      <c r="DW74" s="111" cm="1">
        <f t="array" aca="1" ref="DW7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4" s="113" t="e" cm="1">
        <f t="array" aca="1" ref="DX7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4" s="113" t="e">
        <f ca="1">COND_INTERSTICIAL[[#This Row],[gev]]+COND_INTERSTICIAL[[#This Row],[Ma anterior ev]]</f>
        <v>#N/A</v>
      </c>
      <c r="EA74" s="115" t="e">
        <f ca="1">IF(COND_INTERSTICIAL[[#This Row],[Ma cond]]+COND_INTERSTICIAL[[#This Row],[Ma ev]]&lt;=0,0,COND_INTERSTICIAL[[#This Row],[Ma cond]]+COND_INTERSTICIAL[[#This Row],[Ma ev]])</f>
        <v>#N/A</v>
      </c>
      <c r="EB74" s="115" t="e">
        <f ca="1">IF(COND_INTERSTICIAL[[#This Row],[Ma]]&gt;0,TRUE,FALSE)</f>
        <v>#N/A</v>
      </c>
      <c r="EC74" s="115" t="e" cm="1">
        <f t="array" aca="1" ref="EC74" ca="1">IF(COND_INTERSTICIAL[[#This Row],[agua líquida]],IF(COND_INTERSTICIAL[[#This Row],[Condensa]],COND_INTERSTICIAL[[#This Row],[P límite cond]],COND_INTERSTICIAL[[#This Row],[P límite ev]]),IF(COND_INTERSTICIAL[[#This Row],[Capa]]=N_capas,COND_INTERSTICIAL[[#This Row],[Pn]],""))</f>
        <v>#N/A</v>
      </c>
      <c r="ED74" s="115" t="e">
        <f ca="1">COND_INTERSTICIAL[[#This Row],[Mes]]&amp;"-"&amp;COND_INTERSTICIAL[[#This Row],[Sección]]&amp;"-"&amp;COND_INTERSTICIAL[[#This Row],[tramo gráf]]</f>
        <v>#N/A</v>
      </c>
      <c r="EE74" s="114" t="e" cm="1">
        <f t="array" aca="1" ref="EE74" ca="1">IF(COND_INTERSTICIAL[[#This Row],[Capa]]=1,IF(COND_INTERSTICIAL[[#This Row],[agua líquida]],2,1),IF(COND_INTERSTICIAL[[#This Row],[agua líquida]],1,0)+INDIRECT(ADDRESS(ROW()-1,COLUMN(),4)))</f>
        <v>#N/A</v>
      </c>
      <c r="EF74" s="114" t="e" cm="1">
        <f t="array" aca="1" ref="EF74" ca="1">IF(COND_INTERSTICIAL[[#This Row],[tramo gráf]]=1,0,IF((COND_INTERSTICIAL[[#This Row],[tramo gráf]]&gt;INDIRECT(ADDRESS(ROW()-1,COLUMN(COND_INTERSTICIAL[[#This Row],[tramo gráf]]),4)))+COND_INTERSTICIAL[[#This Row],[agua líquida]],COND_INTERSTICIAL[[#This Row],[Capa]],INDIRECT(ADDRESS(ROW()-1,COLUMN(),4))))</f>
        <v>#N/A</v>
      </c>
      <c r="EG74" s="114" t="e" cm="1">
        <f t="array" aca="1" ref="EG74" ca="1">IF((COND_INTERSTICIAL[[#This Row],[Capa]]=N_capas)+(COND_INTERSTICIAL[[#This Row],[tramo gráf]]=COUNTIFS(COND_INTERSTICIAL[agua líquida],TRUE,COND_INTERSTICIAL[Mes],CW74,COND_INTERSTICIAL[Sección],CX74)+1),N_capas,INDEX(COND_INTERSTICIAL[capa lím inf gráf],MATCH(COND_INTERSTICIAL[[#This Row],[Mes]]&amp;"-"&amp;COND_INTERSTICIAL[[#This Row],[Sección]]&amp;"-"&amp;(COND_INTERSTICIAL[[#This Row],[tramo gráf]]+1),COND_INTERSTICIAL[llave tramo gráf],0)))</f>
        <v>#N/A</v>
      </c>
      <c r="EH74" s="114" cm="1">
        <f t="array" aca="1" ref="EH7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4" s="116" t="e" cm="1">
        <f t="array" aca="1" ref="EI7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5" spans="32:139" x14ac:dyDescent="0.45">
      <c r="CW75" s="1" cm="1">
        <f t="array" ref="CW75">ROUNDUP((ROW()-$CN$18+(Mes_inicial_de_análisis-1)*N_capas*N_secciones)/(N_capas*N_secciones),0)-12*IF(ROW()-$CN$18&gt;(12-Mes_inicial_de_análisis+1)*N_capas*N_secciones,1,0)</f>
        <v>10</v>
      </c>
      <c r="CX75" cm="1">
        <f t="array" ref="CX75">ROUNDUP((ROW()-$CN$18)/N_capas-(ROUNDUP((ROW()-$CN$18)/(N_capas*N_secciones),0)-1)*N_secciones,0)</f>
        <v>2</v>
      </c>
      <c r="CY75" cm="1">
        <f t="array" ref="CY75">(ROW()-$CN$18)-(COND_INTERSTICIAL[[#This Row],[Sección]]-1)*N_capas-(ROUNDUP((ROW()-$CN$18)/(N_capas*N_secciones),0)-1)*N_capas*N_secciones</f>
        <v>7</v>
      </c>
      <c r="CZ75" t="str">
        <f>COND_INTERSTICIAL[[#This Row],[Mes]]&amp;"-"&amp;COND_INTERSTICIAL[[#This Row],[Sección]]&amp;"-"&amp;COND_INTERSTICIAL[[#This Row],[Capa]]</f>
        <v>10-2-7</v>
      </c>
      <c r="DA75">
        <f ca="1">INDEX(SECCIONES_CAPAS[R''n],MATCH(COND_INTERSTICIAL[[#This Row],[Sección]]&amp;"-"&amp;COND_INTERSTICIAL[[#This Row],[Capa]],SECCIONES_CAPAS[llave],0))</f>
        <v>0.04</v>
      </c>
      <c r="DB75" s="172" t="e" cm="1">
        <f t="array" aca="1" ref="DB75" ca="1">INDEX(CLIMA[ϴe],COND_INTERSTICIAL[[#This Row],[Mes]])+COND_INTERSTICIAL[[#This Row],[Rn]]*(INDEX(CLIMA[ϴi],COND_INTERSTICIAL[[#This Row],[Mes]])-INDEX(CLIMA[ϴe],COND_INTERSTICIAL[[#This Row],[Mes]]))/(INDEX(SECCIONES[Rtsección_condensación],COND_INTERSTICIAL[[#This Row],[Sección]]))</f>
        <v>#N/A</v>
      </c>
      <c r="DC75">
        <f>INDEX(SECCIONES_CAPAS[Sd],MATCH(COND_INTERSTICIAL[[#This Row],[Sección]]&amp;"-"&amp;COND_INTERSTICIAL[[#This Row],[Capa]],SECCIONES_CAPAS[llave],0))</f>
        <v>0</v>
      </c>
      <c r="DD75">
        <f ca="1">INDEX(SECCIONES_CAPAS[S''d],MATCH(COND_INTERSTICIAL[[#This Row],[Sección]]&amp;"-"&amp;COND_INTERSTICIAL[[#This Row],[Capa]],SECCIONES_CAPAS[llave],0))</f>
        <v>0</v>
      </c>
      <c r="DE75" s="90" t="e">
        <f ca="1">IF(COND_INTERSTICIAL[[#This Row],[ϴn]]&gt;=0,610.5*EXP((17.269*COND_INTERSTICIAL[[#This Row],[ϴn]])/(237.3+COND_INTERSTICIAL[[#This Row],[ϴn]])),610.5*EXP((21.875*COND_INTERSTICIAL[[#This Row],[ϴn]])/(265.5+COND_INTERSTICIAL[[#This Row],[ϴn]])))</f>
        <v>#N/A</v>
      </c>
      <c r="DF75" s="90" t="e" cm="1">
        <f t="array" aca="1" ref="DF75" ca="1">COND_INTERSTICIAL[[#This Row],[S''d]]*((INDEX(CLIMA[Pi],COND_INTERSTICIAL[[#This Row],[Mes]])-INDEX(CLIMA[Pe],COND_INTERSTICIAL[[#This Row],[Mes]]))/INDEX(SECCIONES[SdT],COND_INTERSTICIAL[[#This Row],[Sección]]))+INDEX(CLIMA[Pe],COND_INTERSTICIAL[[#This Row],[Mes]])</f>
        <v>#N/A</v>
      </c>
      <c r="DG75" s="108" t="e">
        <f ca="1">IF((COND_INTERSTICIAL[[#This Row],[Pn]]&gt;=COND_INTERSTICIAL[[#This Row],[Psat]]),TRUE,FALSE)</f>
        <v>#N/A</v>
      </c>
      <c r="DH75" s="109" t="e" cm="1">
        <f t="array" aca="1" ref="DH75" ca="1">IF(COND_INTERSTICIAL[[#This Row],[Condensa]],COND_INTERSTICIAL[[#This Row],[Psat]],IF(COND_INTERSTICIAL[[#This Row],[Capa]]=N_capas,COND_INTERSTICIAL[[#This Row],[Pn]],""))</f>
        <v>#N/A</v>
      </c>
      <c r="DI75" s="109" t="e">
        <f ca="1">COND_INTERSTICIAL[[#This Row],[Mes]]&amp;"-"&amp;COND_INTERSTICIAL[[#This Row],[Sección]]&amp;"-"&amp;COND_INTERSTICIAL[[#This Row],[tramo cond]]</f>
        <v>#N/A</v>
      </c>
      <c r="DJ75" t="e" cm="1">
        <f t="array" aca="1" ref="DJ75" ca="1">IF(COND_INTERSTICIAL[[#This Row],[Capa]]=1,IF(COND_INTERSTICIAL[[#This Row],[Condensa]],2,1),IF(COND_INTERSTICIAL[[#This Row],[Condensa]],1,0)+INDIRECT(ADDRESS(ROW()-1,COLUMN(),4)))</f>
        <v>#N/A</v>
      </c>
      <c r="DK75" s="108" t="e" cm="1">
        <f t="array" aca="1" ref="DK75" ca="1">IF(COND_INTERSTICIAL[[#This Row],[tramo cond]]=1,0,IF((COND_INTERSTICIAL[[#This Row],[tramo cond]]&gt;INDIRECT(ADDRESS(ROW()-1,COLUMN(COND_INTERSTICIAL[[#This Row],[tramo cond]]),4)))+COND_INTERSTICIAL[[#This Row],[Condensa]],COND_INTERSTICIAL[[#This Row],[Capa]],INDIRECT(ADDRESS(ROW()-1,COLUMN(),4))))</f>
        <v>#N/A</v>
      </c>
      <c r="DL75" s="108" t="e" cm="1">
        <f t="array" aca="1" ref="DL75" ca="1">IF((COND_INTERSTICIAL[[#This Row],[Capa]]=N_capas)+(COND_INTERSTICIAL[[#This Row],[tramo cond]]=COUNTIFS(COND_INTERSTICIAL[Condensa],TRUE,COND_INTERSTICIAL[Mes],CW75,COND_INTERSTICIAL[Sección],CX75)+1),N_capas,INDEX(COND_INTERSTICIAL[capa lím inf cond],MATCH(COND_INTERSTICIAL[[#This Row],[Mes]]&amp;"-"&amp;COND_INTERSTICIAL[[#This Row],[Sección]]&amp;"-"&amp;(COND_INTERSTICIAL[[#This Row],[tramo cond]]+1),COND_INTERSTICIAL[llave tramo cond],0)))</f>
        <v>#N/A</v>
      </c>
      <c r="DM75" s="108" cm="1">
        <f t="array" aca="1" ref="DM7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5" s="110" t="e" cm="1">
        <f t="array" aca="1" ref="DN7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5" s="107" t="e">
        <f ca="1">COND_INTERSTICIAL[[#This Row],[gc]]+COND_INTERSTICIAL[[#This Row],[Ma_anterior cond]]</f>
        <v>#N/A</v>
      </c>
      <c r="DQ75" s="113" t="e">
        <f ca="1">IF((COND_INTERSTICIAL[[#This Row],[Ma_anterior cond]]&gt;0)*NOT(COND_INTERSTICIAL[[#This Row],[Condensa]]),TRUE,FALSE)</f>
        <v>#N/A</v>
      </c>
      <c r="DR75" s="112" t="e" cm="1">
        <f t="array" aca="1" ref="DR75" ca="1">IF(COND_INTERSTICIAL[[#This Row],[evapora]],COND_INTERSTICIAL[[#This Row],[Psat]],IF(COND_INTERSTICIAL[[#This Row],[Capa]]=N_capas,COND_INTERSTICIAL[[#This Row],[Pn]],""))</f>
        <v>#N/A</v>
      </c>
      <c r="DS75" s="112" t="e">
        <f ca="1">COND_INTERSTICIAL[[#This Row],[Mes]]&amp;"-"&amp;COND_INTERSTICIAL[[#This Row],[Sección]]&amp;"-"&amp;COND_INTERSTICIAL[[#This Row],[tramo ev]]</f>
        <v>#N/A</v>
      </c>
      <c r="DT75" s="111" t="e" cm="1">
        <f t="array" aca="1" ref="DT75" ca="1">IF(COND_INTERSTICIAL[[#This Row],[Capa]]=1,IF(COND_INTERSTICIAL[[#This Row],[evapora]],2,1),IF(COND_INTERSTICIAL[[#This Row],[evapora]],1,0)+INDIRECT(ADDRESS(ROW()-1,COLUMN(),4)))</f>
        <v>#N/A</v>
      </c>
      <c r="DU75" s="111" t="e" cm="1">
        <f t="array" aca="1" ref="DU75" ca="1">IF(COND_INTERSTICIAL[[#This Row],[tramo ev]]=1,0,IF((COND_INTERSTICIAL[[#This Row],[tramo ev]]&gt;INDIRECT(ADDRESS(ROW()-1,COLUMN(COND_INTERSTICIAL[[#This Row],[tramo ev]]),4)))+COND_INTERSTICIAL[[#This Row],[evapora]],COND_INTERSTICIAL[[#This Row],[Capa]],INDIRECT(ADDRESS(ROW()-1,COLUMN(),4))))</f>
        <v>#N/A</v>
      </c>
      <c r="DV75" s="111" t="e" cm="1">
        <f t="array" aca="1" ref="DV75" ca="1">IF((COND_INTERSTICIAL[[#This Row],[Capa]]=N_capas)+(COND_INTERSTICIAL[[#This Row],[tramo ev]]=COUNTIFS(COND_INTERSTICIAL[evapora],TRUE,COND_INTERSTICIAL[Mes],CW75,COND_INTERSTICIAL[Sección],CX75)+1),N_capas,INDEX(COND_INTERSTICIAL[capa lím inf ev],MATCH(COND_INTERSTICIAL[[#This Row],[Mes]]&amp;"-"&amp;COND_INTERSTICIAL[[#This Row],[Sección]]&amp;"-"&amp;(COND_INTERSTICIAL[[#This Row],[tramo ev]]+1),COND_INTERSTICIAL[llave tramo ev],0)))</f>
        <v>#N/A</v>
      </c>
      <c r="DW75" s="111" cm="1">
        <f t="array" aca="1" ref="DW7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5" s="113" t="e" cm="1">
        <f t="array" aca="1" ref="DX7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5" s="113" t="e">
        <f ca="1">COND_INTERSTICIAL[[#This Row],[gev]]+COND_INTERSTICIAL[[#This Row],[Ma anterior ev]]</f>
        <v>#N/A</v>
      </c>
      <c r="EA75" s="115" t="e">
        <f ca="1">IF(COND_INTERSTICIAL[[#This Row],[Ma cond]]+COND_INTERSTICIAL[[#This Row],[Ma ev]]&lt;=0,0,COND_INTERSTICIAL[[#This Row],[Ma cond]]+COND_INTERSTICIAL[[#This Row],[Ma ev]])</f>
        <v>#N/A</v>
      </c>
      <c r="EB75" s="115" t="e">
        <f ca="1">IF(COND_INTERSTICIAL[[#This Row],[Ma]]&gt;0,TRUE,FALSE)</f>
        <v>#N/A</v>
      </c>
      <c r="EC75" s="115" t="e" cm="1">
        <f t="array" aca="1" ref="EC75" ca="1">IF(COND_INTERSTICIAL[[#This Row],[agua líquida]],IF(COND_INTERSTICIAL[[#This Row],[Condensa]],COND_INTERSTICIAL[[#This Row],[P límite cond]],COND_INTERSTICIAL[[#This Row],[P límite ev]]),IF(COND_INTERSTICIAL[[#This Row],[Capa]]=N_capas,COND_INTERSTICIAL[[#This Row],[Pn]],""))</f>
        <v>#N/A</v>
      </c>
      <c r="ED75" s="115" t="e">
        <f ca="1">COND_INTERSTICIAL[[#This Row],[Mes]]&amp;"-"&amp;COND_INTERSTICIAL[[#This Row],[Sección]]&amp;"-"&amp;COND_INTERSTICIAL[[#This Row],[tramo gráf]]</f>
        <v>#N/A</v>
      </c>
      <c r="EE75" s="114" t="e" cm="1">
        <f t="array" aca="1" ref="EE75" ca="1">IF(COND_INTERSTICIAL[[#This Row],[Capa]]=1,IF(COND_INTERSTICIAL[[#This Row],[agua líquida]],2,1),IF(COND_INTERSTICIAL[[#This Row],[agua líquida]],1,0)+INDIRECT(ADDRESS(ROW()-1,COLUMN(),4)))</f>
        <v>#N/A</v>
      </c>
      <c r="EF75" s="114" t="e" cm="1">
        <f t="array" aca="1" ref="EF75" ca="1">IF(COND_INTERSTICIAL[[#This Row],[tramo gráf]]=1,0,IF((COND_INTERSTICIAL[[#This Row],[tramo gráf]]&gt;INDIRECT(ADDRESS(ROW()-1,COLUMN(COND_INTERSTICIAL[[#This Row],[tramo gráf]]),4)))+COND_INTERSTICIAL[[#This Row],[agua líquida]],COND_INTERSTICIAL[[#This Row],[Capa]],INDIRECT(ADDRESS(ROW()-1,COLUMN(),4))))</f>
        <v>#N/A</v>
      </c>
      <c r="EG75" s="114" t="e" cm="1">
        <f t="array" aca="1" ref="EG75" ca="1">IF((COND_INTERSTICIAL[[#This Row],[Capa]]=N_capas)+(COND_INTERSTICIAL[[#This Row],[tramo gráf]]=COUNTIFS(COND_INTERSTICIAL[agua líquida],TRUE,COND_INTERSTICIAL[Mes],CW75,COND_INTERSTICIAL[Sección],CX75)+1),N_capas,INDEX(COND_INTERSTICIAL[capa lím inf gráf],MATCH(COND_INTERSTICIAL[[#This Row],[Mes]]&amp;"-"&amp;COND_INTERSTICIAL[[#This Row],[Sección]]&amp;"-"&amp;(COND_INTERSTICIAL[[#This Row],[tramo gráf]]+1),COND_INTERSTICIAL[llave tramo gráf],0)))</f>
        <v>#N/A</v>
      </c>
      <c r="EH75" s="114" cm="1">
        <f t="array" aca="1" ref="EH7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5" s="116" t="e" cm="1">
        <f t="array" aca="1" ref="EI7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6" spans="32:139" x14ac:dyDescent="0.45">
      <c r="CW76" s="1" cm="1">
        <f t="array" ref="CW76">ROUNDUP((ROW()-$CN$18+(Mes_inicial_de_análisis-1)*N_capas*N_secciones)/(N_capas*N_secciones),0)-12*IF(ROW()-$CN$18&gt;(12-Mes_inicial_de_análisis+1)*N_capas*N_secciones,1,0)</f>
        <v>11</v>
      </c>
      <c r="CX76" cm="1">
        <f t="array" ref="CX76">ROUNDUP((ROW()-$CN$18)/N_capas-(ROUNDUP((ROW()-$CN$18)/(N_capas*N_secciones),0)-1)*N_secciones,0)</f>
        <v>1</v>
      </c>
      <c r="CY76" cm="1">
        <f t="array" ref="CY76">(ROW()-$CN$18)-(COND_INTERSTICIAL[[#This Row],[Sección]]-1)*N_capas-(ROUNDUP((ROW()-$CN$18)/(N_capas*N_secciones),0)-1)*N_capas*N_secciones</f>
        <v>1</v>
      </c>
      <c r="CZ76" t="str">
        <f>COND_INTERSTICIAL[[#This Row],[Mes]]&amp;"-"&amp;COND_INTERSTICIAL[[#This Row],[Sección]]&amp;"-"&amp;COND_INTERSTICIAL[[#This Row],[Capa]]</f>
        <v>11-1-1</v>
      </c>
      <c r="DA76">
        <f ca="1">INDEX(SECCIONES_CAPAS[R''n],MATCH(COND_INTERSTICIAL[[#This Row],[Sección]]&amp;"-"&amp;COND_INTERSTICIAL[[#This Row],[Capa]],SECCIONES_CAPAS[llave],0))</f>
        <v>0.04</v>
      </c>
      <c r="DB76" s="172" t="e" cm="1">
        <f t="array" aca="1" ref="DB76" ca="1">INDEX(CLIMA[ϴe],COND_INTERSTICIAL[[#This Row],[Mes]])+COND_INTERSTICIAL[[#This Row],[Rn]]*(INDEX(CLIMA[ϴi],COND_INTERSTICIAL[[#This Row],[Mes]])-INDEX(CLIMA[ϴe],COND_INTERSTICIAL[[#This Row],[Mes]]))/(INDEX(SECCIONES[Rtsección_condensación],COND_INTERSTICIAL[[#This Row],[Sección]]))</f>
        <v>#N/A</v>
      </c>
      <c r="DC76">
        <f>INDEX(SECCIONES_CAPAS[Sd],MATCH(COND_INTERSTICIAL[[#This Row],[Sección]]&amp;"-"&amp;COND_INTERSTICIAL[[#This Row],[Capa]],SECCIONES_CAPAS[llave],0))</f>
        <v>0</v>
      </c>
      <c r="DD76">
        <f ca="1">INDEX(SECCIONES_CAPAS[S''d],MATCH(COND_INTERSTICIAL[[#This Row],[Sección]]&amp;"-"&amp;COND_INTERSTICIAL[[#This Row],[Capa]],SECCIONES_CAPAS[llave],0))</f>
        <v>0</v>
      </c>
      <c r="DE76" s="90" t="e">
        <f ca="1">IF(COND_INTERSTICIAL[[#This Row],[ϴn]]&gt;=0,610.5*EXP((17.269*COND_INTERSTICIAL[[#This Row],[ϴn]])/(237.3+COND_INTERSTICIAL[[#This Row],[ϴn]])),610.5*EXP((21.875*COND_INTERSTICIAL[[#This Row],[ϴn]])/(265.5+COND_INTERSTICIAL[[#This Row],[ϴn]])))</f>
        <v>#N/A</v>
      </c>
      <c r="DF76" s="90" t="e" cm="1">
        <f t="array" aca="1" ref="DF76" ca="1">COND_INTERSTICIAL[[#This Row],[S''d]]*((INDEX(CLIMA[Pi],COND_INTERSTICIAL[[#This Row],[Mes]])-INDEX(CLIMA[Pe],COND_INTERSTICIAL[[#This Row],[Mes]]))/INDEX(SECCIONES[SdT],COND_INTERSTICIAL[[#This Row],[Sección]]))+INDEX(CLIMA[Pe],COND_INTERSTICIAL[[#This Row],[Mes]])</f>
        <v>#N/A</v>
      </c>
      <c r="DG76" s="108" t="e">
        <f ca="1">IF((COND_INTERSTICIAL[[#This Row],[Pn]]&gt;=COND_INTERSTICIAL[[#This Row],[Psat]]),TRUE,FALSE)</f>
        <v>#N/A</v>
      </c>
      <c r="DH76" s="109" t="e" cm="1">
        <f t="array" aca="1" ref="DH76" ca="1">IF(COND_INTERSTICIAL[[#This Row],[Condensa]],COND_INTERSTICIAL[[#This Row],[Psat]],IF(COND_INTERSTICIAL[[#This Row],[Capa]]=N_capas,COND_INTERSTICIAL[[#This Row],[Pn]],""))</f>
        <v>#N/A</v>
      </c>
      <c r="DI76" s="109" t="e">
        <f ca="1">COND_INTERSTICIAL[[#This Row],[Mes]]&amp;"-"&amp;COND_INTERSTICIAL[[#This Row],[Sección]]&amp;"-"&amp;COND_INTERSTICIAL[[#This Row],[tramo cond]]</f>
        <v>#N/A</v>
      </c>
      <c r="DJ76" t="e" cm="1">
        <f t="array" aca="1" ref="DJ76" ca="1">IF(COND_INTERSTICIAL[[#This Row],[Capa]]=1,IF(COND_INTERSTICIAL[[#This Row],[Condensa]],2,1),IF(COND_INTERSTICIAL[[#This Row],[Condensa]],1,0)+INDIRECT(ADDRESS(ROW()-1,COLUMN(),4)))</f>
        <v>#N/A</v>
      </c>
      <c r="DK76" s="108" t="e" cm="1">
        <f t="array" aca="1" ref="DK76" ca="1">IF(COND_INTERSTICIAL[[#This Row],[tramo cond]]=1,0,IF((COND_INTERSTICIAL[[#This Row],[tramo cond]]&gt;INDIRECT(ADDRESS(ROW()-1,COLUMN(COND_INTERSTICIAL[[#This Row],[tramo cond]]),4)))+COND_INTERSTICIAL[[#This Row],[Condensa]],COND_INTERSTICIAL[[#This Row],[Capa]],INDIRECT(ADDRESS(ROW()-1,COLUMN(),4))))</f>
        <v>#N/A</v>
      </c>
      <c r="DL76" s="108" t="e" cm="1">
        <f t="array" aca="1" ref="DL76" ca="1">IF((COND_INTERSTICIAL[[#This Row],[Capa]]=N_capas)+(COND_INTERSTICIAL[[#This Row],[tramo cond]]=COUNTIFS(COND_INTERSTICIAL[Condensa],TRUE,COND_INTERSTICIAL[Mes],CW76,COND_INTERSTICIAL[Sección],CX76)+1),N_capas,INDEX(COND_INTERSTICIAL[capa lím inf cond],MATCH(COND_INTERSTICIAL[[#This Row],[Mes]]&amp;"-"&amp;COND_INTERSTICIAL[[#This Row],[Sección]]&amp;"-"&amp;(COND_INTERSTICIAL[[#This Row],[tramo cond]]+1),COND_INTERSTICIAL[llave tramo cond],0)))</f>
        <v>#N/A</v>
      </c>
      <c r="DM76" s="108" cm="1">
        <f t="array" aca="1" ref="DM7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6" s="110" t="e" cm="1">
        <f t="array" aca="1" ref="DN7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6" s="107" t="e">
        <f ca="1">COND_INTERSTICIAL[[#This Row],[gc]]+COND_INTERSTICIAL[[#This Row],[Ma_anterior cond]]</f>
        <v>#N/A</v>
      </c>
      <c r="DQ76" s="113" t="e">
        <f ca="1">IF((COND_INTERSTICIAL[[#This Row],[Ma_anterior cond]]&gt;0)*NOT(COND_INTERSTICIAL[[#This Row],[Condensa]]),TRUE,FALSE)</f>
        <v>#N/A</v>
      </c>
      <c r="DR76" s="112" t="e" cm="1">
        <f t="array" aca="1" ref="DR76" ca="1">IF(COND_INTERSTICIAL[[#This Row],[evapora]],COND_INTERSTICIAL[[#This Row],[Psat]],IF(COND_INTERSTICIAL[[#This Row],[Capa]]=N_capas,COND_INTERSTICIAL[[#This Row],[Pn]],""))</f>
        <v>#N/A</v>
      </c>
      <c r="DS76" s="112" t="e">
        <f ca="1">COND_INTERSTICIAL[[#This Row],[Mes]]&amp;"-"&amp;COND_INTERSTICIAL[[#This Row],[Sección]]&amp;"-"&amp;COND_INTERSTICIAL[[#This Row],[tramo ev]]</f>
        <v>#N/A</v>
      </c>
      <c r="DT76" s="111" t="e" cm="1">
        <f t="array" aca="1" ref="DT76" ca="1">IF(COND_INTERSTICIAL[[#This Row],[Capa]]=1,IF(COND_INTERSTICIAL[[#This Row],[evapora]],2,1),IF(COND_INTERSTICIAL[[#This Row],[evapora]],1,0)+INDIRECT(ADDRESS(ROW()-1,COLUMN(),4)))</f>
        <v>#N/A</v>
      </c>
      <c r="DU76" s="111" t="e" cm="1">
        <f t="array" aca="1" ref="DU76" ca="1">IF(COND_INTERSTICIAL[[#This Row],[tramo ev]]=1,0,IF((COND_INTERSTICIAL[[#This Row],[tramo ev]]&gt;INDIRECT(ADDRESS(ROW()-1,COLUMN(COND_INTERSTICIAL[[#This Row],[tramo ev]]),4)))+COND_INTERSTICIAL[[#This Row],[evapora]],COND_INTERSTICIAL[[#This Row],[Capa]],INDIRECT(ADDRESS(ROW()-1,COLUMN(),4))))</f>
        <v>#N/A</v>
      </c>
      <c r="DV76" s="111" t="e" cm="1">
        <f t="array" aca="1" ref="DV76" ca="1">IF((COND_INTERSTICIAL[[#This Row],[Capa]]=N_capas)+(COND_INTERSTICIAL[[#This Row],[tramo ev]]=COUNTIFS(COND_INTERSTICIAL[evapora],TRUE,COND_INTERSTICIAL[Mes],CW76,COND_INTERSTICIAL[Sección],CX76)+1),N_capas,INDEX(COND_INTERSTICIAL[capa lím inf ev],MATCH(COND_INTERSTICIAL[[#This Row],[Mes]]&amp;"-"&amp;COND_INTERSTICIAL[[#This Row],[Sección]]&amp;"-"&amp;(COND_INTERSTICIAL[[#This Row],[tramo ev]]+1),COND_INTERSTICIAL[llave tramo ev],0)))</f>
        <v>#N/A</v>
      </c>
      <c r="DW76" s="111" cm="1">
        <f t="array" aca="1" ref="DW7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6" s="113" t="e" cm="1">
        <f t="array" aca="1" ref="DX7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6" s="113" t="e">
        <f ca="1">COND_INTERSTICIAL[[#This Row],[gev]]+COND_INTERSTICIAL[[#This Row],[Ma anterior ev]]</f>
        <v>#N/A</v>
      </c>
      <c r="EA76" s="115" t="e">
        <f ca="1">IF(COND_INTERSTICIAL[[#This Row],[Ma cond]]+COND_INTERSTICIAL[[#This Row],[Ma ev]]&lt;=0,0,COND_INTERSTICIAL[[#This Row],[Ma cond]]+COND_INTERSTICIAL[[#This Row],[Ma ev]])</f>
        <v>#N/A</v>
      </c>
      <c r="EB76" s="115" t="e">
        <f ca="1">IF(COND_INTERSTICIAL[[#This Row],[Ma]]&gt;0,TRUE,FALSE)</f>
        <v>#N/A</v>
      </c>
      <c r="EC76" s="115" t="e" cm="1">
        <f t="array" aca="1" ref="EC76" ca="1">IF(COND_INTERSTICIAL[[#This Row],[agua líquida]],IF(COND_INTERSTICIAL[[#This Row],[Condensa]],COND_INTERSTICIAL[[#This Row],[P límite cond]],COND_INTERSTICIAL[[#This Row],[P límite ev]]),IF(COND_INTERSTICIAL[[#This Row],[Capa]]=N_capas,COND_INTERSTICIAL[[#This Row],[Pn]],""))</f>
        <v>#N/A</v>
      </c>
      <c r="ED76" s="115" t="e">
        <f ca="1">COND_INTERSTICIAL[[#This Row],[Mes]]&amp;"-"&amp;COND_INTERSTICIAL[[#This Row],[Sección]]&amp;"-"&amp;COND_INTERSTICIAL[[#This Row],[tramo gráf]]</f>
        <v>#N/A</v>
      </c>
      <c r="EE76" s="114" t="e" cm="1">
        <f t="array" aca="1" ref="EE76" ca="1">IF(COND_INTERSTICIAL[[#This Row],[Capa]]=1,IF(COND_INTERSTICIAL[[#This Row],[agua líquida]],2,1),IF(COND_INTERSTICIAL[[#This Row],[agua líquida]],1,0)+INDIRECT(ADDRESS(ROW()-1,COLUMN(),4)))</f>
        <v>#N/A</v>
      </c>
      <c r="EF76" s="114" t="e" cm="1">
        <f t="array" aca="1" ref="EF76" ca="1">IF(COND_INTERSTICIAL[[#This Row],[tramo gráf]]=1,0,IF((COND_INTERSTICIAL[[#This Row],[tramo gráf]]&gt;INDIRECT(ADDRESS(ROW()-1,COLUMN(COND_INTERSTICIAL[[#This Row],[tramo gráf]]),4)))+COND_INTERSTICIAL[[#This Row],[agua líquida]],COND_INTERSTICIAL[[#This Row],[Capa]],INDIRECT(ADDRESS(ROW()-1,COLUMN(),4))))</f>
        <v>#N/A</v>
      </c>
      <c r="EG76" s="114" t="e" cm="1">
        <f t="array" aca="1" ref="EG76" ca="1">IF((COND_INTERSTICIAL[[#This Row],[Capa]]=N_capas)+(COND_INTERSTICIAL[[#This Row],[tramo gráf]]=COUNTIFS(COND_INTERSTICIAL[agua líquida],TRUE,COND_INTERSTICIAL[Mes],CW76,COND_INTERSTICIAL[Sección],CX76)+1),N_capas,INDEX(COND_INTERSTICIAL[capa lím inf gráf],MATCH(COND_INTERSTICIAL[[#This Row],[Mes]]&amp;"-"&amp;COND_INTERSTICIAL[[#This Row],[Sección]]&amp;"-"&amp;(COND_INTERSTICIAL[[#This Row],[tramo gráf]]+1),COND_INTERSTICIAL[llave tramo gráf],0)))</f>
        <v>#N/A</v>
      </c>
      <c r="EH76" s="114" cm="1">
        <f t="array" aca="1" ref="EH7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6" s="116" t="e" cm="1">
        <f t="array" aca="1" ref="EI7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7" spans="32:139" x14ac:dyDescent="0.45">
      <c r="CW77" s="1" cm="1">
        <f t="array" ref="CW77">ROUNDUP((ROW()-$CN$18+(Mes_inicial_de_análisis-1)*N_capas*N_secciones)/(N_capas*N_secciones),0)-12*IF(ROW()-$CN$18&gt;(12-Mes_inicial_de_análisis+1)*N_capas*N_secciones,1,0)</f>
        <v>11</v>
      </c>
      <c r="CX77" cm="1">
        <f t="array" ref="CX77">ROUNDUP((ROW()-$CN$18)/N_capas-(ROUNDUP((ROW()-$CN$18)/(N_capas*N_secciones),0)-1)*N_secciones,0)</f>
        <v>1</v>
      </c>
      <c r="CY77" cm="1">
        <f t="array" ref="CY77">(ROW()-$CN$18)-(COND_INTERSTICIAL[[#This Row],[Sección]]-1)*N_capas-(ROUNDUP((ROW()-$CN$18)/(N_capas*N_secciones),0)-1)*N_capas*N_secciones</f>
        <v>2</v>
      </c>
      <c r="CZ77" t="str">
        <f>COND_INTERSTICIAL[[#This Row],[Mes]]&amp;"-"&amp;COND_INTERSTICIAL[[#This Row],[Sección]]&amp;"-"&amp;COND_INTERSTICIAL[[#This Row],[Capa]]</f>
        <v>11-1-2</v>
      </c>
      <c r="DA77">
        <f ca="1">INDEX(SECCIONES_CAPAS[R''n],MATCH(COND_INTERSTICIAL[[#This Row],[Sección]]&amp;"-"&amp;COND_INTERSTICIAL[[#This Row],[Capa]],SECCIONES_CAPAS[llave],0))</f>
        <v>0.04</v>
      </c>
      <c r="DB77" s="172" t="e" cm="1">
        <f t="array" aca="1" ref="DB77" ca="1">INDEX(CLIMA[ϴe],COND_INTERSTICIAL[[#This Row],[Mes]])+COND_INTERSTICIAL[[#This Row],[Rn]]*(INDEX(CLIMA[ϴi],COND_INTERSTICIAL[[#This Row],[Mes]])-INDEX(CLIMA[ϴe],COND_INTERSTICIAL[[#This Row],[Mes]]))/(INDEX(SECCIONES[Rtsección_condensación],COND_INTERSTICIAL[[#This Row],[Sección]]))</f>
        <v>#N/A</v>
      </c>
      <c r="DC77">
        <f>INDEX(SECCIONES_CAPAS[Sd],MATCH(COND_INTERSTICIAL[[#This Row],[Sección]]&amp;"-"&amp;COND_INTERSTICIAL[[#This Row],[Capa]],SECCIONES_CAPAS[llave],0))</f>
        <v>0</v>
      </c>
      <c r="DD77">
        <f ca="1">INDEX(SECCIONES_CAPAS[S''d],MATCH(COND_INTERSTICIAL[[#This Row],[Sección]]&amp;"-"&amp;COND_INTERSTICIAL[[#This Row],[Capa]],SECCIONES_CAPAS[llave],0))</f>
        <v>0</v>
      </c>
      <c r="DE77" s="90" t="e">
        <f ca="1">IF(COND_INTERSTICIAL[[#This Row],[ϴn]]&gt;=0,610.5*EXP((17.269*COND_INTERSTICIAL[[#This Row],[ϴn]])/(237.3+COND_INTERSTICIAL[[#This Row],[ϴn]])),610.5*EXP((21.875*COND_INTERSTICIAL[[#This Row],[ϴn]])/(265.5+COND_INTERSTICIAL[[#This Row],[ϴn]])))</f>
        <v>#N/A</v>
      </c>
      <c r="DF77" s="90" t="e" cm="1">
        <f t="array" aca="1" ref="DF77" ca="1">COND_INTERSTICIAL[[#This Row],[S''d]]*((INDEX(CLIMA[Pi],COND_INTERSTICIAL[[#This Row],[Mes]])-INDEX(CLIMA[Pe],COND_INTERSTICIAL[[#This Row],[Mes]]))/INDEX(SECCIONES[SdT],COND_INTERSTICIAL[[#This Row],[Sección]]))+INDEX(CLIMA[Pe],COND_INTERSTICIAL[[#This Row],[Mes]])</f>
        <v>#N/A</v>
      </c>
      <c r="DG77" s="108" t="e">
        <f ca="1">IF((COND_INTERSTICIAL[[#This Row],[Pn]]&gt;=COND_INTERSTICIAL[[#This Row],[Psat]]),TRUE,FALSE)</f>
        <v>#N/A</v>
      </c>
      <c r="DH77" s="109" t="e" cm="1">
        <f t="array" aca="1" ref="DH77" ca="1">IF(COND_INTERSTICIAL[[#This Row],[Condensa]],COND_INTERSTICIAL[[#This Row],[Psat]],IF(COND_INTERSTICIAL[[#This Row],[Capa]]=N_capas,COND_INTERSTICIAL[[#This Row],[Pn]],""))</f>
        <v>#N/A</v>
      </c>
      <c r="DI77" s="109" t="e">
        <f ca="1">COND_INTERSTICIAL[[#This Row],[Mes]]&amp;"-"&amp;COND_INTERSTICIAL[[#This Row],[Sección]]&amp;"-"&amp;COND_INTERSTICIAL[[#This Row],[tramo cond]]</f>
        <v>#N/A</v>
      </c>
      <c r="DJ77" t="e" cm="1">
        <f t="array" aca="1" ref="DJ77" ca="1">IF(COND_INTERSTICIAL[[#This Row],[Capa]]=1,IF(COND_INTERSTICIAL[[#This Row],[Condensa]],2,1),IF(COND_INTERSTICIAL[[#This Row],[Condensa]],1,0)+INDIRECT(ADDRESS(ROW()-1,COLUMN(),4)))</f>
        <v>#N/A</v>
      </c>
      <c r="DK77" s="108" t="e" cm="1">
        <f t="array" aca="1" ref="DK77" ca="1">IF(COND_INTERSTICIAL[[#This Row],[tramo cond]]=1,0,IF((COND_INTERSTICIAL[[#This Row],[tramo cond]]&gt;INDIRECT(ADDRESS(ROW()-1,COLUMN(COND_INTERSTICIAL[[#This Row],[tramo cond]]),4)))+COND_INTERSTICIAL[[#This Row],[Condensa]],COND_INTERSTICIAL[[#This Row],[Capa]],INDIRECT(ADDRESS(ROW()-1,COLUMN(),4))))</f>
        <v>#N/A</v>
      </c>
      <c r="DL77" s="108" t="e" cm="1">
        <f t="array" aca="1" ref="DL77" ca="1">IF((COND_INTERSTICIAL[[#This Row],[Capa]]=N_capas)+(COND_INTERSTICIAL[[#This Row],[tramo cond]]=COUNTIFS(COND_INTERSTICIAL[Condensa],TRUE,COND_INTERSTICIAL[Mes],CW77,COND_INTERSTICIAL[Sección],CX77)+1),N_capas,INDEX(COND_INTERSTICIAL[capa lím inf cond],MATCH(COND_INTERSTICIAL[[#This Row],[Mes]]&amp;"-"&amp;COND_INTERSTICIAL[[#This Row],[Sección]]&amp;"-"&amp;(COND_INTERSTICIAL[[#This Row],[tramo cond]]+1),COND_INTERSTICIAL[llave tramo cond],0)))</f>
        <v>#N/A</v>
      </c>
      <c r="DM77" s="108" cm="1">
        <f t="array" aca="1" ref="DM7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7" s="110" t="e" cm="1">
        <f t="array" aca="1" ref="DN7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7" s="107" t="e">
        <f ca="1">COND_INTERSTICIAL[[#This Row],[gc]]+COND_INTERSTICIAL[[#This Row],[Ma_anterior cond]]</f>
        <v>#N/A</v>
      </c>
      <c r="DQ77" s="113" t="e">
        <f ca="1">IF((COND_INTERSTICIAL[[#This Row],[Ma_anterior cond]]&gt;0)*NOT(COND_INTERSTICIAL[[#This Row],[Condensa]]),TRUE,FALSE)</f>
        <v>#N/A</v>
      </c>
      <c r="DR77" s="112" t="e" cm="1">
        <f t="array" aca="1" ref="DR77" ca="1">IF(COND_INTERSTICIAL[[#This Row],[evapora]],COND_INTERSTICIAL[[#This Row],[Psat]],IF(COND_INTERSTICIAL[[#This Row],[Capa]]=N_capas,COND_INTERSTICIAL[[#This Row],[Pn]],""))</f>
        <v>#N/A</v>
      </c>
      <c r="DS77" s="112" t="e">
        <f ca="1">COND_INTERSTICIAL[[#This Row],[Mes]]&amp;"-"&amp;COND_INTERSTICIAL[[#This Row],[Sección]]&amp;"-"&amp;COND_INTERSTICIAL[[#This Row],[tramo ev]]</f>
        <v>#N/A</v>
      </c>
      <c r="DT77" s="111" t="e" cm="1">
        <f t="array" aca="1" ref="DT77" ca="1">IF(COND_INTERSTICIAL[[#This Row],[Capa]]=1,IF(COND_INTERSTICIAL[[#This Row],[evapora]],2,1),IF(COND_INTERSTICIAL[[#This Row],[evapora]],1,0)+INDIRECT(ADDRESS(ROW()-1,COLUMN(),4)))</f>
        <v>#N/A</v>
      </c>
      <c r="DU77" s="111" t="e" cm="1">
        <f t="array" aca="1" ref="DU77" ca="1">IF(COND_INTERSTICIAL[[#This Row],[tramo ev]]=1,0,IF((COND_INTERSTICIAL[[#This Row],[tramo ev]]&gt;INDIRECT(ADDRESS(ROW()-1,COLUMN(COND_INTERSTICIAL[[#This Row],[tramo ev]]),4)))+COND_INTERSTICIAL[[#This Row],[evapora]],COND_INTERSTICIAL[[#This Row],[Capa]],INDIRECT(ADDRESS(ROW()-1,COLUMN(),4))))</f>
        <v>#N/A</v>
      </c>
      <c r="DV77" s="111" t="e" cm="1">
        <f t="array" aca="1" ref="DV77" ca="1">IF((COND_INTERSTICIAL[[#This Row],[Capa]]=N_capas)+(COND_INTERSTICIAL[[#This Row],[tramo ev]]=COUNTIFS(COND_INTERSTICIAL[evapora],TRUE,COND_INTERSTICIAL[Mes],CW77,COND_INTERSTICIAL[Sección],CX77)+1),N_capas,INDEX(COND_INTERSTICIAL[capa lím inf ev],MATCH(COND_INTERSTICIAL[[#This Row],[Mes]]&amp;"-"&amp;COND_INTERSTICIAL[[#This Row],[Sección]]&amp;"-"&amp;(COND_INTERSTICIAL[[#This Row],[tramo ev]]+1),COND_INTERSTICIAL[llave tramo ev],0)))</f>
        <v>#N/A</v>
      </c>
      <c r="DW77" s="111" cm="1">
        <f t="array" aca="1" ref="DW7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7" s="113" t="e" cm="1">
        <f t="array" aca="1" ref="DX7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7" s="113" t="e">
        <f ca="1">COND_INTERSTICIAL[[#This Row],[gev]]+COND_INTERSTICIAL[[#This Row],[Ma anterior ev]]</f>
        <v>#N/A</v>
      </c>
      <c r="EA77" s="115" t="e">
        <f ca="1">IF(COND_INTERSTICIAL[[#This Row],[Ma cond]]+COND_INTERSTICIAL[[#This Row],[Ma ev]]&lt;=0,0,COND_INTERSTICIAL[[#This Row],[Ma cond]]+COND_INTERSTICIAL[[#This Row],[Ma ev]])</f>
        <v>#N/A</v>
      </c>
      <c r="EB77" s="115" t="e">
        <f ca="1">IF(COND_INTERSTICIAL[[#This Row],[Ma]]&gt;0,TRUE,FALSE)</f>
        <v>#N/A</v>
      </c>
      <c r="EC77" s="115" t="e" cm="1">
        <f t="array" aca="1" ref="EC77" ca="1">IF(COND_INTERSTICIAL[[#This Row],[agua líquida]],IF(COND_INTERSTICIAL[[#This Row],[Condensa]],COND_INTERSTICIAL[[#This Row],[P límite cond]],COND_INTERSTICIAL[[#This Row],[P límite ev]]),IF(COND_INTERSTICIAL[[#This Row],[Capa]]=N_capas,COND_INTERSTICIAL[[#This Row],[Pn]],""))</f>
        <v>#N/A</v>
      </c>
      <c r="ED77" s="115" t="e">
        <f ca="1">COND_INTERSTICIAL[[#This Row],[Mes]]&amp;"-"&amp;COND_INTERSTICIAL[[#This Row],[Sección]]&amp;"-"&amp;COND_INTERSTICIAL[[#This Row],[tramo gráf]]</f>
        <v>#N/A</v>
      </c>
      <c r="EE77" s="114" t="e" cm="1">
        <f t="array" aca="1" ref="EE77" ca="1">IF(COND_INTERSTICIAL[[#This Row],[Capa]]=1,IF(COND_INTERSTICIAL[[#This Row],[agua líquida]],2,1),IF(COND_INTERSTICIAL[[#This Row],[agua líquida]],1,0)+INDIRECT(ADDRESS(ROW()-1,COLUMN(),4)))</f>
        <v>#N/A</v>
      </c>
      <c r="EF77" s="114" t="e" cm="1">
        <f t="array" aca="1" ref="EF77" ca="1">IF(COND_INTERSTICIAL[[#This Row],[tramo gráf]]=1,0,IF((COND_INTERSTICIAL[[#This Row],[tramo gráf]]&gt;INDIRECT(ADDRESS(ROW()-1,COLUMN(COND_INTERSTICIAL[[#This Row],[tramo gráf]]),4)))+COND_INTERSTICIAL[[#This Row],[agua líquida]],COND_INTERSTICIAL[[#This Row],[Capa]],INDIRECT(ADDRESS(ROW()-1,COLUMN(),4))))</f>
        <v>#N/A</v>
      </c>
      <c r="EG77" s="114" t="e" cm="1">
        <f t="array" aca="1" ref="EG77" ca="1">IF((COND_INTERSTICIAL[[#This Row],[Capa]]=N_capas)+(COND_INTERSTICIAL[[#This Row],[tramo gráf]]=COUNTIFS(COND_INTERSTICIAL[agua líquida],TRUE,COND_INTERSTICIAL[Mes],CW77,COND_INTERSTICIAL[Sección],CX77)+1),N_capas,INDEX(COND_INTERSTICIAL[capa lím inf gráf],MATCH(COND_INTERSTICIAL[[#This Row],[Mes]]&amp;"-"&amp;COND_INTERSTICIAL[[#This Row],[Sección]]&amp;"-"&amp;(COND_INTERSTICIAL[[#This Row],[tramo gráf]]+1),COND_INTERSTICIAL[llave tramo gráf],0)))</f>
        <v>#N/A</v>
      </c>
      <c r="EH77" s="114" cm="1">
        <f t="array" aca="1" ref="EH7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7" s="116" t="e" cm="1">
        <f t="array" aca="1" ref="EI7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8" spans="32:139" x14ac:dyDescent="0.45">
      <c r="CW78" s="1" cm="1">
        <f t="array" ref="CW78">ROUNDUP((ROW()-$CN$18+(Mes_inicial_de_análisis-1)*N_capas*N_secciones)/(N_capas*N_secciones),0)-12*IF(ROW()-$CN$18&gt;(12-Mes_inicial_de_análisis+1)*N_capas*N_secciones,1,0)</f>
        <v>11</v>
      </c>
      <c r="CX78" cm="1">
        <f t="array" ref="CX78">ROUNDUP((ROW()-$CN$18)/N_capas-(ROUNDUP((ROW()-$CN$18)/(N_capas*N_secciones),0)-1)*N_secciones,0)</f>
        <v>1</v>
      </c>
      <c r="CY78" cm="1">
        <f t="array" ref="CY78">(ROW()-$CN$18)-(COND_INTERSTICIAL[[#This Row],[Sección]]-1)*N_capas-(ROUNDUP((ROW()-$CN$18)/(N_capas*N_secciones),0)-1)*N_capas*N_secciones</f>
        <v>3</v>
      </c>
      <c r="CZ78" t="str">
        <f>COND_INTERSTICIAL[[#This Row],[Mes]]&amp;"-"&amp;COND_INTERSTICIAL[[#This Row],[Sección]]&amp;"-"&amp;COND_INTERSTICIAL[[#This Row],[Capa]]</f>
        <v>11-1-3</v>
      </c>
      <c r="DA78">
        <f ca="1">INDEX(SECCIONES_CAPAS[R''n],MATCH(COND_INTERSTICIAL[[#This Row],[Sección]]&amp;"-"&amp;COND_INTERSTICIAL[[#This Row],[Capa]],SECCIONES_CAPAS[llave],0))</f>
        <v>0.04</v>
      </c>
      <c r="DB78" s="172" t="e" cm="1">
        <f t="array" aca="1" ref="DB78" ca="1">INDEX(CLIMA[ϴe],COND_INTERSTICIAL[[#This Row],[Mes]])+COND_INTERSTICIAL[[#This Row],[Rn]]*(INDEX(CLIMA[ϴi],COND_INTERSTICIAL[[#This Row],[Mes]])-INDEX(CLIMA[ϴe],COND_INTERSTICIAL[[#This Row],[Mes]]))/(INDEX(SECCIONES[Rtsección_condensación],COND_INTERSTICIAL[[#This Row],[Sección]]))</f>
        <v>#N/A</v>
      </c>
      <c r="DC78">
        <f>INDEX(SECCIONES_CAPAS[Sd],MATCH(COND_INTERSTICIAL[[#This Row],[Sección]]&amp;"-"&amp;COND_INTERSTICIAL[[#This Row],[Capa]],SECCIONES_CAPAS[llave],0))</f>
        <v>0</v>
      </c>
      <c r="DD78">
        <f ca="1">INDEX(SECCIONES_CAPAS[S''d],MATCH(COND_INTERSTICIAL[[#This Row],[Sección]]&amp;"-"&amp;COND_INTERSTICIAL[[#This Row],[Capa]],SECCIONES_CAPAS[llave],0))</f>
        <v>0</v>
      </c>
      <c r="DE78" s="90" t="e">
        <f ca="1">IF(COND_INTERSTICIAL[[#This Row],[ϴn]]&gt;=0,610.5*EXP((17.269*COND_INTERSTICIAL[[#This Row],[ϴn]])/(237.3+COND_INTERSTICIAL[[#This Row],[ϴn]])),610.5*EXP((21.875*COND_INTERSTICIAL[[#This Row],[ϴn]])/(265.5+COND_INTERSTICIAL[[#This Row],[ϴn]])))</f>
        <v>#N/A</v>
      </c>
      <c r="DF78" s="90" t="e" cm="1">
        <f t="array" aca="1" ref="DF78" ca="1">COND_INTERSTICIAL[[#This Row],[S''d]]*((INDEX(CLIMA[Pi],COND_INTERSTICIAL[[#This Row],[Mes]])-INDEX(CLIMA[Pe],COND_INTERSTICIAL[[#This Row],[Mes]]))/INDEX(SECCIONES[SdT],COND_INTERSTICIAL[[#This Row],[Sección]]))+INDEX(CLIMA[Pe],COND_INTERSTICIAL[[#This Row],[Mes]])</f>
        <v>#N/A</v>
      </c>
      <c r="DG78" s="108" t="e">
        <f ca="1">IF((COND_INTERSTICIAL[[#This Row],[Pn]]&gt;=COND_INTERSTICIAL[[#This Row],[Psat]]),TRUE,FALSE)</f>
        <v>#N/A</v>
      </c>
      <c r="DH78" s="109" t="e" cm="1">
        <f t="array" aca="1" ref="DH78" ca="1">IF(COND_INTERSTICIAL[[#This Row],[Condensa]],COND_INTERSTICIAL[[#This Row],[Psat]],IF(COND_INTERSTICIAL[[#This Row],[Capa]]=N_capas,COND_INTERSTICIAL[[#This Row],[Pn]],""))</f>
        <v>#N/A</v>
      </c>
      <c r="DI78" s="109" t="e">
        <f ca="1">COND_INTERSTICIAL[[#This Row],[Mes]]&amp;"-"&amp;COND_INTERSTICIAL[[#This Row],[Sección]]&amp;"-"&amp;COND_INTERSTICIAL[[#This Row],[tramo cond]]</f>
        <v>#N/A</v>
      </c>
      <c r="DJ78" t="e" cm="1">
        <f t="array" aca="1" ref="DJ78" ca="1">IF(COND_INTERSTICIAL[[#This Row],[Capa]]=1,IF(COND_INTERSTICIAL[[#This Row],[Condensa]],2,1),IF(COND_INTERSTICIAL[[#This Row],[Condensa]],1,0)+INDIRECT(ADDRESS(ROW()-1,COLUMN(),4)))</f>
        <v>#N/A</v>
      </c>
      <c r="DK78" s="108" t="e" cm="1">
        <f t="array" aca="1" ref="DK78" ca="1">IF(COND_INTERSTICIAL[[#This Row],[tramo cond]]=1,0,IF((COND_INTERSTICIAL[[#This Row],[tramo cond]]&gt;INDIRECT(ADDRESS(ROW()-1,COLUMN(COND_INTERSTICIAL[[#This Row],[tramo cond]]),4)))+COND_INTERSTICIAL[[#This Row],[Condensa]],COND_INTERSTICIAL[[#This Row],[Capa]],INDIRECT(ADDRESS(ROW()-1,COLUMN(),4))))</f>
        <v>#N/A</v>
      </c>
      <c r="DL78" s="108" t="e" cm="1">
        <f t="array" aca="1" ref="DL78" ca="1">IF((COND_INTERSTICIAL[[#This Row],[Capa]]=N_capas)+(COND_INTERSTICIAL[[#This Row],[tramo cond]]=COUNTIFS(COND_INTERSTICIAL[Condensa],TRUE,COND_INTERSTICIAL[Mes],CW78,COND_INTERSTICIAL[Sección],CX78)+1),N_capas,INDEX(COND_INTERSTICIAL[capa lím inf cond],MATCH(COND_INTERSTICIAL[[#This Row],[Mes]]&amp;"-"&amp;COND_INTERSTICIAL[[#This Row],[Sección]]&amp;"-"&amp;(COND_INTERSTICIAL[[#This Row],[tramo cond]]+1),COND_INTERSTICIAL[llave tramo cond],0)))</f>
        <v>#N/A</v>
      </c>
      <c r="DM78" s="108" cm="1">
        <f t="array" aca="1" ref="DM7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8" s="110" t="e" cm="1">
        <f t="array" aca="1" ref="DN7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8" s="107" t="e">
        <f ca="1">COND_INTERSTICIAL[[#This Row],[gc]]+COND_INTERSTICIAL[[#This Row],[Ma_anterior cond]]</f>
        <v>#N/A</v>
      </c>
      <c r="DQ78" s="113" t="e">
        <f ca="1">IF((COND_INTERSTICIAL[[#This Row],[Ma_anterior cond]]&gt;0)*NOT(COND_INTERSTICIAL[[#This Row],[Condensa]]),TRUE,FALSE)</f>
        <v>#N/A</v>
      </c>
      <c r="DR78" s="112" t="e" cm="1">
        <f t="array" aca="1" ref="DR78" ca="1">IF(COND_INTERSTICIAL[[#This Row],[evapora]],COND_INTERSTICIAL[[#This Row],[Psat]],IF(COND_INTERSTICIAL[[#This Row],[Capa]]=N_capas,COND_INTERSTICIAL[[#This Row],[Pn]],""))</f>
        <v>#N/A</v>
      </c>
      <c r="DS78" s="112" t="e">
        <f ca="1">COND_INTERSTICIAL[[#This Row],[Mes]]&amp;"-"&amp;COND_INTERSTICIAL[[#This Row],[Sección]]&amp;"-"&amp;COND_INTERSTICIAL[[#This Row],[tramo ev]]</f>
        <v>#N/A</v>
      </c>
      <c r="DT78" s="111" t="e" cm="1">
        <f t="array" aca="1" ref="DT78" ca="1">IF(COND_INTERSTICIAL[[#This Row],[Capa]]=1,IF(COND_INTERSTICIAL[[#This Row],[evapora]],2,1),IF(COND_INTERSTICIAL[[#This Row],[evapora]],1,0)+INDIRECT(ADDRESS(ROW()-1,COLUMN(),4)))</f>
        <v>#N/A</v>
      </c>
      <c r="DU78" s="111" t="e" cm="1">
        <f t="array" aca="1" ref="DU78" ca="1">IF(COND_INTERSTICIAL[[#This Row],[tramo ev]]=1,0,IF((COND_INTERSTICIAL[[#This Row],[tramo ev]]&gt;INDIRECT(ADDRESS(ROW()-1,COLUMN(COND_INTERSTICIAL[[#This Row],[tramo ev]]),4)))+COND_INTERSTICIAL[[#This Row],[evapora]],COND_INTERSTICIAL[[#This Row],[Capa]],INDIRECT(ADDRESS(ROW()-1,COLUMN(),4))))</f>
        <v>#N/A</v>
      </c>
      <c r="DV78" s="111" t="e" cm="1">
        <f t="array" aca="1" ref="DV78" ca="1">IF((COND_INTERSTICIAL[[#This Row],[Capa]]=N_capas)+(COND_INTERSTICIAL[[#This Row],[tramo ev]]=COUNTIFS(COND_INTERSTICIAL[evapora],TRUE,COND_INTERSTICIAL[Mes],CW78,COND_INTERSTICIAL[Sección],CX78)+1),N_capas,INDEX(COND_INTERSTICIAL[capa lím inf ev],MATCH(COND_INTERSTICIAL[[#This Row],[Mes]]&amp;"-"&amp;COND_INTERSTICIAL[[#This Row],[Sección]]&amp;"-"&amp;(COND_INTERSTICIAL[[#This Row],[tramo ev]]+1),COND_INTERSTICIAL[llave tramo ev],0)))</f>
        <v>#N/A</v>
      </c>
      <c r="DW78" s="111" cm="1">
        <f t="array" aca="1" ref="DW7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8" s="113" t="e" cm="1">
        <f t="array" aca="1" ref="DX7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8" s="113" t="e">
        <f ca="1">COND_INTERSTICIAL[[#This Row],[gev]]+COND_INTERSTICIAL[[#This Row],[Ma anterior ev]]</f>
        <v>#N/A</v>
      </c>
      <c r="EA78" s="115" t="e">
        <f ca="1">IF(COND_INTERSTICIAL[[#This Row],[Ma cond]]+COND_INTERSTICIAL[[#This Row],[Ma ev]]&lt;=0,0,COND_INTERSTICIAL[[#This Row],[Ma cond]]+COND_INTERSTICIAL[[#This Row],[Ma ev]])</f>
        <v>#N/A</v>
      </c>
      <c r="EB78" s="115" t="e">
        <f ca="1">IF(COND_INTERSTICIAL[[#This Row],[Ma]]&gt;0,TRUE,FALSE)</f>
        <v>#N/A</v>
      </c>
      <c r="EC78" s="115" t="e" cm="1">
        <f t="array" aca="1" ref="EC78" ca="1">IF(COND_INTERSTICIAL[[#This Row],[agua líquida]],IF(COND_INTERSTICIAL[[#This Row],[Condensa]],COND_INTERSTICIAL[[#This Row],[P límite cond]],COND_INTERSTICIAL[[#This Row],[P límite ev]]),IF(COND_INTERSTICIAL[[#This Row],[Capa]]=N_capas,COND_INTERSTICIAL[[#This Row],[Pn]],""))</f>
        <v>#N/A</v>
      </c>
      <c r="ED78" s="115" t="e">
        <f ca="1">COND_INTERSTICIAL[[#This Row],[Mes]]&amp;"-"&amp;COND_INTERSTICIAL[[#This Row],[Sección]]&amp;"-"&amp;COND_INTERSTICIAL[[#This Row],[tramo gráf]]</f>
        <v>#N/A</v>
      </c>
      <c r="EE78" s="114" t="e" cm="1">
        <f t="array" aca="1" ref="EE78" ca="1">IF(COND_INTERSTICIAL[[#This Row],[Capa]]=1,IF(COND_INTERSTICIAL[[#This Row],[agua líquida]],2,1),IF(COND_INTERSTICIAL[[#This Row],[agua líquida]],1,0)+INDIRECT(ADDRESS(ROW()-1,COLUMN(),4)))</f>
        <v>#N/A</v>
      </c>
      <c r="EF78" s="114" t="e" cm="1">
        <f t="array" aca="1" ref="EF78" ca="1">IF(COND_INTERSTICIAL[[#This Row],[tramo gráf]]=1,0,IF((COND_INTERSTICIAL[[#This Row],[tramo gráf]]&gt;INDIRECT(ADDRESS(ROW()-1,COLUMN(COND_INTERSTICIAL[[#This Row],[tramo gráf]]),4)))+COND_INTERSTICIAL[[#This Row],[agua líquida]],COND_INTERSTICIAL[[#This Row],[Capa]],INDIRECT(ADDRESS(ROW()-1,COLUMN(),4))))</f>
        <v>#N/A</v>
      </c>
      <c r="EG78" s="114" t="e" cm="1">
        <f t="array" aca="1" ref="EG78" ca="1">IF((COND_INTERSTICIAL[[#This Row],[Capa]]=N_capas)+(COND_INTERSTICIAL[[#This Row],[tramo gráf]]=COUNTIFS(COND_INTERSTICIAL[agua líquida],TRUE,COND_INTERSTICIAL[Mes],CW78,COND_INTERSTICIAL[Sección],CX78)+1),N_capas,INDEX(COND_INTERSTICIAL[capa lím inf gráf],MATCH(COND_INTERSTICIAL[[#This Row],[Mes]]&amp;"-"&amp;COND_INTERSTICIAL[[#This Row],[Sección]]&amp;"-"&amp;(COND_INTERSTICIAL[[#This Row],[tramo gráf]]+1),COND_INTERSTICIAL[llave tramo gráf],0)))</f>
        <v>#N/A</v>
      </c>
      <c r="EH78" s="114" cm="1">
        <f t="array" aca="1" ref="EH7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8" s="116" t="e" cm="1">
        <f t="array" aca="1" ref="EI7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9" spans="32:139" x14ac:dyDescent="0.45">
      <c r="CW79" s="1" cm="1">
        <f t="array" ref="CW79">ROUNDUP((ROW()-$CN$18+(Mes_inicial_de_análisis-1)*N_capas*N_secciones)/(N_capas*N_secciones),0)-12*IF(ROW()-$CN$18&gt;(12-Mes_inicial_de_análisis+1)*N_capas*N_secciones,1,0)</f>
        <v>11</v>
      </c>
      <c r="CX79" cm="1">
        <f t="array" ref="CX79">ROUNDUP((ROW()-$CN$18)/N_capas-(ROUNDUP((ROW()-$CN$18)/(N_capas*N_secciones),0)-1)*N_secciones,0)</f>
        <v>1</v>
      </c>
      <c r="CY79" cm="1">
        <f t="array" ref="CY79">(ROW()-$CN$18)-(COND_INTERSTICIAL[[#This Row],[Sección]]-1)*N_capas-(ROUNDUP((ROW()-$CN$18)/(N_capas*N_secciones),0)-1)*N_capas*N_secciones</f>
        <v>4</v>
      </c>
      <c r="CZ79" t="str">
        <f>COND_INTERSTICIAL[[#This Row],[Mes]]&amp;"-"&amp;COND_INTERSTICIAL[[#This Row],[Sección]]&amp;"-"&amp;COND_INTERSTICIAL[[#This Row],[Capa]]</f>
        <v>11-1-4</v>
      </c>
      <c r="DA79">
        <f ca="1">INDEX(SECCIONES_CAPAS[R''n],MATCH(COND_INTERSTICIAL[[#This Row],[Sección]]&amp;"-"&amp;COND_INTERSTICIAL[[#This Row],[Capa]],SECCIONES_CAPAS[llave],0))</f>
        <v>0.04</v>
      </c>
      <c r="DB79" s="172" t="e" cm="1">
        <f t="array" aca="1" ref="DB79" ca="1">INDEX(CLIMA[ϴe],COND_INTERSTICIAL[[#This Row],[Mes]])+COND_INTERSTICIAL[[#This Row],[Rn]]*(INDEX(CLIMA[ϴi],COND_INTERSTICIAL[[#This Row],[Mes]])-INDEX(CLIMA[ϴe],COND_INTERSTICIAL[[#This Row],[Mes]]))/(INDEX(SECCIONES[Rtsección_condensación],COND_INTERSTICIAL[[#This Row],[Sección]]))</f>
        <v>#N/A</v>
      </c>
      <c r="DC79">
        <f>INDEX(SECCIONES_CAPAS[Sd],MATCH(COND_INTERSTICIAL[[#This Row],[Sección]]&amp;"-"&amp;COND_INTERSTICIAL[[#This Row],[Capa]],SECCIONES_CAPAS[llave],0))</f>
        <v>0</v>
      </c>
      <c r="DD79">
        <f ca="1">INDEX(SECCIONES_CAPAS[S''d],MATCH(COND_INTERSTICIAL[[#This Row],[Sección]]&amp;"-"&amp;COND_INTERSTICIAL[[#This Row],[Capa]],SECCIONES_CAPAS[llave],0))</f>
        <v>0</v>
      </c>
      <c r="DE79" s="90" t="e">
        <f ca="1">IF(COND_INTERSTICIAL[[#This Row],[ϴn]]&gt;=0,610.5*EXP((17.269*COND_INTERSTICIAL[[#This Row],[ϴn]])/(237.3+COND_INTERSTICIAL[[#This Row],[ϴn]])),610.5*EXP((21.875*COND_INTERSTICIAL[[#This Row],[ϴn]])/(265.5+COND_INTERSTICIAL[[#This Row],[ϴn]])))</f>
        <v>#N/A</v>
      </c>
      <c r="DF79" s="90" t="e" cm="1">
        <f t="array" aca="1" ref="DF79" ca="1">COND_INTERSTICIAL[[#This Row],[S''d]]*((INDEX(CLIMA[Pi],COND_INTERSTICIAL[[#This Row],[Mes]])-INDEX(CLIMA[Pe],COND_INTERSTICIAL[[#This Row],[Mes]]))/INDEX(SECCIONES[SdT],COND_INTERSTICIAL[[#This Row],[Sección]]))+INDEX(CLIMA[Pe],COND_INTERSTICIAL[[#This Row],[Mes]])</f>
        <v>#N/A</v>
      </c>
      <c r="DG79" s="108" t="e">
        <f ca="1">IF((COND_INTERSTICIAL[[#This Row],[Pn]]&gt;=COND_INTERSTICIAL[[#This Row],[Psat]]),TRUE,FALSE)</f>
        <v>#N/A</v>
      </c>
      <c r="DH79" s="109" t="e" cm="1">
        <f t="array" aca="1" ref="DH79" ca="1">IF(COND_INTERSTICIAL[[#This Row],[Condensa]],COND_INTERSTICIAL[[#This Row],[Psat]],IF(COND_INTERSTICIAL[[#This Row],[Capa]]=N_capas,COND_INTERSTICIAL[[#This Row],[Pn]],""))</f>
        <v>#N/A</v>
      </c>
      <c r="DI79" s="109" t="e">
        <f ca="1">COND_INTERSTICIAL[[#This Row],[Mes]]&amp;"-"&amp;COND_INTERSTICIAL[[#This Row],[Sección]]&amp;"-"&amp;COND_INTERSTICIAL[[#This Row],[tramo cond]]</f>
        <v>#N/A</v>
      </c>
      <c r="DJ79" t="e" cm="1">
        <f t="array" aca="1" ref="DJ79" ca="1">IF(COND_INTERSTICIAL[[#This Row],[Capa]]=1,IF(COND_INTERSTICIAL[[#This Row],[Condensa]],2,1),IF(COND_INTERSTICIAL[[#This Row],[Condensa]],1,0)+INDIRECT(ADDRESS(ROW()-1,COLUMN(),4)))</f>
        <v>#N/A</v>
      </c>
      <c r="DK79" s="108" t="e" cm="1">
        <f t="array" aca="1" ref="DK79" ca="1">IF(COND_INTERSTICIAL[[#This Row],[tramo cond]]=1,0,IF((COND_INTERSTICIAL[[#This Row],[tramo cond]]&gt;INDIRECT(ADDRESS(ROW()-1,COLUMN(COND_INTERSTICIAL[[#This Row],[tramo cond]]),4)))+COND_INTERSTICIAL[[#This Row],[Condensa]],COND_INTERSTICIAL[[#This Row],[Capa]],INDIRECT(ADDRESS(ROW()-1,COLUMN(),4))))</f>
        <v>#N/A</v>
      </c>
      <c r="DL79" s="108" t="e" cm="1">
        <f t="array" aca="1" ref="DL79" ca="1">IF((COND_INTERSTICIAL[[#This Row],[Capa]]=N_capas)+(COND_INTERSTICIAL[[#This Row],[tramo cond]]=COUNTIFS(COND_INTERSTICIAL[Condensa],TRUE,COND_INTERSTICIAL[Mes],CW79,COND_INTERSTICIAL[Sección],CX79)+1),N_capas,INDEX(COND_INTERSTICIAL[capa lím inf cond],MATCH(COND_INTERSTICIAL[[#This Row],[Mes]]&amp;"-"&amp;COND_INTERSTICIAL[[#This Row],[Sección]]&amp;"-"&amp;(COND_INTERSTICIAL[[#This Row],[tramo cond]]+1),COND_INTERSTICIAL[llave tramo cond],0)))</f>
        <v>#N/A</v>
      </c>
      <c r="DM79" s="108" cm="1">
        <f t="array" aca="1" ref="DM7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9" s="110" t="e" cm="1">
        <f t="array" aca="1" ref="DN7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9" s="107" t="e">
        <f ca="1">COND_INTERSTICIAL[[#This Row],[gc]]+COND_INTERSTICIAL[[#This Row],[Ma_anterior cond]]</f>
        <v>#N/A</v>
      </c>
      <c r="DQ79" s="113" t="e">
        <f ca="1">IF((COND_INTERSTICIAL[[#This Row],[Ma_anterior cond]]&gt;0)*NOT(COND_INTERSTICIAL[[#This Row],[Condensa]]),TRUE,FALSE)</f>
        <v>#N/A</v>
      </c>
      <c r="DR79" s="112" t="e" cm="1">
        <f t="array" aca="1" ref="DR79" ca="1">IF(COND_INTERSTICIAL[[#This Row],[evapora]],COND_INTERSTICIAL[[#This Row],[Psat]],IF(COND_INTERSTICIAL[[#This Row],[Capa]]=N_capas,COND_INTERSTICIAL[[#This Row],[Pn]],""))</f>
        <v>#N/A</v>
      </c>
      <c r="DS79" s="112" t="e">
        <f ca="1">COND_INTERSTICIAL[[#This Row],[Mes]]&amp;"-"&amp;COND_INTERSTICIAL[[#This Row],[Sección]]&amp;"-"&amp;COND_INTERSTICIAL[[#This Row],[tramo ev]]</f>
        <v>#N/A</v>
      </c>
      <c r="DT79" s="111" t="e" cm="1">
        <f t="array" aca="1" ref="DT79" ca="1">IF(COND_INTERSTICIAL[[#This Row],[Capa]]=1,IF(COND_INTERSTICIAL[[#This Row],[evapora]],2,1),IF(COND_INTERSTICIAL[[#This Row],[evapora]],1,0)+INDIRECT(ADDRESS(ROW()-1,COLUMN(),4)))</f>
        <v>#N/A</v>
      </c>
      <c r="DU79" s="111" t="e" cm="1">
        <f t="array" aca="1" ref="DU79" ca="1">IF(COND_INTERSTICIAL[[#This Row],[tramo ev]]=1,0,IF((COND_INTERSTICIAL[[#This Row],[tramo ev]]&gt;INDIRECT(ADDRESS(ROW()-1,COLUMN(COND_INTERSTICIAL[[#This Row],[tramo ev]]),4)))+COND_INTERSTICIAL[[#This Row],[evapora]],COND_INTERSTICIAL[[#This Row],[Capa]],INDIRECT(ADDRESS(ROW()-1,COLUMN(),4))))</f>
        <v>#N/A</v>
      </c>
      <c r="DV79" s="111" t="e" cm="1">
        <f t="array" aca="1" ref="DV79" ca="1">IF((COND_INTERSTICIAL[[#This Row],[Capa]]=N_capas)+(COND_INTERSTICIAL[[#This Row],[tramo ev]]=COUNTIFS(COND_INTERSTICIAL[evapora],TRUE,COND_INTERSTICIAL[Mes],CW79,COND_INTERSTICIAL[Sección],CX79)+1),N_capas,INDEX(COND_INTERSTICIAL[capa lím inf ev],MATCH(COND_INTERSTICIAL[[#This Row],[Mes]]&amp;"-"&amp;COND_INTERSTICIAL[[#This Row],[Sección]]&amp;"-"&amp;(COND_INTERSTICIAL[[#This Row],[tramo ev]]+1),COND_INTERSTICIAL[llave tramo ev],0)))</f>
        <v>#N/A</v>
      </c>
      <c r="DW79" s="111" cm="1">
        <f t="array" aca="1" ref="DW7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9" s="113" t="e" cm="1">
        <f t="array" aca="1" ref="DX7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9" s="113" t="e">
        <f ca="1">COND_INTERSTICIAL[[#This Row],[gev]]+COND_INTERSTICIAL[[#This Row],[Ma anterior ev]]</f>
        <v>#N/A</v>
      </c>
      <c r="EA79" s="115" t="e">
        <f ca="1">IF(COND_INTERSTICIAL[[#This Row],[Ma cond]]+COND_INTERSTICIAL[[#This Row],[Ma ev]]&lt;=0,0,COND_INTERSTICIAL[[#This Row],[Ma cond]]+COND_INTERSTICIAL[[#This Row],[Ma ev]])</f>
        <v>#N/A</v>
      </c>
      <c r="EB79" s="115" t="e">
        <f ca="1">IF(COND_INTERSTICIAL[[#This Row],[Ma]]&gt;0,TRUE,FALSE)</f>
        <v>#N/A</v>
      </c>
      <c r="EC79" s="115" t="e" cm="1">
        <f t="array" aca="1" ref="EC79" ca="1">IF(COND_INTERSTICIAL[[#This Row],[agua líquida]],IF(COND_INTERSTICIAL[[#This Row],[Condensa]],COND_INTERSTICIAL[[#This Row],[P límite cond]],COND_INTERSTICIAL[[#This Row],[P límite ev]]),IF(COND_INTERSTICIAL[[#This Row],[Capa]]=N_capas,COND_INTERSTICIAL[[#This Row],[Pn]],""))</f>
        <v>#N/A</v>
      </c>
      <c r="ED79" s="115" t="e">
        <f ca="1">COND_INTERSTICIAL[[#This Row],[Mes]]&amp;"-"&amp;COND_INTERSTICIAL[[#This Row],[Sección]]&amp;"-"&amp;COND_INTERSTICIAL[[#This Row],[tramo gráf]]</f>
        <v>#N/A</v>
      </c>
      <c r="EE79" s="114" t="e" cm="1">
        <f t="array" aca="1" ref="EE79" ca="1">IF(COND_INTERSTICIAL[[#This Row],[Capa]]=1,IF(COND_INTERSTICIAL[[#This Row],[agua líquida]],2,1),IF(COND_INTERSTICIAL[[#This Row],[agua líquida]],1,0)+INDIRECT(ADDRESS(ROW()-1,COLUMN(),4)))</f>
        <v>#N/A</v>
      </c>
      <c r="EF79" s="114" t="e" cm="1">
        <f t="array" aca="1" ref="EF79" ca="1">IF(COND_INTERSTICIAL[[#This Row],[tramo gráf]]=1,0,IF((COND_INTERSTICIAL[[#This Row],[tramo gráf]]&gt;INDIRECT(ADDRESS(ROW()-1,COLUMN(COND_INTERSTICIAL[[#This Row],[tramo gráf]]),4)))+COND_INTERSTICIAL[[#This Row],[agua líquida]],COND_INTERSTICIAL[[#This Row],[Capa]],INDIRECT(ADDRESS(ROW()-1,COLUMN(),4))))</f>
        <v>#N/A</v>
      </c>
      <c r="EG79" s="114" t="e" cm="1">
        <f t="array" aca="1" ref="EG79" ca="1">IF((COND_INTERSTICIAL[[#This Row],[Capa]]=N_capas)+(COND_INTERSTICIAL[[#This Row],[tramo gráf]]=COUNTIFS(COND_INTERSTICIAL[agua líquida],TRUE,COND_INTERSTICIAL[Mes],CW79,COND_INTERSTICIAL[Sección],CX79)+1),N_capas,INDEX(COND_INTERSTICIAL[capa lím inf gráf],MATCH(COND_INTERSTICIAL[[#This Row],[Mes]]&amp;"-"&amp;COND_INTERSTICIAL[[#This Row],[Sección]]&amp;"-"&amp;(COND_INTERSTICIAL[[#This Row],[tramo gráf]]+1),COND_INTERSTICIAL[llave tramo gráf],0)))</f>
        <v>#N/A</v>
      </c>
      <c r="EH79" s="114" cm="1">
        <f t="array" aca="1" ref="EH7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9" s="116" t="e" cm="1">
        <f t="array" aca="1" ref="EI7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0" spans="32:139" x14ac:dyDescent="0.45">
      <c r="CW80" s="1" cm="1">
        <f t="array" ref="CW80">ROUNDUP((ROW()-$CN$18+(Mes_inicial_de_análisis-1)*N_capas*N_secciones)/(N_capas*N_secciones),0)-12*IF(ROW()-$CN$18&gt;(12-Mes_inicial_de_análisis+1)*N_capas*N_secciones,1,0)</f>
        <v>11</v>
      </c>
      <c r="CX80" cm="1">
        <f t="array" ref="CX80">ROUNDUP((ROW()-$CN$18)/N_capas-(ROUNDUP((ROW()-$CN$18)/(N_capas*N_secciones),0)-1)*N_secciones,0)</f>
        <v>1</v>
      </c>
      <c r="CY80" cm="1">
        <f t="array" ref="CY80">(ROW()-$CN$18)-(COND_INTERSTICIAL[[#This Row],[Sección]]-1)*N_capas-(ROUNDUP((ROW()-$CN$18)/(N_capas*N_secciones),0)-1)*N_capas*N_secciones</f>
        <v>5</v>
      </c>
      <c r="CZ80" t="str">
        <f>COND_INTERSTICIAL[[#This Row],[Mes]]&amp;"-"&amp;COND_INTERSTICIAL[[#This Row],[Sección]]&amp;"-"&amp;COND_INTERSTICIAL[[#This Row],[Capa]]</f>
        <v>11-1-5</v>
      </c>
      <c r="DA80">
        <f ca="1">INDEX(SECCIONES_CAPAS[R''n],MATCH(COND_INTERSTICIAL[[#This Row],[Sección]]&amp;"-"&amp;COND_INTERSTICIAL[[#This Row],[Capa]],SECCIONES_CAPAS[llave],0))</f>
        <v>0.04</v>
      </c>
      <c r="DB80" s="172" t="e" cm="1">
        <f t="array" aca="1" ref="DB80" ca="1">INDEX(CLIMA[ϴe],COND_INTERSTICIAL[[#This Row],[Mes]])+COND_INTERSTICIAL[[#This Row],[Rn]]*(INDEX(CLIMA[ϴi],COND_INTERSTICIAL[[#This Row],[Mes]])-INDEX(CLIMA[ϴe],COND_INTERSTICIAL[[#This Row],[Mes]]))/(INDEX(SECCIONES[Rtsección_condensación],COND_INTERSTICIAL[[#This Row],[Sección]]))</f>
        <v>#N/A</v>
      </c>
      <c r="DC80">
        <f>INDEX(SECCIONES_CAPAS[Sd],MATCH(COND_INTERSTICIAL[[#This Row],[Sección]]&amp;"-"&amp;COND_INTERSTICIAL[[#This Row],[Capa]],SECCIONES_CAPAS[llave],0))</f>
        <v>0</v>
      </c>
      <c r="DD80">
        <f ca="1">INDEX(SECCIONES_CAPAS[S''d],MATCH(COND_INTERSTICIAL[[#This Row],[Sección]]&amp;"-"&amp;COND_INTERSTICIAL[[#This Row],[Capa]],SECCIONES_CAPAS[llave],0))</f>
        <v>0</v>
      </c>
      <c r="DE80" s="90" t="e">
        <f ca="1">IF(COND_INTERSTICIAL[[#This Row],[ϴn]]&gt;=0,610.5*EXP((17.269*COND_INTERSTICIAL[[#This Row],[ϴn]])/(237.3+COND_INTERSTICIAL[[#This Row],[ϴn]])),610.5*EXP((21.875*COND_INTERSTICIAL[[#This Row],[ϴn]])/(265.5+COND_INTERSTICIAL[[#This Row],[ϴn]])))</f>
        <v>#N/A</v>
      </c>
      <c r="DF80" s="90" t="e" cm="1">
        <f t="array" aca="1" ref="DF80" ca="1">COND_INTERSTICIAL[[#This Row],[S''d]]*((INDEX(CLIMA[Pi],COND_INTERSTICIAL[[#This Row],[Mes]])-INDEX(CLIMA[Pe],COND_INTERSTICIAL[[#This Row],[Mes]]))/INDEX(SECCIONES[SdT],COND_INTERSTICIAL[[#This Row],[Sección]]))+INDEX(CLIMA[Pe],COND_INTERSTICIAL[[#This Row],[Mes]])</f>
        <v>#N/A</v>
      </c>
      <c r="DG80" s="108" t="e">
        <f ca="1">IF((COND_INTERSTICIAL[[#This Row],[Pn]]&gt;=COND_INTERSTICIAL[[#This Row],[Psat]]),TRUE,FALSE)</f>
        <v>#N/A</v>
      </c>
      <c r="DH80" s="109" t="e" cm="1">
        <f t="array" aca="1" ref="DH80" ca="1">IF(COND_INTERSTICIAL[[#This Row],[Condensa]],COND_INTERSTICIAL[[#This Row],[Psat]],IF(COND_INTERSTICIAL[[#This Row],[Capa]]=N_capas,COND_INTERSTICIAL[[#This Row],[Pn]],""))</f>
        <v>#N/A</v>
      </c>
      <c r="DI80" s="109" t="e">
        <f ca="1">COND_INTERSTICIAL[[#This Row],[Mes]]&amp;"-"&amp;COND_INTERSTICIAL[[#This Row],[Sección]]&amp;"-"&amp;COND_INTERSTICIAL[[#This Row],[tramo cond]]</f>
        <v>#N/A</v>
      </c>
      <c r="DJ80" t="e" cm="1">
        <f t="array" aca="1" ref="DJ80" ca="1">IF(COND_INTERSTICIAL[[#This Row],[Capa]]=1,IF(COND_INTERSTICIAL[[#This Row],[Condensa]],2,1),IF(COND_INTERSTICIAL[[#This Row],[Condensa]],1,0)+INDIRECT(ADDRESS(ROW()-1,COLUMN(),4)))</f>
        <v>#N/A</v>
      </c>
      <c r="DK80" s="108" t="e" cm="1">
        <f t="array" aca="1" ref="DK80" ca="1">IF(COND_INTERSTICIAL[[#This Row],[tramo cond]]=1,0,IF((COND_INTERSTICIAL[[#This Row],[tramo cond]]&gt;INDIRECT(ADDRESS(ROW()-1,COLUMN(COND_INTERSTICIAL[[#This Row],[tramo cond]]),4)))+COND_INTERSTICIAL[[#This Row],[Condensa]],COND_INTERSTICIAL[[#This Row],[Capa]],INDIRECT(ADDRESS(ROW()-1,COLUMN(),4))))</f>
        <v>#N/A</v>
      </c>
      <c r="DL80" s="108" t="e" cm="1">
        <f t="array" aca="1" ref="DL80" ca="1">IF((COND_INTERSTICIAL[[#This Row],[Capa]]=N_capas)+(COND_INTERSTICIAL[[#This Row],[tramo cond]]=COUNTIFS(COND_INTERSTICIAL[Condensa],TRUE,COND_INTERSTICIAL[Mes],CW80,COND_INTERSTICIAL[Sección],CX80)+1),N_capas,INDEX(COND_INTERSTICIAL[capa lím inf cond],MATCH(COND_INTERSTICIAL[[#This Row],[Mes]]&amp;"-"&amp;COND_INTERSTICIAL[[#This Row],[Sección]]&amp;"-"&amp;(COND_INTERSTICIAL[[#This Row],[tramo cond]]+1),COND_INTERSTICIAL[llave tramo cond],0)))</f>
        <v>#N/A</v>
      </c>
      <c r="DM80" s="108" cm="1">
        <f t="array" aca="1" ref="DM8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0" s="110" t="e" cm="1">
        <f t="array" aca="1" ref="DN8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0" s="107" t="e">
        <f ca="1">COND_INTERSTICIAL[[#This Row],[gc]]+COND_INTERSTICIAL[[#This Row],[Ma_anterior cond]]</f>
        <v>#N/A</v>
      </c>
      <c r="DQ80" s="113" t="e">
        <f ca="1">IF((COND_INTERSTICIAL[[#This Row],[Ma_anterior cond]]&gt;0)*NOT(COND_INTERSTICIAL[[#This Row],[Condensa]]),TRUE,FALSE)</f>
        <v>#N/A</v>
      </c>
      <c r="DR80" s="112" t="e" cm="1">
        <f t="array" aca="1" ref="DR80" ca="1">IF(COND_INTERSTICIAL[[#This Row],[evapora]],COND_INTERSTICIAL[[#This Row],[Psat]],IF(COND_INTERSTICIAL[[#This Row],[Capa]]=N_capas,COND_INTERSTICIAL[[#This Row],[Pn]],""))</f>
        <v>#N/A</v>
      </c>
      <c r="DS80" s="112" t="e">
        <f ca="1">COND_INTERSTICIAL[[#This Row],[Mes]]&amp;"-"&amp;COND_INTERSTICIAL[[#This Row],[Sección]]&amp;"-"&amp;COND_INTERSTICIAL[[#This Row],[tramo ev]]</f>
        <v>#N/A</v>
      </c>
      <c r="DT80" s="111" t="e" cm="1">
        <f t="array" aca="1" ref="DT80" ca="1">IF(COND_INTERSTICIAL[[#This Row],[Capa]]=1,IF(COND_INTERSTICIAL[[#This Row],[evapora]],2,1),IF(COND_INTERSTICIAL[[#This Row],[evapora]],1,0)+INDIRECT(ADDRESS(ROW()-1,COLUMN(),4)))</f>
        <v>#N/A</v>
      </c>
      <c r="DU80" s="111" t="e" cm="1">
        <f t="array" aca="1" ref="DU80" ca="1">IF(COND_INTERSTICIAL[[#This Row],[tramo ev]]=1,0,IF((COND_INTERSTICIAL[[#This Row],[tramo ev]]&gt;INDIRECT(ADDRESS(ROW()-1,COLUMN(COND_INTERSTICIAL[[#This Row],[tramo ev]]),4)))+COND_INTERSTICIAL[[#This Row],[evapora]],COND_INTERSTICIAL[[#This Row],[Capa]],INDIRECT(ADDRESS(ROW()-1,COLUMN(),4))))</f>
        <v>#N/A</v>
      </c>
      <c r="DV80" s="111" t="e" cm="1">
        <f t="array" aca="1" ref="DV80" ca="1">IF((COND_INTERSTICIAL[[#This Row],[Capa]]=N_capas)+(COND_INTERSTICIAL[[#This Row],[tramo ev]]=COUNTIFS(COND_INTERSTICIAL[evapora],TRUE,COND_INTERSTICIAL[Mes],CW80,COND_INTERSTICIAL[Sección],CX80)+1),N_capas,INDEX(COND_INTERSTICIAL[capa lím inf ev],MATCH(COND_INTERSTICIAL[[#This Row],[Mes]]&amp;"-"&amp;COND_INTERSTICIAL[[#This Row],[Sección]]&amp;"-"&amp;(COND_INTERSTICIAL[[#This Row],[tramo ev]]+1),COND_INTERSTICIAL[llave tramo ev],0)))</f>
        <v>#N/A</v>
      </c>
      <c r="DW80" s="111" cm="1">
        <f t="array" aca="1" ref="DW8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0" s="113" t="e" cm="1">
        <f t="array" aca="1" ref="DX8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0" s="113" t="e">
        <f ca="1">COND_INTERSTICIAL[[#This Row],[gev]]+COND_INTERSTICIAL[[#This Row],[Ma anterior ev]]</f>
        <v>#N/A</v>
      </c>
      <c r="EA80" s="115" t="e">
        <f ca="1">IF(COND_INTERSTICIAL[[#This Row],[Ma cond]]+COND_INTERSTICIAL[[#This Row],[Ma ev]]&lt;=0,0,COND_INTERSTICIAL[[#This Row],[Ma cond]]+COND_INTERSTICIAL[[#This Row],[Ma ev]])</f>
        <v>#N/A</v>
      </c>
      <c r="EB80" s="115" t="e">
        <f ca="1">IF(COND_INTERSTICIAL[[#This Row],[Ma]]&gt;0,TRUE,FALSE)</f>
        <v>#N/A</v>
      </c>
      <c r="EC80" s="115" t="e" cm="1">
        <f t="array" aca="1" ref="EC80" ca="1">IF(COND_INTERSTICIAL[[#This Row],[agua líquida]],IF(COND_INTERSTICIAL[[#This Row],[Condensa]],COND_INTERSTICIAL[[#This Row],[P límite cond]],COND_INTERSTICIAL[[#This Row],[P límite ev]]),IF(COND_INTERSTICIAL[[#This Row],[Capa]]=N_capas,COND_INTERSTICIAL[[#This Row],[Pn]],""))</f>
        <v>#N/A</v>
      </c>
      <c r="ED80" s="115" t="e">
        <f ca="1">COND_INTERSTICIAL[[#This Row],[Mes]]&amp;"-"&amp;COND_INTERSTICIAL[[#This Row],[Sección]]&amp;"-"&amp;COND_INTERSTICIAL[[#This Row],[tramo gráf]]</f>
        <v>#N/A</v>
      </c>
      <c r="EE80" s="114" t="e" cm="1">
        <f t="array" aca="1" ref="EE80" ca="1">IF(COND_INTERSTICIAL[[#This Row],[Capa]]=1,IF(COND_INTERSTICIAL[[#This Row],[agua líquida]],2,1),IF(COND_INTERSTICIAL[[#This Row],[agua líquida]],1,0)+INDIRECT(ADDRESS(ROW()-1,COLUMN(),4)))</f>
        <v>#N/A</v>
      </c>
      <c r="EF80" s="114" t="e" cm="1">
        <f t="array" aca="1" ref="EF80" ca="1">IF(COND_INTERSTICIAL[[#This Row],[tramo gráf]]=1,0,IF((COND_INTERSTICIAL[[#This Row],[tramo gráf]]&gt;INDIRECT(ADDRESS(ROW()-1,COLUMN(COND_INTERSTICIAL[[#This Row],[tramo gráf]]),4)))+COND_INTERSTICIAL[[#This Row],[agua líquida]],COND_INTERSTICIAL[[#This Row],[Capa]],INDIRECT(ADDRESS(ROW()-1,COLUMN(),4))))</f>
        <v>#N/A</v>
      </c>
      <c r="EG80" s="114" t="e" cm="1">
        <f t="array" aca="1" ref="EG80" ca="1">IF((COND_INTERSTICIAL[[#This Row],[Capa]]=N_capas)+(COND_INTERSTICIAL[[#This Row],[tramo gráf]]=COUNTIFS(COND_INTERSTICIAL[agua líquida],TRUE,COND_INTERSTICIAL[Mes],CW80,COND_INTERSTICIAL[Sección],CX80)+1),N_capas,INDEX(COND_INTERSTICIAL[capa lím inf gráf],MATCH(COND_INTERSTICIAL[[#This Row],[Mes]]&amp;"-"&amp;COND_INTERSTICIAL[[#This Row],[Sección]]&amp;"-"&amp;(COND_INTERSTICIAL[[#This Row],[tramo gráf]]+1),COND_INTERSTICIAL[llave tramo gráf],0)))</f>
        <v>#N/A</v>
      </c>
      <c r="EH80" s="114" cm="1">
        <f t="array" aca="1" ref="EH8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0" s="116" t="e" cm="1">
        <f t="array" aca="1" ref="EI8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1" spans="101:139" x14ac:dyDescent="0.45">
      <c r="CW81" s="1" cm="1">
        <f t="array" ref="CW81">ROUNDUP((ROW()-$CN$18+(Mes_inicial_de_análisis-1)*N_capas*N_secciones)/(N_capas*N_secciones),0)-12*IF(ROW()-$CN$18&gt;(12-Mes_inicial_de_análisis+1)*N_capas*N_secciones,1,0)</f>
        <v>11</v>
      </c>
      <c r="CX81" cm="1">
        <f t="array" ref="CX81">ROUNDUP((ROW()-$CN$18)/N_capas-(ROUNDUP((ROW()-$CN$18)/(N_capas*N_secciones),0)-1)*N_secciones,0)</f>
        <v>1</v>
      </c>
      <c r="CY81" cm="1">
        <f t="array" ref="CY81">(ROW()-$CN$18)-(COND_INTERSTICIAL[[#This Row],[Sección]]-1)*N_capas-(ROUNDUP((ROW()-$CN$18)/(N_capas*N_secciones),0)-1)*N_capas*N_secciones</f>
        <v>6</v>
      </c>
      <c r="CZ81" t="str">
        <f>COND_INTERSTICIAL[[#This Row],[Mes]]&amp;"-"&amp;COND_INTERSTICIAL[[#This Row],[Sección]]&amp;"-"&amp;COND_INTERSTICIAL[[#This Row],[Capa]]</f>
        <v>11-1-6</v>
      </c>
      <c r="DA81">
        <f ca="1">INDEX(SECCIONES_CAPAS[R''n],MATCH(COND_INTERSTICIAL[[#This Row],[Sección]]&amp;"-"&amp;COND_INTERSTICIAL[[#This Row],[Capa]],SECCIONES_CAPAS[llave],0))</f>
        <v>0.04</v>
      </c>
      <c r="DB81" s="172" t="e" cm="1">
        <f t="array" aca="1" ref="DB81" ca="1">INDEX(CLIMA[ϴe],COND_INTERSTICIAL[[#This Row],[Mes]])+COND_INTERSTICIAL[[#This Row],[Rn]]*(INDEX(CLIMA[ϴi],COND_INTERSTICIAL[[#This Row],[Mes]])-INDEX(CLIMA[ϴe],COND_INTERSTICIAL[[#This Row],[Mes]]))/(INDEX(SECCIONES[Rtsección_condensación],COND_INTERSTICIAL[[#This Row],[Sección]]))</f>
        <v>#N/A</v>
      </c>
      <c r="DC81">
        <f>INDEX(SECCIONES_CAPAS[Sd],MATCH(COND_INTERSTICIAL[[#This Row],[Sección]]&amp;"-"&amp;COND_INTERSTICIAL[[#This Row],[Capa]],SECCIONES_CAPAS[llave],0))</f>
        <v>0</v>
      </c>
      <c r="DD81">
        <f ca="1">INDEX(SECCIONES_CAPAS[S''d],MATCH(COND_INTERSTICIAL[[#This Row],[Sección]]&amp;"-"&amp;COND_INTERSTICIAL[[#This Row],[Capa]],SECCIONES_CAPAS[llave],0))</f>
        <v>0</v>
      </c>
      <c r="DE81" s="90" t="e">
        <f ca="1">IF(COND_INTERSTICIAL[[#This Row],[ϴn]]&gt;=0,610.5*EXP((17.269*COND_INTERSTICIAL[[#This Row],[ϴn]])/(237.3+COND_INTERSTICIAL[[#This Row],[ϴn]])),610.5*EXP((21.875*COND_INTERSTICIAL[[#This Row],[ϴn]])/(265.5+COND_INTERSTICIAL[[#This Row],[ϴn]])))</f>
        <v>#N/A</v>
      </c>
      <c r="DF81" s="90" t="e" cm="1">
        <f t="array" aca="1" ref="DF81" ca="1">COND_INTERSTICIAL[[#This Row],[S''d]]*((INDEX(CLIMA[Pi],COND_INTERSTICIAL[[#This Row],[Mes]])-INDEX(CLIMA[Pe],COND_INTERSTICIAL[[#This Row],[Mes]]))/INDEX(SECCIONES[SdT],COND_INTERSTICIAL[[#This Row],[Sección]]))+INDEX(CLIMA[Pe],COND_INTERSTICIAL[[#This Row],[Mes]])</f>
        <v>#N/A</v>
      </c>
      <c r="DG81" s="108" t="e">
        <f ca="1">IF((COND_INTERSTICIAL[[#This Row],[Pn]]&gt;=COND_INTERSTICIAL[[#This Row],[Psat]]),TRUE,FALSE)</f>
        <v>#N/A</v>
      </c>
      <c r="DH81" s="109" t="e" cm="1">
        <f t="array" aca="1" ref="DH81" ca="1">IF(COND_INTERSTICIAL[[#This Row],[Condensa]],COND_INTERSTICIAL[[#This Row],[Psat]],IF(COND_INTERSTICIAL[[#This Row],[Capa]]=N_capas,COND_INTERSTICIAL[[#This Row],[Pn]],""))</f>
        <v>#N/A</v>
      </c>
      <c r="DI81" s="109" t="e">
        <f ca="1">COND_INTERSTICIAL[[#This Row],[Mes]]&amp;"-"&amp;COND_INTERSTICIAL[[#This Row],[Sección]]&amp;"-"&amp;COND_INTERSTICIAL[[#This Row],[tramo cond]]</f>
        <v>#N/A</v>
      </c>
      <c r="DJ81" t="e" cm="1">
        <f t="array" aca="1" ref="DJ81" ca="1">IF(COND_INTERSTICIAL[[#This Row],[Capa]]=1,IF(COND_INTERSTICIAL[[#This Row],[Condensa]],2,1),IF(COND_INTERSTICIAL[[#This Row],[Condensa]],1,0)+INDIRECT(ADDRESS(ROW()-1,COLUMN(),4)))</f>
        <v>#N/A</v>
      </c>
      <c r="DK81" s="108" t="e" cm="1">
        <f t="array" aca="1" ref="DK81" ca="1">IF(COND_INTERSTICIAL[[#This Row],[tramo cond]]=1,0,IF((COND_INTERSTICIAL[[#This Row],[tramo cond]]&gt;INDIRECT(ADDRESS(ROW()-1,COLUMN(COND_INTERSTICIAL[[#This Row],[tramo cond]]),4)))+COND_INTERSTICIAL[[#This Row],[Condensa]],COND_INTERSTICIAL[[#This Row],[Capa]],INDIRECT(ADDRESS(ROW()-1,COLUMN(),4))))</f>
        <v>#N/A</v>
      </c>
      <c r="DL81" s="108" t="e" cm="1">
        <f t="array" aca="1" ref="DL81" ca="1">IF((COND_INTERSTICIAL[[#This Row],[Capa]]=N_capas)+(COND_INTERSTICIAL[[#This Row],[tramo cond]]=COUNTIFS(COND_INTERSTICIAL[Condensa],TRUE,COND_INTERSTICIAL[Mes],CW81,COND_INTERSTICIAL[Sección],CX81)+1),N_capas,INDEX(COND_INTERSTICIAL[capa lím inf cond],MATCH(COND_INTERSTICIAL[[#This Row],[Mes]]&amp;"-"&amp;COND_INTERSTICIAL[[#This Row],[Sección]]&amp;"-"&amp;(COND_INTERSTICIAL[[#This Row],[tramo cond]]+1),COND_INTERSTICIAL[llave tramo cond],0)))</f>
        <v>#N/A</v>
      </c>
      <c r="DM81" s="108" cm="1">
        <f t="array" aca="1" ref="DM8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1" s="110" t="e" cm="1">
        <f t="array" aca="1" ref="DN8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1" s="107" t="e">
        <f ca="1">COND_INTERSTICIAL[[#This Row],[gc]]+COND_INTERSTICIAL[[#This Row],[Ma_anterior cond]]</f>
        <v>#N/A</v>
      </c>
      <c r="DQ81" s="113" t="e">
        <f ca="1">IF((COND_INTERSTICIAL[[#This Row],[Ma_anterior cond]]&gt;0)*NOT(COND_INTERSTICIAL[[#This Row],[Condensa]]),TRUE,FALSE)</f>
        <v>#N/A</v>
      </c>
      <c r="DR81" s="112" t="e" cm="1">
        <f t="array" aca="1" ref="DR81" ca="1">IF(COND_INTERSTICIAL[[#This Row],[evapora]],COND_INTERSTICIAL[[#This Row],[Psat]],IF(COND_INTERSTICIAL[[#This Row],[Capa]]=N_capas,COND_INTERSTICIAL[[#This Row],[Pn]],""))</f>
        <v>#N/A</v>
      </c>
      <c r="DS81" s="112" t="e">
        <f ca="1">COND_INTERSTICIAL[[#This Row],[Mes]]&amp;"-"&amp;COND_INTERSTICIAL[[#This Row],[Sección]]&amp;"-"&amp;COND_INTERSTICIAL[[#This Row],[tramo ev]]</f>
        <v>#N/A</v>
      </c>
      <c r="DT81" s="111" t="e" cm="1">
        <f t="array" aca="1" ref="DT81" ca="1">IF(COND_INTERSTICIAL[[#This Row],[Capa]]=1,IF(COND_INTERSTICIAL[[#This Row],[evapora]],2,1),IF(COND_INTERSTICIAL[[#This Row],[evapora]],1,0)+INDIRECT(ADDRESS(ROW()-1,COLUMN(),4)))</f>
        <v>#N/A</v>
      </c>
      <c r="DU81" s="111" t="e" cm="1">
        <f t="array" aca="1" ref="DU81" ca="1">IF(COND_INTERSTICIAL[[#This Row],[tramo ev]]=1,0,IF((COND_INTERSTICIAL[[#This Row],[tramo ev]]&gt;INDIRECT(ADDRESS(ROW()-1,COLUMN(COND_INTERSTICIAL[[#This Row],[tramo ev]]),4)))+COND_INTERSTICIAL[[#This Row],[evapora]],COND_INTERSTICIAL[[#This Row],[Capa]],INDIRECT(ADDRESS(ROW()-1,COLUMN(),4))))</f>
        <v>#N/A</v>
      </c>
      <c r="DV81" s="111" t="e" cm="1">
        <f t="array" aca="1" ref="DV81" ca="1">IF((COND_INTERSTICIAL[[#This Row],[Capa]]=N_capas)+(COND_INTERSTICIAL[[#This Row],[tramo ev]]=COUNTIFS(COND_INTERSTICIAL[evapora],TRUE,COND_INTERSTICIAL[Mes],CW81,COND_INTERSTICIAL[Sección],CX81)+1),N_capas,INDEX(COND_INTERSTICIAL[capa lím inf ev],MATCH(COND_INTERSTICIAL[[#This Row],[Mes]]&amp;"-"&amp;COND_INTERSTICIAL[[#This Row],[Sección]]&amp;"-"&amp;(COND_INTERSTICIAL[[#This Row],[tramo ev]]+1),COND_INTERSTICIAL[llave tramo ev],0)))</f>
        <v>#N/A</v>
      </c>
      <c r="DW81" s="111" cm="1">
        <f t="array" aca="1" ref="DW8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1" s="113" t="e" cm="1">
        <f t="array" aca="1" ref="DX8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1" s="113" t="e">
        <f ca="1">COND_INTERSTICIAL[[#This Row],[gev]]+COND_INTERSTICIAL[[#This Row],[Ma anterior ev]]</f>
        <v>#N/A</v>
      </c>
      <c r="EA81" s="115" t="e">
        <f ca="1">IF(COND_INTERSTICIAL[[#This Row],[Ma cond]]+COND_INTERSTICIAL[[#This Row],[Ma ev]]&lt;=0,0,COND_INTERSTICIAL[[#This Row],[Ma cond]]+COND_INTERSTICIAL[[#This Row],[Ma ev]])</f>
        <v>#N/A</v>
      </c>
      <c r="EB81" s="115" t="e">
        <f ca="1">IF(COND_INTERSTICIAL[[#This Row],[Ma]]&gt;0,TRUE,FALSE)</f>
        <v>#N/A</v>
      </c>
      <c r="EC81" s="115" t="e" cm="1">
        <f t="array" aca="1" ref="EC81" ca="1">IF(COND_INTERSTICIAL[[#This Row],[agua líquida]],IF(COND_INTERSTICIAL[[#This Row],[Condensa]],COND_INTERSTICIAL[[#This Row],[P límite cond]],COND_INTERSTICIAL[[#This Row],[P límite ev]]),IF(COND_INTERSTICIAL[[#This Row],[Capa]]=N_capas,COND_INTERSTICIAL[[#This Row],[Pn]],""))</f>
        <v>#N/A</v>
      </c>
      <c r="ED81" s="115" t="e">
        <f ca="1">COND_INTERSTICIAL[[#This Row],[Mes]]&amp;"-"&amp;COND_INTERSTICIAL[[#This Row],[Sección]]&amp;"-"&amp;COND_INTERSTICIAL[[#This Row],[tramo gráf]]</f>
        <v>#N/A</v>
      </c>
      <c r="EE81" s="114" t="e" cm="1">
        <f t="array" aca="1" ref="EE81" ca="1">IF(COND_INTERSTICIAL[[#This Row],[Capa]]=1,IF(COND_INTERSTICIAL[[#This Row],[agua líquida]],2,1),IF(COND_INTERSTICIAL[[#This Row],[agua líquida]],1,0)+INDIRECT(ADDRESS(ROW()-1,COLUMN(),4)))</f>
        <v>#N/A</v>
      </c>
      <c r="EF81" s="114" t="e" cm="1">
        <f t="array" aca="1" ref="EF81" ca="1">IF(COND_INTERSTICIAL[[#This Row],[tramo gráf]]=1,0,IF((COND_INTERSTICIAL[[#This Row],[tramo gráf]]&gt;INDIRECT(ADDRESS(ROW()-1,COLUMN(COND_INTERSTICIAL[[#This Row],[tramo gráf]]),4)))+COND_INTERSTICIAL[[#This Row],[agua líquida]],COND_INTERSTICIAL[[#This Row],[Capa]],INDIRECT(ADDRESS(ROW()-1,COLUMN(),4))))</f>
        <v>#N/A</v>
      </c>
      <c r="EG81" s="114" t="e" cm="1">
        <f t="array" aca="1" ref="EG81" ca="1">IF((COND_INTERSTICIAL[[#This Row],[Capa]]=N_capas)+(COND_INTERSTICIAL[[#This Row],[tramo gráf]]=COUNTIFS(COND_INTERSTICIAL[agua líquida],TRUE,COND_INTERSTICIAL[Mes],CW81,COND_INTERSTICIAL[Sección],CX81)+1),N_capas,INDEX(COND_INTERSTICIAL[capa lím inf gráf],MATCH(COND_INTERSTICIAL[[#This Row],[Mes]]&amp;"-"&amp;COND_INTERSTICIAL[[#This Row],[Sección]]&amp;"-"&amp;(COND_INTERSTICIAL[[#This Row],[tramo gráf]]+1),COND_INTERSTICIAL[llave tramo gráf],0)))</f>
        <v>#N/A</v>
      </c>
      <c r="EH81" s="114" cm="1">
        <f t="array" aca="1" ref="EH8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1" s="116" t="e" cm="1">
        <f t="array" aca="1" ref="EI8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2" spans="101:139" x14ac:dyDescent="0.45">
      <c r="CW82" s="1" cm="1">
        <f t="array" ref="CW82">ROUNDUP((ROW()-$CN$18+(Mes_inicial_de_análisis-1)*N_capas*N_secciones)/(N_capas*N_secciones),0)-12*IF(ROW()-$CN$18&gt;(12-Mes_inicial_de_análisis+1)*N_capas*N_secciones,1,0)</f>
        <v>11</v>
      </c>
      <c r="CX82" cm="1">
        <f t="array" ref="CX82">ROUNDUP((ROW()-$CN$18)/N_capas-(ROUNDUP((ROW()-$CN$18)/(N_capas*N_secciones),0)-1)*N_secciones,0)</f>
        <v>1</v>
      </c>
      <c r="CY82" cm="1">
        <f t="array" ref="CY82">(ROW()-$CN$18)-(COND_INTERSTICIAL[[#This Row],[Sección]]-1)*N_capas-(ROUNDUP((ROW()-$CN$18)/(N_capas*N_secciones),0)-1)*N_capas*N_secciones</f>
        <v>7</v>
      </c>
      <c r="CZ82" t="str">
        <f>COND_INTERSTICIAL[[#This Row],[Mes]]&amp;"-"&amp;COND_INTERSTICIAL[[#This Row],[Sección]]&amp;"-"&amp;COND_INTERSTICIAL[[#This Row],[Capa]]</f>
        <v>11-1-7</v>
      </c>
      <c r="DA82">
        <f ca="1">INDEX(SECCIONES_CAPAS[R''n],MATCH(COND_INTERSTICIAL[[#This Row],[Sección]]&amp;"-"&amp;COND_INTERSTICIAL[[#This Row],[Capa]],SECCIONES_CAPAS[llave],0))</f>
        <v>0.04</v>
      </c>
      <c r="DB82" s="172" t="e" cm="1">
        <f t="array" aca="1" ref="DB82" ca="1">INDEX(CLIMA[ϴe],COND_INTERSTICIAL[[#This Row],[Mes]])+COND_INTERSTICIAL[[#This Row],[Rn]]*(INDEX(CLIMA[ϴi],COND_INTERSTICIAL[[#This Row],[Mes]])-INDEX(CLIMA[ϴe],COND_INTERSTICIAL[[#This Row],[Mes]]))/(INDEX(SECCIONES[Rtsección_condensación],COND_INTERSTICIAL[[#This Row],[Sección]]))</f>
        <v>#N/A</v>
      </c>
      <c r="DC82">
        <f>INDEX(SECCIONES_CAPAS[Sd],MATCH(COND_INTERSTICIAL[[#This Row],[Sección]]&amp;"-"&amp;COND_INTERSTICIAL[[#This Row],[Capa]],SECCIONES_CAPAS[llave],0))</f>
        <v>0</v>
      </c>
      <c r="DD82">
        <f ca="1">INDEX(SECCIONES_CAPAS[S''d],MATCH(COND_INTERSTICIAL[[#This Row],[Sección]]&amp;"-"&amp;COND_INTERSTICIAL[[#This Row],[Capa]],SECCIONES_CAPAS[llave],0))</f>
        <v>0</v>
      </c>
      <c r="DE82" s="90" t="e">
        <f ca="1">IF(COND_INTERSTICIAL[[#This Row],[ϴn]]&gt;=0,610.5*EXP((17.269*COND_INTERSTICIAL[[#This Row],[ϴn]])/(237.3+COND_INTERSTICIAL[[#This Row],[ϴn]])),610.5*EXP((21.875*COND_INTERSTICIAL[[#This Row],[ϴn]])/(265.5+COND_INTERSTICIAL[[#This Row],[ϴn]])))</f>
        <v>#N/A</v>
      </c>
      <c r="DF82" s="90" t="e" cm="1">
        <f t="array" aca="1" ref="DF82" ca="1">COND_INTERSTICIAL[[#This Row],[S''d]]*((INDEX(CLIMA[Pi],COND_INTERSTICIAL[[#This Row],[Mes]])-INDEX(CLIMA[Pe],COND_INTERSTICIAL[[#This Row],[Mes]]))/INDEX(SECCIONES[SdT],COND_INTERSTICIAL[[#This Row],[Sección]]))+INDEX(CLIMA[Pe],COND_INTERSTICIAL[[#This Row],[Mes]])</f>
        <v>#N/A</v>
      </c>
      <c r="DG82" s="108" t="e">
        <f ca="1">IF((COND_INTERSTICIAL[[#This Row],[Pn]]&gt;=COND_INTERSTICIAL[[#This Row],[Psat]]),TRUE,FALSE)</f>
        <v>#N/A</v>
      </c>
      <c r="DH82" s="109" t="e" cm="1">
        <f t="array" aca="1" ref="DH82" ca="1">IF(COND_INTERSTICIAL[[#This Row],[Condensa]],COND_INTERSTICIAL[[#This Row],[Psat]],IF(COND_INTERSTICIAL[[#This Row],[Capa]]=N_capas,COND_INTERSTICIAL[[#This Row],[Pn]],""))</f>
        <v>#N/A</v>
      </c>
      <c r="DI82" s="109" t="e">
        <f ca="1">COND_INTERSTICIAL[[#This Row],[Mes]]&amp;"-"&amp;COND_INTERSTICIAL[[#This Row],[Sección]]&amp;"-"&amp;COND_INTERSTICIAL[[#This Row],[tramo cond]]</f>
        <v>#N/A</v>
      </c>
      <c r="DJ82" t="e" cm="1">
        <f t="array" aca="1" ref="DJ82" ca="1">IF(COND_INTERSTICIAL[[#This Row],[Capa]]=1,IF(COND_INTERSTICIAL[[#This Row],[Condensa]],2,1),IF(COND_INTERSTICIAL[[#This Row],[Condensa]],1,0)+INDIRECT(ADDRESS(ROW()-1,COLUMN(),4)))</f>
        <v>#N/A</v>
      </c>
      <c r="DK82" s="108" t="e" cm="1">
        <f t="array" aca="1" ref="DK82" ca="1">IF(COND_INTERSTICIAL[[#This Row],[tramo cond]]=1,0,IF((COND_INTERSTICIAL[[#This Row],[tramo cond]]&gt;INDIRECT(ADDRESS(ROW()-1,COLUMN(COND_INTERSTICIAL[[#This Row],[tramo cond]]),4)))+COND_INTERSTICIAL[[#This Row],[Condensa]],COND_INTERSTICIAL[[#This Row],[Capa]],INDIRECT(ADDRESS(ROW()-1,COLUMN(),4))))</f>
        <v>#N/A</v>
      </c>
      <c r="DL82" s="108" t="e" cm="1">
        <f t="array" aca="1" ref="DL82" ca="1">IF((COND_INTERSTICIAL[[#This Row],[Capa]]=N_capas)+(COND_INTERSTICIAL[[#This Row],[tramo cond]]=COUNTIFS(COND_INTERSTICIAL[Condensa],TRUE,COND_INTERSTICIAL[Mes],CW82,COND_INTERSTICIAL[Sección],CX82)+1),N_capas,INDEX(COND_INTERSTICIAL[capa lím inf cond],MATCH(COND_INTERSTICIAL[[#This Row],[Mes]]&amp;"-"&amp;COND_INTERSTICIAL[[#This Row],[Sección]]&amp;"-"&amp;(COND_INTERSTICIAL[[#This Row],[tramo cond]]+1),COND_INTERSTICIAL[llave tramo cond],0)))</f>
        <v>#N/A</v>
      </c>
      <c r="DM82" s="108" cm="1">
        <f t="array" aca="1" ref="DM8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2" s="110" t="e" cm="1">
        <f t="array" aca="1" ref="DN8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2" s="107" t="e">
        <f ca="1">COND_INTERSTICIAL[[#This Row],[gc]]+COND_INTERSTICIAL[[#This Row],[Ma_anterior cond]]</f>
        <v>#N/A</v>
      </c>
      <c r="DQ82" s="113" t="e">
        <f ca="1">IF((COND_INTERSTICIAL[[#This Row],[Ma_anterior cond]]&gt;0)*NOT(COND_INTERSTICIAL[[#This Row],[Condensa]]),TRUE,FALSE)</f>
        <v>#N/A</v>
      </c>
      <c r="DR82" s="112" t="e" cm="1">
        <f t="array" aca="1" ref="DR82" ca="1">IF(COND_INTERSTICIAL[[#This Row],[evapora]],COND_INTERSTICIAL[[#This Row],[Psat]],IF(COND_INTERSTICIAL[[#This Row],[Capa]]=N_capas,COND_INTERSTICIAL[[#This Row],[Pn]],""))</f>
        <v>#N/A</v>
      </c>
      <c r="DS82" s="112" t="e">
        <f ca="1">COND_INTERSTICIAL[[#This Row],[Mes]]&amp;"-"&amp;COND_INTERSTICIAL[[#This Row],[Sección]]&amp;"-"&amp;COND_INTERSTICIAL[[#This Row],[tramo ev]]</f>
        <v>#N/A</v>
      </c>
      <c r="DT82" s="111" t="e" cm="1">
        <f t="array" aca="1" ref="DT82" ca="1">IF(COND_INTERSTICIAL[[#This Row],[Capa]]=1,IF(COND_INTERSTICIAL[[#This Row],[evapora]],2,1),IF(COND_INTERSTICIAL[[#This Row],[evapora]],1,0)+INDIRECT(ADDRESS(ROW()-1,COLUMN(),4)))</f>
        <v>#N/A</v>
      </c>
      <c r="DU82" s="111" t="e" cm="1">
        <f t="array" aca="1" ref="DU82" ca="1">IF(COND_INTERSTICIAL[[#This Row],[tramo ev]]=1,0,IF((COND_INTERSTICIAL[[#This Row],[tramo ev]]&gt;INDIRECT(ADDRESS(ROW()-1,COLUMN(COND_INTERSTICIAL[[#This Row],[tramo ev]]),4)))+COND_INTERSTICIAL[[#This Row],[evapora]],COND_INTERSTICIAL[[#This Row],[Capa]],INDIRECT(ADDRESS(ROW()-1,COLUMN(),4))))</f>
        <v>#N/A</v>
      </c>
      <c r="DV82" s="111" t="e" cm="1">
        <f t="array" aca="1" ref="DV82" ca="1">IF((COND_INTERSTICIAL[[#This Row],[Capa]]=N_capas)+(COND_INTERSTICIAL[[#This Row],[tramo ev]]=COUNTIFS(COND_INTERSTICIAL[evapora],TRUE,COND_INTERSTICIAL[Mes],CW82,COND_INTERSTICIAL[Sección],CX82)+1),N_capas,INDEX(COND_INTERSTICIAL[capa lím inf ev],MATCH(COND_INTERSTICIAL[[#This Row],[Mes]]&amp;"-"&amp;COND_INTERSTICIAL[[#This Row],[Sección]]&amp;"-"&amp;(COND_INTERSTICIAL[[#This Row],[tramo ev]]+1),COND_INTERSTICIAL[llave tramo ev],0)))</f>
        <v>#N/A</v>
      </c>
      <c r="DW82" s="111" cm="1">
        <f t="array" aca="1" ref="DW8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2" s="113" t="e" cm="1">
        <f t="array" aca="1" ref="DX8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2" s="113" t="e">
        <f ca="1">COND_INTERSTICIAL[[#This Row],[gev]]+COND_INTERSTICIAL[[#This Row],[Ma anterior ev]]</f>
        <v>#N/A</v>
      </c>
      <c r="EA82" s="115" t="e">
        <f ca="1">IF(COND_INTERSTICIAL[[#This Row],[Ma cond]]+COND_INTERSTICIAL[[#This Row],[Ma ev]]&lt;=0,0,COND_INTERSTICIAL[[#This Row],[Ma cond]]+COND_INTERSTICIAL[[#This Row],[Ma ev]])</f>
        <v>#N/A</v>
      </c>
      <c r="EB82" s="115" t="e">
        <f ca="1">IF(COND_INTERSTICIAL[[#This Row],[Ma]]&gt;0,TRUE,FALSE)</f>
        <v>#N/A</v>
      </c>
      <c r="EC82" s="115" t="e" cm="1">
        <f t="array" aca="1" ref="EC82" ca="1">IF(COND_INTERSTICIAL[[#This Row],[agua líquida]],IF(COND_INTERSTICIAL[[#This Row],[Condensa]],COND_INTERSTICIAL[[#This Row],[P límite cond]],COND_INTERSTICIAL[[#This Row],[P límite ev]]),IF(COND_INTERSTICIAL[[#This Row],[Capa]]=N_capas,COND_INTERSTICIAL[[#This Row],[Pn]],""))</f>
        <v>#N/A</v>
      </c>
      <c r="ED82" s="115" t="e">
        <f ca="1">COND_INTERSTICIAL[[#This Row],[Mes]]&amp;"-"&amp;COND_INTERSTICIAL[[#This Row],[Sección]]&amp;"-"&amp;COND_INTERSTICIAL[[#This Row],[tramo gráf]]</f>
        <v>#N/A</v>
      </c>
      <c r="EE82" s="114" t="e" cm="1">
        <f t="array" aca="1" ref="EE82" ca="1">IF(COND_INTERSTICIAL[[#This Row],[Capa]]=1,IF(COND_INTERSTICIAL[[#This Row],[agua líquida]],2,1),IF(COND_INTERSTICIAL[[#This Row],[agua líquida]],1,0)+INDIRECT(ADDRESS(ROW()-1,COLUMN(),4)))</f>
        <v>#N/A</v>
      </c>
      <c r="EF82" s="114" t="e" cm="1">
        <f t="array" aca="1" ref="EF82" ca="1">IF(COND_INTERSTICIAL[[#This Row],[tramo gráf]]=1,0,IF((COND_INTERSTICIAL[[#This Row],[tramo gráf]]&gt;INDIRECT(ADDRESS(ROW()-1,COLUMN(COND_INTERSTICIAL[[#This Row],[tramo gráf]]),4)))+COND_INTERSTICIAL[[#This Row],[agua líquida]],COND_INTERSTICIAL[[#This Row],[Capa]],INDIRECT(ADDRESS(ROW()-1,COLUMN(),4))))</f>
        <v>#N/A</v>
      </c>
      <c r="EG82" s="114" t="e" cm="1">
        <f t="array" aca="1" ref="EG82" ca="1">IF((COND_INTERSTICIAL[[#This Row],[Capa]]=N_capas)+(COND_INTERSTICIAL[[#This Row],[tramo gráf]]=COUNTIFS(COND_INTERSTICIAL[agua líquida],TRUE,COND_INTERSTICIAL[Mes],CW82,COND_INTERSTICIAL[Sección],CX82)+1),N_capas,INDEX(COND_INTERSTICIAL[capa lím inf gráf],MATCH(COND_INTERSTICIAL[[#This Row],[Mes]]&amp;"-"&amp;COND_INTERSTICIAL[[#This Row],[Sección]]&amp;"-"&amp;(COND_INTERSTICIAL[[#This Row],[tramo gráf]]+1),COND_INTERSTICIAL[llave tramo gráf],0)))</f>
        <v>#N/A</v>
      </c>
      <c r="EH82" s="114" cm="1">
        <f t="array" aca="1" ref="EH8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2" s="116" t="e" cm="1">
        <f t="array" aca="1" ref="EI8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3" spans="101:139" x14ac:dyDescent="0.45">
      <c r="CW83" s="1" cm="1">
        <f t="array" ref="CW83">ROUNDUP((ROW()-$CN$18+(Mes_inicial_de_análisis-1)*N_capas*N_secciones)/(N_capas*N_secciones),0)-12*IF(ROW()-$CN$18&gt;(12-Mes_inicial_de_análisis+1)*N_capas*N_secciones,1,0)</f>
        <v>11</v>
      </c>
      <c r="CX83" cm="1">
        <f t="array" ref="CX83">ROUNDUP((ROW()-$CN$18)/N_capas-(ROUNDUP((ROW()-$CN$18)/(N_capas*N_secciones),0)-1)*N_secciones,0)</f>
        <v>2</v>
      </c>
      <c r="CY83" cm="1">
        <f t="array" ref="CY83">(ROW()-$CN$18)-(COND_INTERSTICIAL[[#This Row],[Sección]]-1)*N_capas-(ROUNDUP((ROW()-$CN$18)/(N_capas*N_secciones),0)-1)*N_capas*N_secciones</f>
        <v>1</v>
      </c>
      <c r="CZ83" t="str">
        <f>COND_INTERSTICIAL[[#This Row],[Mes]]&amp;"-"&amp;COND_INTERSTICIAL[[#This Row],[Sección]]&amp;"-"&amp;COND_INTERSTICIAL[[#This Row],[Capa]]</f>
        <v>11-2-1</v>
      </c>
      <c r="DA83">
        <f ca="1">INDEX(SECCIONES_CAPAS[R''n],MATCH(COND_INTERSTICIAL[[#This Row],[Sección]]&amp;"-"&amp;COND_INTERSTICIAL[[#This Row],[Capa]],SECCIONES_CAPAS[llave],0))</f>
        <v>0.04</v>
      </c>
      <c r="DB83" s="172" t="e" cm="1">
        <f t="array" aca="1" ref="DB83" ca="1">INDEX(CLIMA[ϴe],COND_INTERSTICIAL[[#This Row],[Mes]])+COND_INTERSTICIAL[[#This Row],[Rn]]*(INDEX(CLIMA[ϴi],COND_INTERSTICIAL[[#This Row],[Mes]])-INDEX(CLIMA[ϴe],COND_INTERSTICIAL[[#This Row],[Mes]]))/(INDEX(SECCIONES[Rtsección_condensación],COND_INTERSTICIAL[[#This Row],[Sección]]))</f>
        <v>#N/A</v>
      </c>
      <c r="DC83">
        <f>INDEX(SECCIONES_CAPAS[Sd],MATCH(COND_INTERSTICIAL[[#This Row],[Sección]]&amp;"-"&amp;COND_INTERSTICIAL[[#This Row],[Capa]],SECCIONES_CAPAS[llave],0))</f>
        <v>0</v>
      </c>
      <c r="DD83">
        <f ca="1">INDEX(SECCIONES_CAPAS[S''d],MATCH(COND_INTERSTICIAL[[#This Row],[Sección]]&amp;"-"&amp;COND_INTERSTICIAL[[#This Row],[Capa]],SECCIONES_CAPAS[llave],0))</f>
        <v>0</v>
      </c>
      <c r="DE83" s="90" t="e">
        <f ca="1">IF(COND_INTERSTICIAL[[#This Row],[ϴn]]&gt;=0,610.5*EXP((17.269*COND_INTERSTICIAL[[#This Row],[ϴn]])/(237.3+COND_INTERSTICIAL[[#This Row],[ϴn]])),610.5*EXP((21.875*COND_INTERSTICIAL[[#This Row],[ϴn]])/(265.5+COND_INTERSTICIAL[[#This Row],[ϴn]])))</f>
        <v>#N/A</v>
      </c>
      <c r="DF83" s="90" t="e" cm="1">
        <f t="array" aca="1" ref="DF83" ca="1">COND_INTERSTICIAL[[#This Row],[S''d]]*((INDEX(CLIMA[Pi],COND_INTERSTICIAL[[#This Row],[Mes]])-INDEX(CLIMA[Pe],COND_INTERSTICIAL[[#This Row],[Mes]]))/INDEX(SECCIONES[SdT],COND_INTERSTICIAL[[#This Row],[Sección]]))+INDEX(CLIMA[Pe],COND_INTERSTICIAL[[#This Row],[Mes]])</f>
        <v>#N/A</v>
      </c>
      <c r="DG83" s="108" t="e">
        <f ca="1">IF((COND_INTERSTICIAL[[#This Row],[Pn]]&gt;=COND_INTERSTICIAL[[#This Row],[Psat]]),TRUE,FALSE)</f>
        <v>#N/A</v>
      </c>
      <c r="DH83" s="109" t="e" cm="1">
        <f t="array" aca="1" ref="DH83" ca="1">IF(COND_INTERSTICIAL[[#This Row],[Condensa]],COND_INTERSTICIAL[[#This Row],[Psat]],IF(COND_INTERSTICIAL[[#This Row],[Capa]]=N_capas,COND_INTERSTICIAL[[#This Row],[Pn]],""))</f>
        <v>#N/A</v>
      </c>
      <c r="DI83" s="109" t="e">
        <f ca="1">COND_INTERSTICIAL[[#This Row],[Mes]]&amp;"-"&amp;COND_INTERSTICIAL[[#This Row],[Sección]]&amp;"-"&amp;COND_INTERSTICIAL[[#This Row],[tramo cond]]</f>
        <v>#N/A</v>
      </c>
      <c r="DJ83" t="e" cm="1">
        <f t="array" aca="1" ref="DJ83" ca="1">IF(COND_INTERSTICIAL[[#This Row],[Capa]]=1,IF(COND_INTERSTICIAL[[#This Row],[Condensa]],2,1),IF(COND_INTERSTICIAL[[#This Row],[Condensa]],1,0)+INDIRECT(ADDRESS(ROW()-1,COLUMN(),4)))</f>
        <v>#N/A</v>
      </c>
      <c r="DK83" s="108" t="e" cm="1">
        <f t="array" aca="1" ref="DK83" ca="1">IF(COND_INTERSTICIAL[[#This Row],[tramo cond]]=1,0,IF((COND_INTERSTICIAL[[#This Row],[tramo cond]]&gt;INDIRECT(ADDRESS(ROW()-1,COLUMN(COND_INTERSTICIAL[[#This Row],[tramo cond]]),4)))+COND_INTERSTICIAL[[#This Row],[Condensa]],COND_INTERSTICIAL[[#This Row],[Capa]],INDIRECT(ADDRESS(ROW()-1,COLUMN(),4))))</f>
        <v>#N/A</v>
      </c>
      <c r="DL83" s="108" t="e" cm="1">
        <f t="array" aca="1" ref="DL83" ca="1">IF((COND_INTERSTICIAL[[#This Row],[Capa]]=N_capas)+(COND_INTERSTICIAL[[#This Row],[tramo cond]]=COUNTIFS(COND_INTERSTICIAL[Condensa],TRUE,COND_INTERSTICIAL[Mes],CW83,COND_INTERSTICIAL[Sección],CX83)+1),N_capas,INDEX(COND_INTERSTICIAL[capa lím inf cond],MATCH(COND_INTERSTICIAL[[#This Row],[Mes]]&amp;"-"&amp;COND_INTERSTICIAL[[#This Row],[Sección]]&amp;"-"&amp;(COND_INTERSTICIAL[[#This Row],[tramo cond]]+1),COND_INTERSTICIAL[llave tramo cond],0)))</f>
        <v>#N/A</v>
      </c>
      <c r="DM83" s="108" cm="1">
        <f t="array" aca="1" ref="DM8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3" s="110" t="e" cm="1">
        <f t="array" aca="1" ref="DN8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3" s="107" t="e">
        <f ca="1">COND_INTERSTICIAL[[#This Row],[gc]]+COND_INTERSTICIAL[[#This Row],[Ma_anterior cond]]</f>
        <v>#N/A</v>
      </c>
      <c r="DQ83" s="113" t="e">
        <f ca="1">IF((COND_INTERSTICIAL[[#This Row],[Ma_anterior cond]]&gt;0)*NOT(COND_INTERSTICIAL[[#This Row],[Condensa]]),TRUE,FALSE)</f>
        <v>#N/A</v>
      </c>
      <c r="DR83" s="112" t="e" cm="1">
        <f t="array" aca="1" ref="DR83" ca="1">IF(COND_INTERSTICIAL[[#This Row],[evapora]],COND_INTERSTICIAL[[#This Row],[Psat]],IF(COND_INTERSTICIAL[[#This Row],[Capa]]=N_capas,COND_INTERSTICIAL[[#This Row],[Pn]],""))</f>
        <v>#N/A</v>
      </c>
      <c r="DS83" s="112" t="e">
        <f ca="1">COND_INTERSTICIAL[[#This Row],[Mes]]&amp;"-"&amp;COND_INTERSTICIAL[[#This Row],[Sección]]&amp;"-"&amp;COND_INTERSTICIAL[[#This Row],[tramo ev]]</f>
        <v>#N/A</v>
      </c>
      <c r="DT83" s="111" t="e" cm="1">
        <f t="array" aca="1" ref="DT83" ca="1">IF(COND_INTERSTICIAL[[#This Row],[Capa]]=1,IF(COND_INTERSTICIAL[[#This Row],[evapora]],2,1),IF(COND_INTERSTICIAL[[#This Row],[evapora]],1,0)+INDIRECT(ADDRESS(ROW()-1,COLUMN(),4)))</f>
        <v>#N/A</v>
      </c>
      <c r="DU83" s="111" t="e" cm="1">
        <f t="array" aca="1" ref="DU83" ca="1">IF(COND_INTERSTICIAL[[#This Row],[tramo ev]]=1,0,IF((COND_INTERSTICIAL[[#This Row],[tramo ev]]&gt;INDIRECT(ADDRESS(ROW()-1,COLUMN(COND_INTERSTICIAL[[#This Row],[tramo ev]]),4)))+COND_INTERSTICIAL[[#This Row],[evapora]],COND_INTERSTICIAL[[#This Row],[Capa]],INDIRECT(ADDRESS(ROW()-1,COLUMN(),4))))</f>
        <v>#N/A</v>
      </c>
      <c r="DV83" s="111" t="e" cm="1">
        <f t="array" aca="1" ref="DV83" ca="1">IF((COND_INTERSTICIAL[[#This Row],[Capa]]=N_capas)+(COND_INTERSTICIAL[[#This Row],[tramo ev]]=COUNTIFS(COND_INTERSTICIAL[evapora],TRUE,COND_INTERSTICIAL[Mes],CW83,COND_INTERSTICIAL[Sección],CX83)+1),N_capas,INDEX(COND_INTERSTICIAL[capa lím inf ev],MATCH(COND_INTERSTICIAL[[#This Row],[Mes]]&amp;"-"&amp;COND_INTERSTICIAL[[#This Row],[Sección]]&amp;"-"&amp;(COND_INTERSTICIAL[[#This Row],[tramo ev]]+1),COND_INTERSTICIAL[llave tramo ev],0)))</f>
        <v>#N/A</v>
      </c>
      <c r="DW83" s="111" cm="1">
        <f t="array" aca="1" ref="DW8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3" s="113" t="e" cm="1">
        <f t="array" aca="1" ref="DX8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3" s="113" t="e">
        <f ca="1">COND_INTERSTICIAL[[#This Row],[gev]]+COND_INTERSTICIAL[[#This Row],[Ma anterior ev]]</f>
        <v>#N/A</v>
      </c>
      <c r="EA83" s="115" t="e">
        <f ca="1">IF(COND_INTERSTICIAL[[#This Row],[Ma cond]]+COND_INTERSTICIAL[[#This Row],[Ma ev]]&lt;=0,0,COND_INTERSTICIAL[[#This Row],[Ma cond]]+COND_INTERSTICIAL[[#This Row],[Ma ev]])</f>
        <v>#N/A</v>
      </c>
      <c r="EB83" s="115" t="e">
        <f ca="1">IF(COND_INTERSTICIAL[[#This Row],[Ma]]&gt;0,TRUE,FALSE)</f>
        <v>#N/A</v>
      </c>
      <c r="EC83" s="115" t="e" cm="1">
        <f t="array" aca="1" ref="EC83" ca="1">IF(COND_INTERSTICIAL[[#This Row],[agua líquida]],IF(COND_INTERSTICIAL[[#This Row],[Condensa]],COND_INTERSTICIAL[[#This Row],[P límite cond]],COND_INTERSTICIAL[[#This Row],[P límite ev]]),IF(COND_INTERSTICIAL[[#This Row],[Capa]]=N_capas,COND_INTERSTICIAL[[#This Row],[Pn]],""))</f>
        <v>#N/A</v>
      </c>
      <c r="ED83" s="115" t="e">
        <f ca="1">COND_INTERSTICIAL[[#This Row],[Mes]]&amp;"-"&amp;COND_INTERSTICIAL[[#This Row],[Sección]]&amp;"-"&amp;COND_INTERSTICIAL[[#This Row],[tramo gráf]]</f>
        <v>#N/A</v>
      </c>
      <c r="EE83" s="114" t="e" cm="1">
        <f t="array" aca="1" ref="EE83" ca="1">IF(COND_INTERSTICIAL[[#This Row],[Capa]]=1,IF(COND_INTERSTICIAL[[#This Row],[agua líquida]],2,1),IF(COND_INTERSTICIAL[[#This Row],[agua líquida]],1,0)+INDIRECT(ADDRESS(ROW()-1,COLUMN(),4)))</f>
        <v>#N/A</v>
      </c>
      <c r="EF83" s="114" t="e" cm="1">
        <f t="array" aca="1" ref="EF83" ca="1">IF(COND_INTERSTICIAL[[#This Row],[tramo gráf]]=1,0,IF((COND_INTERSTICIAL[[#This Row],[tramo gráf]]&gt;INDIRECT(ADDRESS(ROW()-1,COLUMN(COND_INTERSTICIAL[[#This Row],[tramo gráf]]),4)))+COND_INTERSTICIAL[[#This Row],[agua líquida]],COND_INTERSTICIAL[[#This Row],[Capa]],INDIRECT(ADDRESS(ROW()-1,COLUMN(),4))))</f>
        <v>#N/A</v>
      </c>
      <c r="EG83" s="114" t="e" cm="1">
        <f t="array" aca="1" ref="EG83" ca="1">IF((COND_INTERSTICIAL[[#This Row],[Capa]]=N_capas)+(COND_INTERSTICIAL[[#This Row],[tramo gráf]]=COUNTIFS(COND_INTERSTICIAL[agua líquida],TRUE,COND_INTERSTICIAL[Mes],CW83,COND_INTERSTICIAL[Sección],CX83)+1),N_capas,INDEX(COND_INTERSTICIAL[capa lím inf gráf],MATCH(COND_INTERSTICIAL[[#This Row],[Mes]]&amp;"-"&amp;COND_INTERSTICIAL[[#This Row],[Sección]]&amp;"-"&amp;(COND_INTERSTICIAL[[#This Row],[tramo gráf]]+1),COND_INTERSTICIAL[llave tramo gráf],0)))</f>
        <v>#N/A</v>
      </c>
      <c r="EH83" s="114" cm="1">
        <f t="array" aca="1" ref="EH8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3" s="116" t="e" cm="1">
        <f t="array" aca="1" ref="EI8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4" spans="101:139" x14ac:dyDescent="0.45">
      <c r="CW84" s="1" cm="1">
        <f t="array" ref="CW84">ROUNDUP((ROW()-$CN$18+(Mes_inicial_de_análisis-1)*N_capas*N_secciones)/(N_capas*N_secciones),0)-12*IF(ROW()-$CN$18&gt;(12-Mes_inicial_de_análisis+1)*N_capas*N_secciones,1,0)</f>
        <v>11</v>
      </c>
      <c r="CX84" cm="1">
        <f t="array" ref="CX84">ROUNDUP((ROW()-$CN$18)/N_capas-(ROUNDUP((ROW()-$CN$18)/(N_capas*N_secciones),0)-1)*N_secciones,0)</f>
        <v>2</v>
      </c>
      <c r="CY84" cm="1">
        <f t="array" ref="CY84">(ROW()-$CN$18)-(COND_INTERSTICIAL[[#This Row],[Sección]]-1)*N_capas-(ROUNDUP((ROW()-$CN$18)/(N_capas*N_secciones),0)-1)*N_capas*N_secciones</f>
        <v>2</v>
      </c>
      <c r="CZ84" t="str">
        <f>COND_INTERSTICIAL[[#This Row],[Mes]]&amp;"-"&amp;COND_INTERSTICIAL[[#This Row],[Sección]]&amp;"-"&amp;COND_INTERSTICIAL[[#This Row],[Capa]]</f>
        <v>11-2-2</v>
      </c>
      <c r="DA84">
        <f ca="1">INDEX(SECCIONES_CAPAS[R''n],MATCH(COND_INTERSTICIAL[[#This Row],[Sección]]&amp;"-"&amp;COND_INTERSTICIAL[[#This Row],[Capa]],SECCIONES_CAPAS[llave],0))</f>
        <v>0.04</v>
      </c>
      <c r="DB84" s="172" t="e" cm="1">
        <f t="array" aca="1" ref="DB84" ca="1">INDEX(CLIMA[ϴe],COND_INTERSTICIAL[[#This Row],[Mes]])+COND_INTERSTICIAL[[#This Row],[Rn]]*(INDEX(CLIMA[ϴi],COND_INTERSTICIAL[[#This Row],[Mes]])-INDEX(CLIMA[ϴe],COND_INTERSTICIAL[[#This Row],[Mes]]))/(INDEX(SECCIONES[Rtsección_condensación],COND_INTERSTICIAL[[#This Row],[Sección]]))</f>
        <v>#N/A</v>
      </c>
      <c r="DC84">
        <f>INDEX(SECCIONES_CAPAS[Sd],MATCH(COND_INTERSTICIAL[[#This Row],[Sección]]&amp;"-"&amp;COND_INTERSTICIAL[[#This Row],[Capa]],SECCIONES_CAPAS[llave],0))</f>
        <v>0</v>
      </c>
      <c r="DD84">
        <f ca="1">INDEX(SECCIONES_CAPAS[S''d],MATCH(COND_INTERSTICIAL[[#This Row],[Sección]]&amp;"-"&amp;COND_INTERSTICIAL[[#This Row],[Capa]],SECCIONES_CAPAS[llave],0))</f>
        <v>0</v>
      </c>
      <c r="DE84" s="90" t="e">
        <f ca="1">IF(COND_INTERSTICIAL[[#This Row],[ϴn]]&gt;=0,610.5*EXP((17.269*COND_INTERSTICIAL[[#This Row],[ϴn]])/(237.3+COND_INTERSTICIAL[[#This Row],[ϴn]])),610.5*EXP((21.875*COND_INTERSTICIAL[[#This Row],[ϴn]])/(265.5+COND_INTERSTICIAL[[#This Row],[ϴn]])))</f>
        <v>#N/A</v>
      </c>
      <c r="DF84" s="90" t="e" cm="1">
        <f t="array" aca="1" ref="DF84" ca="1">COND_INTERSTICIAL[[#This Row],[S''d]]*((INDEX(CLIMA[Pi],COND_INTERSTICIAL[[#This Row],[Mes]])-INDEX(CLIMA[Pe],COND_INTERSTICIAL[[#This Row],[Mes]]))/INDEX(SECCIONES[SdT],COND_INTERSTICIAL[[#This Row],[Sección]]))+INDEX(CLIMA[Pe],COND_INTERSTICIAL[[#This Row],[Mes]])</f>
        <v>#N/A</v>
      </c>
      <c r="DG84" s="108" t="e">
        <f ca="1">IF((COND_INTERSTICIAL[[#This Row],[Pn]]&gt;=COND_INTERSTICIAL[[#This Row],[Psat]]),TRUE,FALSE)</f>
        <v>#N/A</v>
      </c>
      <c r="DH84" s="109" t="e" cm="1">
        <f t="array" aca="1" ref="DH84" ca="1">IF(COND_INTERSTICIAL[[#This Row],[Condensa]],COND_INTERSTICIAL[[#This Row],[Psat]],IF(COND_INTERSTICIAL[[#This Row],[Capa]]=N_capas,COND_INTERSTICIAL[[#This Row],[Pn]],""))</f>
        <v>#N/A</v>
      </c>
      <c r="DI84" s="109" t="e">
        <f ca="1">COND_INTERSTICIAL[[#This Row],[Mes]]&amp;"-"&amp;COND_INTERSTICIAL[[#This Row],[Sección]]&amp;"-"&amp;COND_INTERSTICIAL[[#This Row],[tramo cond]]</f>
        <v>#N/A</v>
      </c>
      <c r="DJ84" t="e" cm="1">
        <f t="array" aca="1" ref="DJ84" ca="1">IF(COND_INTERSTICIAL[[#This Row],[Capa]]=1,IF(COND_INTERSTICIAL[[#This Row],[Condensa]],2,1),IF(COND_INTERSTICIAL[[#This Row],[Condensa]],1,0)+INDIRECT(ADDRESS(ROW()-1,COLUMN(),4)))</f>
        <v>#N/A</v>
      </c>
      <c r="DK84" s="108" t="e" cm="1">
        <f t="array" aca="1" ref="DK84" ca="1">IF(COND_INTERSTICIAL[[#This Row],[tramo cond]]=1,0,IF((COND_INTERSTICIAL[[#This Row],[tramo cond]]&gt;INDIRECT(ADDRESS(ROW()-1,COLUMN(COND_INTERSTICIAL[[#This Row],[tramo cond]]),4)))+COND_INTERSTICIAL[[#This Row],[Condensa]],COND_INTERSTICIAL[[#This Row],[Capa]],INDIRECT(ADDRESS(ROW()-1,COLUMN(),4))))</f>
        <v>#N/A</v>
      </c>
      <c r="DL84" s="108" t="e" cm="1">
        <f t="array" aca="1" ref="DL84" ca="1">IF((COND_INTERSTICIAL[[#This Row],[Capa]]=N_capas)+(COND_INTERSTICIAL[[#This Row],[tramo cond]]=COUNTIFS(COND_INTERSTICIAL[Condensa],TRUE,COND_INTERSTICIAL[Mes],CW84,COND_INTERSTICIAL[Sección],CX84)+1),N_capas,INDEX(COND_INTERSTICIAL[capa lím inf cond],MATCH(COND_INTERSTICIAL[[#This Row],[Mes]]&amp;"-"&amp;COND_INTERSTICIAL[[#This Row],[Sección]]&amp;"-"&amp;(COND_INTERSTICIAL[[#This Row],[tramo cond]]+1),COND_INTERSTICIAL[llave tramo cond],0)))</f>
        <v>#N/A</v>
      </c>
      <c r="DM84" s="108" cm="1">
        <f t="array" aca="1" ref="DM8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4" s="110" t="e" cm="1">
        <f t="array" aca="1" ref="DN8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4" s="107" t="e">
        <f ca="1">COND_INTERSTICIAL[[#This Row],[gc]]+COND_INTERSTICIAL[[#This Row],[Ma_anterior cond]]</f>
        <v>#N/A</v>
      </c>
      <c r="DQ84" s="113" t="e">
        <f ca="1">IF((COND_INTERSTICIAL[[#This Row],[Ma_anterior cond]]&gt;0)*NOT(COND_INTERSTICIAL[[#This Row],[Condensa]]),TRUE,FALSE)</f>
        <v>#N/A</v>
      </c>
      <c r="DR84" s="112" t="e" cm="1">
        <f t="array" aca="1" ref="DR84" ca="1">IF(COND_INTERSTICIAL[[#This Row],[evapora]],COND_INTERSTICIAL[[#This Row],[Psat]],IF(COND_INTERSTICIAL[[#This Row],[Capa]]=N_capas,COND_INTERSTICIAL[[#This Row],[Pn]],""))</f>
        <v>#N/A</v>
      </c>
      <c r="DS84" s="112" t="e">
        <f ca="1">COND_INTERSTICIAL[[#This Row],[Mes]]&amp;"-"&amp;COND_INTERSTICIAL[[#This Row],[Sección]]&amp;"-"&amp;COND_INTERSTICIAL[[#This Row],[tramo ev]]</f>
        <v>#N/A</v>
      </c>
      <c r="DT84" s="111" t="e" cm="1">
        <f t="array" aca="1" ref="DT84" ca="1">IF(COND_INTERSTICIAL[[#This Row],[Capa]]=1,IF(COND_INTERSTICIAL[[#This Row],[evapora]],2,1),IF(COND_INTERSTICIAL[[#This Row],[evapora]],1,0)+INDIRECT(ADDRESS(ROW()-1,COLUMN(),4)))</f>
        <v>#N/A</v>
      </c>
      <c r="DU84" s="111" t="e" cm="1">
        <f t="array" aca="1" ref="DU84" ca="1">IF(COND_INTERSTICIAL[[#This Row],[tramo ev]]=1,0,IF((COND_INTERSTICIAL[[#This Row],[tramo ev]]&gt;INDIRECT(ADDRESS(ROW()-1,COLUMN(COND_INTERSTICIAL[[#This Row],[tramo ev]]),4)))+COND_INTERSTICIAL[[#This Row],[evapora]],COND_INTERSTICIAL[[#This Row],[Capa]],INDIRECT(ADDRESS(ROW()-1,COLUMN(),4))))</f>
        <v>#N/A</v>
      </c>
      <c r="DV84" s="111" t="e" cm="1">
        <f t="array" aca="1" ref="DV84" ca="1">IF((COND_INTERSTICIAL[[#This Row],[Capa]]=N_capas)+(COND_INTERSTICIAL[[#This Row],[tramo ev]]=COUNTIFS(COND_INTERSTICIAL[evapora],TRUE,COND_INTERSTICIAL[Mes],CW84,COND_INTERSTICIAL[Sección],CX84)+1),N_capas,INDEX(COND_INTERSTICIAL[capa lím inf ev],MATCH(COND_INTERSTICIAL[[#This Row],[Mes]]&amp;"-"&amp;COND_INTERSTICIAL[[#This Row],[Sección]]&amp;"-"&amp;(COND_INTERSTICIAL[[#This Row],[tramo ev]]+1),COND_INTERSTICIAL[llave tramo ev],0)))</f>
        <v>#N/A</v>
      </c>
      <c r="DW84" s="111" cm="1">
        <f t="array" aca="1" ref="DW8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4" s="113" t="e" cm="1">
        <f t="array" aca="1" ref="DX8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4" s="113" t="e">
        <f ca="1">COND_INTERSTICIAL[[#This Row],[gev]]+COND_INTERSTICIAL[[#This Row],[Ma anterior ev]]</f>
        <v>#N/A</v>
      </c>
      <c r="EA84" s="115" t="e">
        <f ca="1">IF(COND_INTERSTICIAL[[#This Row],[Ma cond]]+COND_INTERSTICIAL[[#This Row],[Ma ev]]&lt;=0,0,COND_INTERSTICIAL[[#This Row],[Ma cond]]+COND_INTERSTICIAL[[#This Row],[Ma ev]])</f>
        <v>#N/A</v>
      </c>
      <c r="EB84" s="115" t="e">
        <f ca="1">IF(COND_INTERSTICIAL[[#This Row],[Ma]]&gt;0,TRUE,FALSE)</f>
        <v>#N/A</v>
      </c>
      <c r="EC84" s="115" t="e" cm="1">
        <f t="array" aca="1" ref="EC84" ca="1">IF(COND_INTERSTICIAL[[#This Row],[agua líquida]],IF(COND_INTERSTICIAL[[#This Row],[Condensa]],COND_INTERSTICIAL[[#This Row],[P límite cond]],COND_INTERSTICIAL[[#This Row],[P límite ev]]),IF(COND_INTERSTICIAL[[#This Row],[Capa]]=N_capas,COND_INTERSTICIAL[[#This Row],[Pn]],""))</f>
        <v>#N/A</v>
      </c>
      <c r="ED84" s="115" t="e">
        <f ca="1">COND_INTERSTICIAL[[#This Row],[Mes]]&amp;"-"&amp;COND_INTERSTICIAL[[#This Row],[Sección]]&amp;"-"&amp;COND_INTERSTICIAL[[#This Row],[tramo gráf]]</f>
        <v>#N/A</v>
      </c>
      <c r="EE84" s="114" t="e" cm="1">
        <f t="array" aca="1" ref="EE84" ca="1">IF(COND_INTERSTICIAL[[#This Row],[Capa]]=1,IF(COND_INTERSTICIAL[[#This Row],[agua líquida]],2,1),IF(COND_INTERSTICIAL[[#This Row],[agua líquida]],1,0)+INDIRECT(ADDRESS(ROW()-1,COLUMN(),4)))</f>
        <v>#N/A</v>
      </c>
      <c r="EF84" s="114" t="e" cm="1">
        <f t="array" aca="1" ref="EF84" ca="1">IF(COND_INTERSTICIAL[[#This Row],[tramo gráf]]=1,0,IF((COND_INTERSTICIAL[[#This Row],[tramo gráf]]&gt;INDIRECT(ADDRESS(ROW()-1,COLUMN(COND_INTERSTICIAL[[#This Row],[tramo gráf]]),4)))+COND_INTERSTICIAL[[#This Row],[agua líquida]],COND_INTERSTICIAL[[#This Row],[Capa]],INDIRECT(ADDRESS(ROW()-1,COLUMN(),4))))</f>
        <v>#N/A</v>
      </c>
      <c r="EG84" s="114" t="e" cm="1">
        <f t="array" aca="1" ref="EG84" ca="1">IF((COND_INTERSTICIAL[[#This Row],[Capa]]=N_capas)+(COND_INTERSTICIAL[[#This Row],[tramo gráf]]=COUNTIFS(COND_INTERSTICIAL[agua líquida],TRUE,COND_INTERSTICIAL[Mes],CW84,COND_INTERSTICIAL[Sección],CX84)+1),N_capas,INDEX(COND_INTERSTICIAL[capa lím inf gráf],MATCH(COND_INTERSTICIAL[[#This Row],[Mes]]&amp;"-"&amp;COND_INTERSTICIAL[[#This Row],[Sección]]&amp;"-"&amp;(COND_INTERSTICIAL[[#This Row],[tramo gráf]]+1),COND_INTERSTICIAL[llave tramo gráf],0)))</f>
        <v>#N/A</v>
      </c>
      <c r="EH84" s="114" cm="1">
        <f t="array" aca="1" ref="EH8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4" s="116" t="e" cm="1">
        <f t="array" aca="1" ref="EI8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5" spans="101:139" x14ac:dyDescent="0.45">
      <c r="CW85" s="1" cm="1">
        <f t="array" ref="CW85">ROUNDUP((ROW()-$CN$18+(Mes_inicial_de_análisis-1)*N_capas*N_secciones)/(N_capas*N_secciones),0)-12*IF(ROW()-$CN$18&gt;(12-Mes_inicial_de_análisis+1)*N_capas*N_secciones,1,0)</f>
        <v>11</v>
      </c>
      <c r="CX85" cm="1">
        <f t="array" ref="CX85">ROUNDUP((ROW()-$CN$18)/N_capas-(ROUNDUP((ROW()-$CN$18)/(N_capas*N_secciones),0)-1)*N_secciones,0)</f>
        <v>2</v>
      </c>
      <c r="CY85" cm="1">
        <f t="array" ref="CY85">(ROW()-$CN$18)-(COND_INTERSTICIAL[[#This Row],[Sección]]-1)*N_capas-(ROUNDUP((ROW()-$CN$18)/(N_capas*N_secciones),0)-1)*N_capas*N_secciones</f>
        <v>3</v>
      </c>
      <c r="CZ85" t="str">
        <f>COND_INTERSTICIAL[[#This Row],[Mes]]&amp;"-"&amp;COND_INTERSTICIAL[[#This Row],[Sección]]&amp;"-"&amp;COND_INTERSTICIAL[[#This Row],[Capa]]</f>
        <v>11-2-3</v>
      </c>
      <c r="DA85">
        <f ca="1">INDEX(SECCIONES_CAPAS[R''n],MATCH(COND_INTERSTICIAL[[#This Row],[Sección]]&amp;"-"&amp;COND_INTERSTICIAL[[#This Row],[Capa]],SECCIONES_CAPAS[llave],0))</f>
        <v>0.04</v>
      </c>
      <c r="DB85" s="172" t="e" cm="1">
        <f t="array" aca="1" ref="DB85" ca="1">INDEX(CLIMA[ϴe],COND_INTERSTICIAL[[#This Row],[Mes]])+COND_INTERSTICIAL[[#This Row],[Rn]]*(INDEX(CLIMA[ϴi],COND_INTERSTICIAL[[#This Row],[Mes]])-INDEX(CLIMA[ϴe],COND_INTERSTICIAL[[#This Row],[Mes]]))/(INDEX(SECCIONES[Rtsección_condensación],COND_INTERSTICIAL[[#This Row],[Sección]]))</f>
        <v>#N/A</v>
      </c>
      <c r="DC85">
        <f>INDEX(SECCIONES_CAPAS[Sd],MATCH(COND_INTERSTICIAL[[#This Row],[Sección]]&amp;"-"&amp;COND_INTERSTICIAL[[#This Row],[Capa]],SECCIONES_CAPAS[llave],0))</f>
        <v>0</v>
      </c>
      <c r="DD85">
        <f ca="1">INDEX(SECCIONES_CAPAS[S''d],MATCH(COND_INTERSTICIAL[[#This Row],[Sección]]&amp;"-"&amp;COND_INTERSTICIAL[[#This Row],[Capa]],SECCIONES_CAPAS[llave],0))</f>
        <v>0</v>
      </c>
      <c r="DE85" s="90" t="e">
        <f ca="1">IF(COND_INTERSTICIAL[[#This Row],[ϴn]]&gt;=0,610.5*EXP((17.269*COND_INTERSTICIAL[[#This Row],[ϴn]])/(237.3+COND_INTERSTICIAL[[#This Row],[ϴn]])),610.5*EXP((21.875*COND_INTERSTICIAL[[#This Row],[ϴn]])/(265.5+COND_INTERSTICIAL[[#This Row],[ϴn]])))</f>
        <v>#N/A</v>
      </c>
      <c r="DF85" s="90" t="e" cm="1">
        <f t="array" aca="1" ref="DF85" ca="1">COND_INTERSTICIAL[[#This Row],[S''d]]*((INDEX(CLIMA[Pi],COND_INTERSTICIAL[[#This Row],[Mes]])-INDEX(CLIMA[Pe],COND_INTERSTICIAL[[#This Row],[Mes]]))/INDEX(SECCIONES[SdT],COND_INTERSTICIAL[[#This Row],[Sección]]))+INDEX(CLIMA[Pe],COND_INTERSTICIAL[[#This Row],[Mes]])</f>
        <v>#N/A</v>
      </c>
      <c r="DG85" s="108" t="e">
        <f ca="1">IF((COND_INTERSTICIAL[[#This Row],[Pn]]&gt;=COND_INTERSTICIAL[[#This Row],[Psat]]),TRUE,FALSE)</f>
        <v>#N/A</v>
      </c>
      <c r="DH85" s="109" t="e" cm="1">
        <f t="array" aca="1" ref="DH85" ca="1">IF(COND_INTERSTICIAL[[#This Row],[Condensa]],COND_INTERSTICIAL[[#This Row],[Psat]],IF(COND_INTERSTICIAL[[#This Row],[Capa]]=N_capas,COND_INTERSTICIAL[[#This Row],[Pn]],""))</f>
        <v>#N/A</v>
      </c>
      <c r="DI85" s="109" t="e">
        <f ca="1">COND_INTERSTICIAL[[#This Row],[Mes]]&amp;"-"&amp;COND_INTERSTICIAL[[#This Row],[Sección]]&amp;"-"&amp;COND_INTERSTICIAL[[#This Row],[tramo cond]]</f>
        <v>#N/A</v>
      </c>
      <c r="DJ85" t="e" cm="1">
        <f t="array" aca="1" ref="DJ85" ca="1">IF(COND_INTERSTICIAL[[#This Row],[Capa]]=1,IF(COND_INTERSTICIAL[[#This Row],[Condensa]],2,1),IF(COND_INTERSTICIAL[[#This Row],[Condensa]],1,0)+INDIRECT(ADDRESS(ROW()-1,COLUMN(),4)))</f>
        <v>#N/A</v>
      </c>
      <c r="DK85" s="108" t="e" cm="1">
        <f t="array" aca="1" ref="DK85" ca="1">IF(COND_INTERSTICIAL[[#This Row],[tramo cond]]=1,0,IF((COND_INTERSTICIAL[[#This Row],[tramo cond]]&gt;INDIRECT(ADDRESS(ROW()-1,COLUMN(COND_INTERSTICIAL[[#This Row],[tramo cond]]),4)))+COND_INTERSTICIAL[[#This Row],[Condensa]],COND_INTERSTICIAL[[#This Row],[Capa]],INDIRECT(ADDRESS(ROW()-1,COLUMN(),4))))</f>
        <v>#N/A</v>
      </c>
      <c r="DL85" s="108" t="e" cm="1">
        <f t="array" aca="1" ref="DL85" ca="1">IF((COND_INTERSTICIAL[[#This Row],[Capa]]=N_capas)+(COND_INTERSTICIAL[[#This Row],[tramo cond]]=COUNTIFS(COND_INTERSTICIAL[Condensa],TRUE,COND_INTERSTICIAL[Mes],CW85,COND_INTERSTICIAL[Sección],CX85)+1),N_capas,INDEX(COND_INTERSTICIAL[capa lím inf cond],MATCH(COND_INTERSTICIAL[[#This Row],[Mes]]&amp;"-"&amp;COND_INTERSTICIAL[[#This Row],[Sección]]&amp;"-"&amp;(COND_INTERSTICIAL[[#This Row],[tramo cond]]+1),COND_INTERSTICIAL[llave tramo cond],0)))</f>
        <v>#N/A</v>
      </c>
      <c r="DM85" s="108" cm="1">
        <f t="array" aca="1" ref="DM8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5" s="110" t="e" cm="1">
        <f t="array" aca="1" ref="DN8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5" s="107" t="e">
        <f ca="1">COND_INTERSTICIAL[[#This Row],[gc]]+COND_INTERSTICIAL[[#This Row],[Ma_anterior cond]]</f>
        <v>#N/A</v>
      </c>
      <c r="DQ85" s="113" t="e">
        <f ca="1">IF((COND_INTERSTICIAL[[#This Row],[Ma_anterior cond]]&gt;0)*NOT(COND_INTERSTICIAL[[#This Row],[Condensa]]),TRUE,FALSE)</f>
        <v>#N/A</v>
      </c>
      <c r="DR85" s="112" t="e" cm="1">
        <f t="array" aca="1" ref="DR85" ca="1">IF(COND_INTERSTICIAL[[#This Row],[evapora]],COND_INTERSTICIAL[[#This Row],[Psat]],IF(COND_INTERSTICIAL[[#This Row],[Capa]]=N_capas,COND_INTERSTICIAL[[#This Row],[Pn]],""))</f>
        <v>#N/A</v>
      </c>
      <c r="DS85" s="112" t="e">
        <f ca="1">COND_INTERSTICIAL[[#This Row],[Mes]]&amp;"-"&amp;COND_INTERSTICIAL[[#This Row],[Sección]]&amp;"-"&amp;COND_INTERSTICIAL[[#This Row],[tramo ev]]</f>
        <v>#N/A</v>
      </c>
      <c r="DT85" s="111" t="e" cm="1">
        <f t="array" aca="1" ref="DT85" ca="1">IF(COND_INTERSTICIAL[[#This Row],[Capa]]=1,IF(COND_INTERSTICIAL[[#This Row],[evapora]],2,1),IF(COND_INTERSTICIAL[[#This Row],[evapora]],1,0)+INDIRECT(ADDRESS(ROW()-1,COLUMN(),4)))</f>
        <v>#N/A</v>
      </c>
      <c r="DU85" s="111" t="e" cm="1">
        <f t="array" aca="1" ref="DU85" ca="1">IF(COND_INTERSTICIAL[[#This Row],[tramo ev]]=1,0,IF((COND_INTERSTICIAL[[#This Row],[tramo ev]]&gt;INDIRECT(ADDRESS(ROW()-1,COLUMN(COND_INTERSTICIAL[[#This Row],[tramo ev]]),4)))+COND_INTERSTICIAL[[#This Row],[evapora]],COND_INTERSTICIAL[[#This Row],[Capa]],INDIRECT(ADDRESS(ROW()-1,COLUMN(),4))))</f>
        <v>#N/A</v>
      </c>
      <c r="DV85" s="111" t="e" cm="1">
        <f t="array" aca="1" ref="DV85" ca="1">IF((COND_INTERSTICIAL[[#This Row],[Capa]]=N_capas)+(COND_INTERSTICIAL[[#This Row],[tramo ev]]=COUNTIFS(COND_INTERSTICIAL[evapora],TRUE,COND_INTERSTICIAL[Mes],CW85,COND_INTERSTICIAL[Sección],CX85)+1),N_capas,INDEX(COND_INTERSTICIAL[capa lím inf ev],MATCH(COND_INTERSTICIAL[[#This Row],[Mes]]&amp;"-"&amp;COND_INTERSTICIAL[[#This Row],[Sección]]&amp;"-"&amp;(COND_INTERSTICIAL[[#This Row],[tramo ev]]+1),COND_INTERSTICIAL[llave tramo ev],0)))</f>
        <v>#N/A</v>
      </c>
      <c r="DW85" s="111" cm="1">
        <f t="array" aca="1" ref="DW8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5" s="113" t="e" cm="1">
        <f t="array" aca="1" ref="DX8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5" s="113" t="e">
        <f ca="1">COND_INTERSTICIAL[[#This Row],[gev]]+COND_INTERSTICIAL[[#This Row],[Ma anterior ev]]</f>
        <v>#N/A</v>
      </c>
      <c r="EA85" s="115" t="e">
        <f ca="1">IF(COND_INTERSTICIAL[[#This Row],[Ma cond]]+COND_INTERSTICIAL[[#This Row],[Ma ev]]&lt;=0,0,COND_INTERSTICIAL[[#This Row],[Ma cond]]+COND_INTERSTICIAL[[#This Row],[Ma ev]])</f>
        <v>#N/A</v>
      </c>
      <c r="EB85" s="115" t="e">
        <f ca="1">IF(COND_INTERSTICIAL[[#This Row],[Ma]]&gt;0,TRUE,FALSE)</f>
        <v>#N/A</v>
      </c>
      <c r="EC85" s="115" t="e" cm="1">
        <f t="array" aca="1" ref="EC85" ca="1">IF(COND_INTERSTICIAL[[#This Row],[agua líquida]],IF(COND_INTERSTICIAL[[#This Row],[Condensa]],COND_INTERSTICIAL[[#This Row],[P límite cond]],COND_INTERSTICIAL[[#This Row],[P límite ev]]),IF(COND_INTERSTICIAL[[#This Row],[Capa]]=N_capas,COND_INTERSTICIAL[[#This Row],[Pn]],""))</f>
        <v>#N/A</v>
      </c>
      <c r="ED85" s="115" t="e">
        <f ca="1">COND_INTERSTICIAL[[#This Row],[Mes]]&amp;"-"&amp;COND_INTERSTICIAL[[#This Row],[Sección]]&amp;"-"&amp;COND_INTERSTICIAL[[#This Row],[tramo gráf]]</f>
        <v>#N/A</v>
      </c>
      <c r="EE85" s="114" t="e" cm="1">
        <f t="array" aca="1" ref="EE85" ca="1">IF(COND_INTERSTICIAL[[#This Row],[Capa]]=1,IF(COND_INTERSTICIAL[[#This Row],[agua líquida]],2,1),IF(COND_INTERSTICIAL[[#This Row],[agua líquida]],1,0)+INDIRECT(ADDRESS(ROW()-1,COLUMN(),4)))</f>
        <v>#N/A</v>
      </c>
      <c r="EF85" s="114" t="e" cm="1">
        <f t="array" aca="1" ref="EF85" ca="1">IF(COND_INTERSTICIAL[[#This Row],[tramo gráf]]=1,0,IF((COND_INTERSTICIAL[[#This Row],[tramo gráf]]&gt;INDIRECT(ADDRESS(ROW()-1,COLUMN(COND_INTERSTICIAL[[#This Row],[tramo gráf]]),4)))+COND_INTERSTICIAL[[#This Row],[agua líquida]],COND_INTERSTICIAL[[#This Row],[Capa]],INDIRECT(ADDRESS(ROW()-1,COLUMN(),4))))</f>
        <v>#N/A</v>
      </c>
      <c r="EG85" s="114" t="e" cm="1">
        <f t="array" aca="1" ref="EG85" ca="1">IF((COND_INTERSTICIAL[[#This Row],[Capa]]=N_capas)+(COND_INTERSTICIAL[[#This Row],[tramo gráf]]=COUNTIFS(COND_INTERSTICIAL[agua líquida],TRUE,COND_INTERSTICIAL[Mes],CW85,COND_INTERSTICIAL[Sección],CX85)+1),N_capas,INDEX(COND_INTERSTICIAL[capa lím inf gráf],MATCH(COND_INTERSTICIAL[[#This Row],[Mes]]&amp;"-"&amp;COND_INTERSTICIAL[[#This Row],[Sección]]&amp;"-"&amp;(COND_INTERSTICIAL[[#This Row],[tramo gráf]]+1),COND_INTERSTICIAL[llave tramo gráf],0)))</f>
        <v>#N/A</v>
      </c>
      <c r="EH85" s="114" cm="1">
        <f t="array" aca="1" ref="EH8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5" s="116" t="e" cm="1">
        <f t="array" aca="1" ref="EI8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6" spans="101:139" x14ac:dyDescent="0.45">
      <c r="CW86" s="1" cm="1">
        <f t="array" ref="CW86">ROUNDUP((ROW()-$CN$18+(Mes_inicial_de_análisis-1)*N_capas*N_secciones)/(N_capas*N_secciones),0)-12*IF(ROW()-$CN$18&gt;(12-Mes_inicial_de_análisis+1)*N_capas*N_secciones,1,0)</f>
        <v>11</v>
      </c>
      <c r="CX86" cm="1">
        <f t="array" ref="CX86">ROUNDUP((ROW()-$CN$18)/N_capas-(ROUNDUP((ROW()-$CN$18)/(N_capas*N_secciones),0)-1)*N_secciones,0)</f>
        <v>2</v>
      </c>
      <c r="CY86" cm="1">
        <f t="array" ref="CY86">(ROW()-$CN$18)-(COND_INTERSTICIAL[[#This Row],[Sección]]-1)*N_capas-(ROUNDUP((ROW()-$CN$18)/(N_capas*N_secciones),0)-1)*N_capas*N_secciones</f>
        <v>4</v>
      </c>
      <c r="CZ86" t="str">
        <f>COND_INTERSTICIAL[[#This Row],[Mes]]&amp;"-"&amp;COND_INTERSTICIAL[[#This Row],[Sección]]&amp;"-"&amp;COND_INTERSTICIAL[[#This Row],[Capa]]</f>
        <v>11-2-4</v>
      </c>
      <c r="DA86">
        <f ca="1">INDEX(SECCIONES_CAPAS[R''n],MATCH(COND_INTERSTICIAL[[#This Row],[Sección]]&amp;"-"&amp;COND_INTERSTICIAL[[#This Row],[Capa]],SECCIONES_CAPAS[llave],0))</f>
        <v>0.04</v>
      </c>
      <c r="DB86" s="172" t="e" cm="1">
        <f t="array" aca="1" ref="DB86" ca="1">INDEX(CLIMA[ϴe],COND_INTERSTICIAL[[#This Row],[Mes]])+COND_INTERSTICIAL[[#This Row],[Rn]]*(INDEX(CLIMA[ϴi],COND_INTERSTICIAL[[#This Row],[Mes]])-INDEX(CLIMA[ϴe],COND_INTERSTICIAL[[#This Row],[Mes]]))/(INDEX(SECCIONES[Rtsección_condensación],COND_INTERSTICIAL[[#This Row],[Sección]]))</f>
        <v>#N/A</v>
      </c>
      <c r="DC86">
        <f>INDEX(SECCIONES_CAPAS[Sd],MATCH(COND_INTERSTICIAL[[#This Row],[Sección]]&amp;"-"&amp;COND_INTERSTICIAL[[#This Row],[Capa]],SECCIONES_CAPAS[llave],0))</f>
        <v>0</v>
      </c>
      <c r="DD86">
        <f ca="1">INDEX(SECCIONES_CAPAS[S''d],MATCH(COND_INTERSTICIAL[[#This Row],[Sección]]&amp;"-"&amp;COND_INTERSTICIAL[[#This Row],[Capa]],SECCIONES_CAPAS[llave],0))</f>
        <v>0</v>
      </c>
      <c r="DE86" s="90" t="e">
        <f ca="1">IF(COND_INTERSTICIAL[[#This Row],[ϴn]]&gt;=0,610.5*EXP((17.269*COND_INTERSTICIAL[[#This Row],[ϴn]])/(237.3+COND_INTERSTICIAL[[#This Row],[ϴn]])),610.5*EXP((21.875*COND_INTERSTICIAL[[#This Row],[ϴn]])/(265.5+COND_INTERSTICIAL[[#This Row],[ϴn]])))</f>
        <v>#N/A</v>
      </c>
      <c r="DF86" s="90" t="e" cm="1">
        <f t="array" aca="1" ref="DF86" ca="1">COND_INTERSTICIAL[[#This Row],[S''d]]*((INDEX(CLIMA[Pi],COND_INTERSTICIAL[[#This Row],[Mes]])-INDEX(CLIMA[Pe],COND_INTERSTICIAL[[#This Row],[Mes]]))/INDEX(SECCIONES[SdT],COND_INTERSTICIAL[[#This Row],[Sección]]))+INDEX(CLIMA[Pe],COND_INTERSTICIAL[[#This Row],[Mes]])</f>
        <v>#N/A</v>
      </c>
      <c r="DG86" s="108" t="e">
        <f ca="1">IF((COND_INTERSTICIAL[[#This Row],[Pn]]&gt;=COND_INTERSTICIAL[[#This Row],[Psat]]),TRUE,FALSE)</f>
        <v>#N/A</v>
      </c>
      <c r="DH86" s="109" t="e" cm="1">
        <f t="array" aca="1" ref="DH86" ca="1">IF(COND_INTERSTICIAL[[#This Row],[Condensa]],COND_INTERSTICIAL[[#This Row],[Psat]],IF(COND_INTERSTICIAL[[#This Row],[Capa]]=N_capas,COND_INTERSTICIAL[[#This Row],[Pn]],""))</f>
        <v>#N/A</v>
      </c>
      <c r="DI86" s="109" t="e">
        <f ca="1">COND_INTERSTICIAL[[#This Row],[Mes]]&amp;"-"&amp;COND_INTERSTICIAL[[#This Row],[Sección]]&amp;"-"&amp;COND_INTERSTICIAL[[#This Row],[tramo cond]]</f>
        <v>#N/A</v>
      </c>
      <c r="DJ86" t="e" cm="1">
        <f t="array" aca="1" ref="DJ86" ca="1">IF(COND_INTERSTICIAL[[#This Row],[Capa]]=1,IF(COND_INTERSTICIAL[[#This Row],[Condensa]],2,1),IF(COND_INTERSTICIAL[[#This Row],[Condensa]],1,0)+INDIRECT(ADDRESS(ROW()-1,COLUMN(),4)))</f>
        <v>#N/A</v>
      </c>
      <c r="DK86" s="108" t="e" cm="1">
        <f t="array" aca="1" ref="DK86" ca="1">IF(COND_INTERSTICIAL[[#This Row],[tramo cond]]=1,0,IF((COND_INTERSTICIAL[[#This Row],[tramo cond]]&gt;INDIRECT(ADDRESS(ROW()-1,COLUMN(COND_INTERSTICIAL[[#This Row],[tramo cond]]),4)))+COND_INTERSTICIAL[[#This Row],[Condensa]],COND_INTERSTICIAL[[#This Row],[Capa]],INDIRECT(ADDRESS(ROW()-1,COLUMN(),4))))</f>
        <v>#N/A</v>
      </c>
      <c r="DL86" s="108" t="e" cm="1">
        <f t="array" aca="1" ref="DL86" ca="1">IF((COND_INTERSTICIAL[[#This Row],[Capa]]=N_capas)+(COND_INTERSTICIAL[[#This Row],[tramo cond]]=COUNTIFS(COND_INTERSTICIAL[Condensa],TRUE,COND_INTERSTICIAL[Mes],CW86,COND_INTERSTICIAL[Sección],CX86)+1),N_capas,INDEX(COND_INTERSTICIAL[capa lím inf cond],MATCH(COND_INTERSTICIAL[[#This Row],[Mes]]&amp;"-"&amp;COND_INTERSTICIAL[[#This Row],[Sección]]&amp;"-"&amp;(COND_INTERSTICIAL[[#This Row],[tramo cond]]+1),COND_INTERSTICIAL[llave tramo cond],0)))</f>
        <v>#N/A</v>
      </c>
      <c r="DM86" s="108" cm="1">
        <f t="array" aca="1" ref="DM8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6" s="110" t="e" cm="1">
        <f t="array" aca="1" ref="DN8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6" s="107" t="e">
        <f ca="1">COND_INTERSTICIAL[[#This Row],[gc]]+COND_INTERSTICIAL[[#This Row],[Ma_anterior cond]]</f>
        <v>#N/A</v>
      </c>
      <c r="DQ86" s="113" t="e">
        <f ca="1">IF((COND_INTERSTICIAL[[#This Row],[Ma_anterior cond]]&gt;0)*NOT(COND_INTERSTICIAL[[#This Row],[Condensa]]),TRUE,FALSE)</f>
        <v>#N/A</v>
      </c>
      <c r="DR86" s="112" t="e" cm="1">
        <f t="array" aca="1" ref="DR86" ca="1">IF(COND_INTERSTICIAL[[#This Row],[evapora]],COND_INTERSTICIAL[[#This Row],[Psat]],IF(COND_INTERSTICIAL[[#This Row],[Capa]]=N_capas,COND_INTERSTICIAL[[#This Row],[Pn]],""))</f>
        <v>#N/A</v>
      </c>
      <c r="DS86" s="112" t="e">
        <f ca="1">COND_INTERSTICIAL[[#This Row],[Mes]]&amp;"-"&amp;COND_INTERSTICIAL[[#This Row],[Sección]]&amp;"-"&amp;COND_INTERSTICIAL[[#This Row],[tramo ev]]</f>
        <v>#N/A</v>
      </c>
      <c r="DT86" s="111" t="e" cm="1">
        <f t="array" aca="1" ref="DT86" ca="1">IF(COND_INTERSTICIAL[[#This Row],[Capa]]=1,IF(COND_INTERSTICIAL[[#This Row],[evapora]],2,1),IF(COND_INTERSTICIAL[[#This Row],[evapora]],1,0)+INDIRECT(ADDRESS(ROW()-1,COLUMN(),4)))</f>
        <v>#N/A</v>
      </c>
      <c r="DU86" s="111" t="e" cm="1">
        <f t="array" aca="1" ref="DU86" ca="1">IF(COND_INTERSTICIAL[[#This Row],[tramo ev]]=1,0,IF((COND_INTERSTICIAL[[#This Row],[tramo ev]]&gt;INDIRECT(ADDRESS(ROW()-1,COLUMN(COND_INTERSTICIAL[[#This Row],[tramo ev]]),4)))+COND_INTERSTICIAL[[#This Row],[evapora]],COND_INTERSTICIAL[[#This Row],[Capa]],INDIRECT(ADDRESS(ROW()-1,COLUMN(),4))))</f>
        <v>#N/A</v>
      </c>
      <c r="DV86" s="111" t="e" cm="1">
        <f t="array" aca="1" ref="DV86" ca="1">IF((COND_INTERSTICIAL[[#This Row],[Capa]]=N_capas)+(COND_INTERSTICIAL[[#This Row],[tramo ev]]=COUNTIFS(COND_INTERSTICIAL[evapora],TRUE,COND_INTERSTICIAL[Mes],CW86,COND_INTERSTICIAL[Sección],CX86)+1),N_capas,INDEX(COND_INTERSTICIAL[capa lím inf ev],MATCH(COND_INTERSTICIAL[[#This Row],[Mes]]&amp;"-"&amp;COND_INTERSTICIAL[[#This Row],[Sección]]&amp;"-"&amp;(COND_INTERSTICIAL[[#This Row],[tramo ev]]+1),COND_INTERSTICIAL[llave tramo ev],0)))</f>
        <v>#N/A</v>
      </c>
      <c r="DW86" s="111" cm="1">
        <f t="array" aca="1" ref="DW8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6" s="113" t="e" cm="1">
        <f t="array" aca="1" ref="DX8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6" s="113" t="e">
        <f ca="1">COND_INTERSTICIAL[[#This Row],[gev]]+COND_INTERSTICIAL[[#This Row],[Ma anterior ev]]</f>
        <v>#N/A</v>
      </c>
      <c r="EA86" s="115" t="e">
        <f ca="1">IF(COND_INTERSTICIAL[[#This Row],[Ma cond]]+COND_INTERSTICIAL[[#This Row],[Ma ev]]&lt;=0,0,COND_INTERSTICIAL[[#This Row],[Ma cond]]+COND_INTERSTICIAL[[#This Row],[Ma ev]])</f>
        <v>#N/A</v>
      </c>
      <c r="EB86" s="115" t="e">
        <f ca="1">IF(COND_INTERSTICIAL[[#This Row],[Ma]]&gt;0,TRUE,FALSE)</f>
        <v>#N/A</v>
      </c>
      <c r="EC86" s="115" t="e" cm="1">
        <f t="array" aca="1" ref="EC86" ca="1">IF(COND_INTERSTICIAL[[#This Row],[agua líquida]],IF(COND_INTERSTICIAL[[#This Row],[Condensa]],COND_INTERSTICIAL[[#This Row],[P límite cond]],COND_INTERSTICIAL[[#This Row],[P límite ev]]),IF(COND_INTERSTICIAL[[#This Row],[Capa]]=N_capas,COND_INTERSTICIAL[[#This Row],[Pn]],""))</f>
        <v>#N/A</v>
      </c>
      <c r="ED86" s="115" t="e">
        <f ca="1">COND_INTERSTICIAL[[#This Row],[Mes]]&amp;"-"&amp;COND_INTERSTICIAL[[#This Row],[Sección]]&amp;"-"&amp;COND_INTERSTICIAL[[#This Row],[tramo gráf]]</f>
        <v>#N/A</v>
      </c>
      <c r="EE86" s="114" t="e" cm="1">
        <f t="array" aca="1" ref="EE86" ca="1">IF(COND_INTERSTICIAL[[#This Row],[Capa]]=1,IF(COND_INTERSTICIAL[[#This Row],[agua líquida]],2,1),IF(COND_INTERSTICIAL[[#This Row],[agua líquida]],1,0)+INDIRECT(ADDRESS(ROW()-1,COLUMN(),4)))</f>
        <v>#N/A</v>
      </c>
      <c r="EF86" s="114" t="e" cm="1">
        <f t="array" aca="1" ref="EF86" ca="1">IF(COND_INTERSTICIAL[[#This Row],[tramo gráf]]=1,0,IF((COND_INTERSTICIAL[[#This Row],[tramo gráf]]&gt;INDIRECT(ADDRESS(ROW()-1,COLUMN(COND_INTERSTICIAL[[#This Row],[tramo gráf]]),4)))+COND_INTERSTICIAL[[#This Row],[agua líquida]],COND_INTERSTICIAL[[#This Row],[Capa]],INDIRECT(ADDRESS(ROW()-1,COLUMN(),4))))</f>
        <v>#N/A</v>
      </c>
      <c r="EG86" s="114" t="e" cm="1">
        <f t="array" aca="1" ref="EG86" ca="1">IF((COND_INTERSTICIAL[[#This Row],[Capa]]=N_capas)+(COND_INTERSTICIAL[[#This Row],[tramo gráf]]=COUNTIFS(COND_INTERSTICIAL[agua líquida],TRUE,COND_INTERSTICIAL[Mes],CW86,COND_INTERSTICIAL[Sección],CX86)+1),N_capas,INDEX(COND_INTERSTICIAL[capa lím inf gráf],MATCH(COND_INTERSTICIAL[[#This Row],[Mes]]&amp;"-"&amp;COND_INTERSTICIAL[[#This Row],[Sección]]&amp;"-"&amp;(COND_INTERSTICIAL[[#This Row],[tramo gráf]]+1),COND_INTERSTICIAL[llave tramo gráf],0)))</f>
        <v>#N/A</v>
      </c>
      <c r="EH86" s="114" cm="1">
        <f t="array" aca="1" ref="EH8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6" s="116" t="e" cm="1">
        <f t="array" aca="1" ref="EI8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7" spans="101:139" x14ac:dyDescent="0.45">
      <c r="CW87" s="1" cm="1">
        <f t="array" ref="CW87">ROUNDUP((ROW()-$CN$18+(Mes_inicial_de_análisis-1)*N_capas*N_secciones)/(N_capas*N_secciones),0)-12*IF(ROW()-$CN$18&gt;(12-Mes_inicial_de_análisis+1)*N_capas*N_secciones,1,0)</f>
        <v>11</v>
      </c>
      <c r="CX87" cm="1">
        <f t="array" ref="CX87">ROUNDUP((ROW()-$CN$18)/N_capas-(ROUNDUP((ROW()-$CN$18)/(N_capas*N_secciones),0)-1)*N_secciones,0)</f>
        <v>2</v>
      </c>
      <c r="CY87" cm="1">
        <f t="array" ref="CY87">(ROW()-$CN$18)-(COND_INTERSTICIAL[[#This Row],[Sección]]-1)*N_capas-(ROUNDUP((ROW()-$CN$18)/(N_capas*N_secciones),0)-1)*N_capas*N_secciones</f>
        <v>5</v>
      </c>
      <c r="CZ87" t="str">
        <f>COND_INTERSTICIAL[[#This Row],[Mes]]&amp;"-"&amp;COND_INTERSTICIAL[[#This Row],[Sección]]&amp;"-"&amp;COND_INTERSTICIAL[[#This Row],[Capa]]</f>
        <v>11-2-5</v>
      </c>
      <c r="DA87">
        <f ca="1">INDEX(SECCIONES_CAPAS[R''n],MATCH(COND_INTERSTICIAL[[#This Row],[Sección]]&amp;"-"&amp;COND_INTERSTICIAL[[#This Row],[Capa]],SECCIONES_CAPAS[llave],0))</f>
        <v>0.04</v>
      </c>
      <c r="DB87" s="172" t="e" cm="1">
        <f t="array" aca="1" ref="DB87" ca="1">INDEX(CLIMA[ϴe],COND_INTERSTICIAL[[#This Row],[Mes]])+COND_INTERSTICIAL[[#This Row],[Rn]]*(INDEX(CLIMA[ϴi],COND_INTERSTICIAL[[#This Row],[Mes]])-INDEX(CLIMA[ϴe],COND_INTERSTICIAL[[#This Row],[Mes]]))/(INDEX(SECCIONES[Rtsección_condensación],COND_INTERSTICIAL[[#This Row],[Sección]]))</f>
        <v>#N/A</v>
      </c>
      <c r="DC87">
        <f>INDEX(SECCIONES_CAPAS[Sd],MATCH(COND_INTERSTICIAL[[#This Row],[Sección]]&amp;"-"&amp;COND_INTERSTICIAL[[#This Row],[Capa]],SECCIONES_CAPAS[llave],0))</f>
        <v>0</v>
      </c>
      <c r="DD87">
        <f ca="1">INDEX(SECCIONES_CAPAS[S''d],MATCH(COND_INTERSTICIAL[[#This Row],[Sección]]&amp;"-"&amp;COND_INTERSTICIAL[[#This Row],[Capa]],SECCIONES_CAPAS[llave],0))</f>
        <v>0</v>
      </c>
      <c r="DE87" s="90" t="e">
        <f ca="1">IF(COND_INTERSTICIAL[[#This Row],[ϴn]]&gt;=0,610.5*EXP((17.269*COND_INTERSTICIAL[[#This Row],[ϴn]])/(237.3+COND_INTERSTICIAL[[#This Row],[ϴn]])),610.5*EXP((21.875*COND_INTERSTICIAL[[#This Row],[ϴn]])/(265.5+COND_INTERSTICIAL[[#This Row],[ϴn]])))</f>
        <v>#N/A</v>
      </c>
      <c r="DF87" s="90" t="e" cm="1">
        <f t="array" aca="1" ref="DF87" ca="1">COND_INTERSTICIAL[[#This Row],[S''d]]*((INDEX(CLIMA[Pi],COND_INTERSTICIAL[[#This Row],[Mes]])-INDEX(CLIMA[Pe],COND_INTERSTICIAL[[#This Row],[Mes]]))/INDEX(SECCIONES[SdT],COND_INTERSTICIAL[[#This Row],[Sección]]))+INDEX(CLIMA[Pe],COND_INTERSTICIAL[[#This Row],[Mes]])</f>
        <v>#N/A</v>
      </c>
      <c r="DG87" s="108" t="e">
        <f ca="1">IF((COND_INTERSTICIAL[[#This Row],[Pn]]&gt;=COND_INTERSTICIAL[[#This Row],[Psat]]),TRUE,FALSE)</f>
        <v>#N/A</v>
      </c>
      <c r="DH87" s="109" t="e" cm="1">
        <f t="array" aca="1" ref="DH87" ca="1">IF(COND_INTERSTICIAL[[#This Row],[Condensa]],COND_INTERSTICIAL[[#This Row],[Psat]],IF(COND_INTERSTICIAL[[#This Row],[Capa]]=N_capas,COND_INTERSTICIAL[[#This Row],[Pn]],""))</f>
        <v>#N/A</v>
      </c>
      <c r="DI87" s="109" t="e">
        <f ca="1">COND_INTERSTICIAL[[#This Row],[Mes]]&amp;"-"&amp;COND_INTERSTICIAL[[#This Row],[Sección]]&amp;"-"&amp;COND_INTERSTICIAL[[#This Row],[tramo cond]]</f>
        <v>#N/A</v>
      </c>
      <c r="DJ87" t="e" cm="1">
        <f t="array" aca="1" ref="DJ87" ca="1">IF(COND_INTERSTICIAL[[#This Row],[Capa]]=1,IF(COND_INTERSTICIAL[[#This Row],[Condensa]],2,1),IF(COND_INTERSTICIAL[[#This Row],[Condensa]],1,0)+INDIRECT(ADDRESS(ROW()-1,COLUMN(),4)))</f>
        <v>#N/A</v>
      </c>
      <c r="DK87" s="108" t="e" cm="1">
        <f t="array" aca="1" ref="DK87" ca="1">IF(COND_INTERSTICIAL[[#This Row],[tramo cond]]=1,0,IF((COND_INTERSTICIAL[[#This Row],[tramo cond]]&gt;INDIRECT(ADDRESS(ROW()-1,COLUMN(COND_INTERSTICIAL[[#This Row],[tramo cond]]),4)))+COND_INTERSTICIAL[[#This Row],[Condensa]],COND_INTERSTICIAL[[#This Row],[Capa]],INDIRECT(ADDRESS(ROW()-1,COLUMN(),4))))</f>
        <v>#N/A</v>
      </c>
      <c r="DL87" s="108" t="e" cm="1">
        <f t="array" aca="1" ref="DL87" ca="1">IF((COND_INTERSTICIAL[[#This Row],[Capa]]=N_capas)+(COND_INTERSTICIAL[[#This Row],[tramo cond]]=COUNTIFS(COND_INTERSTICIAL[Condensa],TRUE,COND_INTERSTICIAL[Mes],CW87,COND_INTERSTICIAL[Sección],CX87)+1),N_capas,INDEX(COND_INTERSTICIAL[capa lím inf cond],MATCH(COND_INTERSTICIAL[[#This Row],[Mes]]&amp;"-"&amp;COND_INTERSTICIAL[[#This Row],[Sección]]&amp;"-"&amp;(COND_INTERSTICIAL[[#This Row],[tramo cond]]+1),COND_INTERSTICIAL[llave tramo cond],0)))</f>
        <v>#N/A</v>
      </c>
      <c r="DM87" s="108" cm="1">
        <f t="array" aca="1" ref="DM8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7" s="110" t="e" cm="1">
        <f t="array" aca="1" ref="DN8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7" s="107" t="e">
        <f ca="1">COND_INTERSTICIAL[[#This Row],[gc]]+COND_INTERSTICIAL[[#This Row],[Ma_anterior cond]]</f>
        <v>#N/A</v>
      </c>
      <c r="DQ87" s="113" t="e">
        <f ca="1">IF((COND_INTERSTICIAL[[#This Row],[Ma_anterior cond]]&gt;0)*NOT(COND_INTERSTICIAL[[#This Row],[Condensa]]),TRUE,FALSE)</f>
        <v>#N/A</v>
      </c>
      <c r="DR87" s="112" t="e" cm="1">
        <f t="array" aca="1" ref="DR87" ca="1">IF(COND_INTERSTICIAL[[#This Row],[evapora]],COND_INTERSTICIAL[[#This Row],[Psat]],IF(COND_INTERSTICIAL[[#This Row],[Capa]]=N_capas,COND_INTERSTICIAL[[#This Row],[Pn]],""))</f>
        <v>#N/A</v>
      </c>
      <c r="DS87" s="112" t="e">
        <f ca="1">COND_INTERSTICIAL[[#This Row],[Mes]]&amp;"-"&amp;COND_INTERSTICIAL[[#This Row],[Sección]]&amp;"-"&amp;COND_INTERSTICIAL[[#This Row],[tramo ev]]</f>
        <v>#N/A</v>
      </c>
      <c r="DT87" s="111" t="e" cm="1">
        <f t="array" aca="1" ref="DT87" ca="1">IF(COND_INTERSTICIAL[[#This Row],[Capa]]=1,IF(COND_INTERSTICIAL[[#This Row],[evapora]],2,1),IF(COND_INTERSTICIAL[[#This Row],[evapora]],1,0)+INDIRECT(ADDRESS(ROW()-1,COLUMN(),4)))</f>
        <v>#N/A</v>
      </c>
      <c r="DU87" s="111" t="e" cm="1">
        <f t="array" aca="1" ref="DU87" ca="1">IF(COND_INTERSTICIAL[[#This Row],[tramo ev]]=1,0,IF((COND_INTERSTICIAL[[#This Row],[tramo ev]]&gt;INDIRECT(ADDRESS(ROW()-1,COLUMN(COND_INTERSTICIAL[[#This Row],[tramo ev]]),4)))+COND_INTERSTICIAL[[#This Row],[evapora]],COND_INTERSTICIAL[[#This Row],[Capa]],INDIRECT(ADDRESS(ROW()-1,COLUMN(),4))))</f>
        <v>#N/A</v>
      </c>
      <c r="DV87" s="111" t="e" cm="1">
        <f t="array" aca="1" ref="DV87" ca="1">IF((COND_INTERSTICIAL[[#This Row],[Capa]]=N_capas)+(COND_INTERSTICIAL[[#This Row],[tramo ev]]=COUNTIFS(COND_INTERSTICIAL[evapora],TRUE,COND_INTERSTICIAL[Mes],CW87,COND_INTERSTICIAL[Sección],CX87)+1),N_capas,INDEX(COND_INTERSTICIAL[capa lím inf ev],MATCH(COND_INTERSTICIAL[[#This Row],[Mes]]&amp;"-"&amp;COND_INTERSTICIAL[[#This Row],[Sección]]&amp;"-"&amp;(COND_INTERSTICIAL[[#This Row],[tramo ev]]+1),COND_INTERSTICIAL[llave tramo ev],0)))</f>
        <v>#N/A</v>
      </c>
      <c r="DW87" s="111" cm="1">
        <f t="array" aca="1" ref="DW8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7" s="113" t="e" cm="1">
        <f t="array" aca="1" ref="DX8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7" s="113" t="e">
        <f ca="1">COND_INTERSTICIAL[[#This Row],[gev]]+COND_INTERSTICIAL[[#This Row],[Ma anterior ev]]</f>
        <v>#N/A</v>
      </c>
      <c r="EA87" s="115" t="e">
        <f ca="1">IF(COND_INTERSTICIAL[[#This Row],[Ma cond]]+COND_INTERSTICIAL[[#This Row],[Ma ev]]&lt;=0,0,COND_INTERSTICIAL[[#This Row],[Ma cond]]+COND_INTERSTICIAL[[#This Row],[Ma ev]])</f>
        <v>#N/A</v>
      </c>
      <c r="EB87" s="115" t="e">
        <f ca="1">IF(COND_INTERSTICIAL[[#This Row],[Ma]]&gt;0,TRUE,FALSE)</f>
        <v>#N/A</v>
      </c>
      <c r="EC87" s="115" t="e" cm="1">
        <f t="array" aca="1" ref="EC87" ca="1">IF(COND_INTERSTICIAL[[#This Row],[agua líquida]],IF(COND_INTERSTICIAL[[#This Row],[Condensa]],COND_INTERSTICIAL[[#This Row],[P límite cond]],COND_INTERSTICIAL[[#This Row],[P límite ev]]),IF(COND_INTERSTICIAL[[#This Row],[Capa]]=N_capas,COND_INTERSTICIAL[[#This Row],[Pn]],""))</f>
        <v>#N/A</v>
      </c>
      <c r="ED87" s="115" t="e">
        <f ca="1">COND_INTERSTICIAL[[#This Row],[Mes]]&amp;"-"&amp;COND_INTERSTICIAL[[#This Row],[Sección]]&amp;"-"&amp;COND_INTERSTICIAL[[#This Row],[tramo gráf]]</f>
        <v>#N/A</v>
      </c>
      <c r="EE87" s="114" t="e" cm="1">
        <f t="array" aca="1" ref="EE87" ca="1">IF(COND_INTERSTICIAL[[#This Row],[Capa]]=1,IF(COND_INTERSTICIAL[[#This Row],[agua líquida]],2,1),IF(COND_INTERSTICIAL[[#This Row],[agua líquida]],1,0)+INDIRECT(ADDRESS(ROW()-1,COLUMN(),4)))</f>
        <v>#N/A</v>
      </c>
      <c r="EF87" s="114" t="e" cm="1">
        <f t="array" aca="1" ref="EF87" ca="1">IF(COND_INTERSTICIAL[[#This Row],[tramo gráf]]=1,0,IF((COND_INTERSTICIAL[[#This Row],[tramo gráf]]&gt;INDIRECT(ADDRESS(ROW()-1,COLUMN(COND_INTERSTICIAL[[#This Row],[tramo gráf]]),4)))+COND_INTERSTICIAL[[#This Row],[agua líquida]],COND_INTERSTICIAL[[#This Row],[Capa]],INDIRECT(ADDRESS(ROW()-1,COLUMN(),4))))</f>
        <v>#N/A</v>
      </c>
      <c r="EG87" s="114" t="e" cm="1">
        <f t="array" aca="1" ref="EG87" ca="1">IF((COND_INTERSTICIAL[[#This Row],[Capa]]=N_capas)+(COND_INTERSTICIAL[[#This Row],[tramo gráf]]=COUNTIFS(COND_INTERSTICIAL[agua líquida],TRUE,COND_INTERSTICIAL[Mes],CW87,COND_INTERSTICIAL[Sección],CX87)+1),N_capas,INDEX(COND_INTERSTICIAL[capa lím inf gráf],MATCH(COND_INTERSTICIAL[[#This Row],[Mes]]&amp;"-"&amp;COND_INTERSTICIAL[[#This Row],[Sección]]&amp;"-"&amp;(COND_INTERSTICIAL[[#This Row],[tramo gráf]]+1),COND_INTERSTICIAL[llave tramo gráf],0)))</f>
        <v>#N/A</v>
      </c>
      <c r="EH87" s="114" cm="1">
        <f t="array" aca="1" ref="EH8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7" s="116" t="e" cm="1">
        <f t="array" aca="1" ref="EI8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8" spans="101:139" x14ac:dyDescent="0.45">
      <c r="CW88" s="1" cm="1">
        <f t="array" ref="CW88">ROUNDUP((ROW()-$CN$18+(Mes_inicial_de_análisis-1)*N_capas*N_secciones)/(N_capas*N_secciones),0)-12*IF(ROW()-$CN$18&gt;(12-Mes_inicial_de_análisis+1)*N_capas*N_secciones,1,0)</f>
        <v>11</v>
      </c>
      <c r="CX88" cm="1">
        <f t="array" ref="CX88">ROUNDUP((ROW()-$CN$18)/N_capas-(ROUNDUP((ROW()-$CN$18)/(N_capas*N_secciones),0)-1)*N_secciones,0)</f>
        <v>2</v>
      </c>
      <c r="CY88" cm="1">
        <f t="array" ref="CY88">(ROW()-$CN$18)-(COND_INTERSTICIAL[[#This Row],[Sección]]-1)*N_capas-(ROUNDUP((ROW()-$CN$18)/(N_capas*N_secciones),0)-1)*N_capas*N_secciones</f>
        <v>6</v>
      </c>
      <c r="CZ88" t="str">
        <f>COND_INTERSTICIAL[[#This Row],[Mes]]&amp;"-"&amp;COND_INTERSTICIAL[[#This Row],[Sección]]&amp;"-"&amp;COND_INTERSTICIAL[[#This Row],[Capa]]</f>
        <v>11-2-6</v>
      </c>
      <c r="DA88">
        <f ca="1">INDEX(SECCIONES_CAPAS[R''n],MATCH(COND_INTERSTICIAL[[#This Row],[Sección]]&amp;"-"&amp;COND_INTERSTICIAL[[#This Row],[Capa]],SECCIONES_CAPAS[llave],0))</f>
        <v>0.04</v>
      </c>
      <c r="DB88" s="172" t="e" cm="1">
        <f t="array" aca="1" ref="DB88" ca="1">INDEX(CLIMA[ϴe],COND_INTERSTICIAL[[#This Row],[Mes]])+COND_INTERSTICIAL[[#This Row],[Rn]]*(INDEX(CLIMA[ϴi],COND_INTERSTICIAL[[#This Row],[Mes]])-INDEX(CLIMA[ϴe],COND_INTERSTICIAL[[#This Row],[Mes]]))/(INDEX(SECCIONES[Rtsección_condensación],COND_INTERSTICIAL[[#This Row],[Sección]]))</f>
        <v>#N/A</v>
      </c>
      <c r="DC88">
        <f>INDEX(SECCIONES_CAPAS[Sd],MATCH(COND_INTERSTICIAL[[#This Row],[Sección]]&amp;"-"&amp;COND_INTERSTICIAL[[#This Row],[Capa]],SECCIONES_CAPAS[llave],0))</f>
        <v>0</v>
      </c>
      <c r="DD88">
        <f ca="1">INDEX(SECCIONES_CAPAS[S''d],MATCH(COND_INTERSTICIAL[[#This Row],[Sección]]&amp;"-"&amp;COND_INTERSTICIAL[[#This Row],[Capa]],SECCIONES_CAPAS[llave],0))</f>
        <v>0</v>
      </c>
      <c r="DE88" s="90" t="e">
        <f ca="1">IF(COND_INTERSTICIAL[[#This Row],[ϴn]]&gt;=0,610.5*EXP((17.269*COND_INTERSTICIAL[[#This Row],[ϴn]])/(237.3+COND_INTERSTICIAL[[#This Row],[ϴn]])),610.5*EXP((21.875*COND_INTERSTICIAL[[#This Row],[ϴn]])/(265.5+COND_INTERSTICIAL[[#This Row],[ϴn]])))</f>
        <v>#N/A</v>
      </c>
      <c r="DF88" s="90" t="e" cm="1">
        <f t="array" aca="1" ref="DF88" ca="1">COND_INTERSTICIAL[[#This Row],[S''d]]*((INDEX(CLIMA[Pi],COND_INTERSTICIAL[[#This Row],[Mes]])-INDEX(CLIMA[Pe],COND_INTERSTICIAL[[#This Row],[Mes]]))/INDEX(SECCIONES[SdT],COND_INTERSTICIAL[[#This Row],[Sección]]))+INDEX(CLIMA[Pe],COND_INTERSTICIAL[[#This Row],[Mes]])</f>
        <v>#N/A</v>
      </c>
      <c r="DG88" s="108" t="e">
        <f ca="1">IF((COND_INTERSTICIAL[[#This Row],[Pn]]&gt;=COND_INTERSTICIAL[[#This Row],[Psat]]),TRUE,FALSE)</f>
        <v>#N/A</v>
      </c>
      <c r="DH88" s="109" t="e" cm="1">
        <f t="array" aca="1" ref="DH88" ca="1">IF(COND_INTERSTICIAL[[#This Row],[Condensa]],COND_INTERSTICIAL[[#This Row],[Psat]],IF(COND_INTERSTICIAL[[#This Row],[Capa]]=N_capas,COND_INTERSTICIAL[[#This Row],[Pn]],""))</f>
        <v>#N/A</v>
      </c>
      <c r="DI88" s="109" t="e">
        <f ca="1">COND_INTERSTICIAL[[#This Row],[Mes]]&amp;"-"&amp;COND_INTERSTICIAL[[#This Row],[Sección]]&amp;"-"&amp;COND_INTERSTICIAL[[#This Row],[tramo cond]]</f>
        <v>#N/A</v>
      </c>
      <c r="DJ88" t="e" cm="1">
        <f t="array" aca="1" ref="DJ88" ca="1">IF(COND_INTERSTICIAL[[#This Row],[Capa]]=1,IF(COND_INTERSTICIAL[[#This Row],[Condensa]],2,1),IF(COND_INTERSTICIAL[[#This Row],[Condensa]],1,0)+INDIRECT(ADDRESS(ROW()-1,COLUMN(),4)))</f>
        <v>#N/A</v>
      </c>
      <c r="DK88" s="108" t="e" cm="1">
        <f t="array" aca="1" ref="DK88" ca="1">IF(COND_INTERSTICIAL[[#This Row],[tramo cond]]=1,0,IF((COND_INTERSTICIAL[[#This Row],[tramo cond]]&gt;INDIRECT(ADDRESS(ROW()-1,COLUMN(COND_INTERSTICIAL[[#This Row],[tramo cond]]),4)))+COND_INTERSTICIAL[[#This Row],[Condensa]],COND_INTERSTICIAL[[#This Row],[Capa]],INDIRECT(ADDRESS(ROW()-1,COLUMN(),4))))</f>
        <v>#N/A</v>
      </c>
      <c r="DL88" s="108" t="e" cm="1">
        <f t="array" aca="1" ref="DL88" ca="1">IF((COND_INTERSTICIAL[[#This Row],[Capa]]=N_capas)+(COND_INTERSTICIAL[[#This Row],[tramo cond]]=COUNTIFS(COND_INTERSTICIAL[Condensa],TRUE,COND_INTERSTICIAL[Mes],CW88,COND_INTERSTICIAL[Sección],CX88)+1),N_capas,INDEX(COND_INTERSTICIAL[capa lím inf cond],MATCH(COND_INTERSTICIAL[[#This Row],[Mes]]&amp;"-"&amp;COND_INTERSTICIAL[[#This Row],[Sección]]&amp;"-"&amp;(COND_INTERSTICIAL[[#This Row],[tramo cond]]+1),COND_INTERSTICIAL[llave tramo cond],0)))</f>
        <v>#N/A</v>
      </c>
      <c r="DM88" s="108" cm="1">
        <f t="array" aca="1" ref="DM8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8" s="110" t="e" cm="1">
        <f t="array" aca="1" ref="DN8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8" s="107" t="e">
        <f ca="1">COND_INTERSTICIAL[[#This Row],[gc]]+COND_INTERSTICIAL[[#This Row],[Ma_anterior cond]]</f>
        <v>#N/A</v>
      </c>
      <c r="DQ88" s="113" t="e">
        <f ca="1">IF((COND_INTERSTICIAL[[#This Row],[Ma_anterior cond]]&gt;0)*NOT(COND_INTERSTICIAL[[#This Row],[Condensa]]),TRUE,FALSE)</f>
        <v>#N/A</v>
      </c>
      <c r="DR88" s="112" t="e" cm="1">
        <f t="array" aca="1" ref="DR88" ca="1">IF(COND_INTERSTICIAL[[#This Row],[evapora]],COND_INTERSTICIAL[[#This Row],[Psat]],IF(COND_INTERSTICIAL[[#This Row],[Capa]]=N_capas,COND_INTERSTICIAL[[#This Row],[Pn]],""))</f>
        <v>#N/A</v>
      </c>
      <c r="DS88" s="112" t="e">
        <f ca="1">COND_INTERSTICIAL[[#This Row],[Mes]]&amp;"-"&amp;COND_INTERSTICIAL[[#This Row],[Sección]]&amp;"-"&amp;COND_INTERSTICIAL[[#This Row],[tramo ev]]</f>
        <v>#N/A</v>
      </c>
      <c r="DT88" s="111" t="e" cm="1">
        <f t="array" aca="1" ref="DT88" ca="1">IF(COND_INTERSTICIAL[[#This Row],[Capa]]=1,IF(COND_INTERSTICIAL[[#This Row],[evapora]],2,1),IF(COND_INTERSTICIAL[[#This Row],[evapora]],1,0)+INDIRECT(ADDRESS(ROW()-1,COLUMN(),4)))</f>
        <v>#N/A</v>
      </c>
      <c r="DU88" s="111" t="e" cm="1">
        <f t="array" aca="1" ref="DU88" ca="1">IF(COND_INTERSTICIAL[[#This Row],[tramo ev]]=1,0,IF((COND_INTERSTICIAL[[#This Row],[tramo ev]]&gt;INDIRECT(ADDRESS(ROW()-1,COLUMN(COND_INTERSTICIAL[[#This Row],[tramo ev]]),4)))+COND_INTERSTICIAL[[#This Row],[evapora]],COND_INTERSTICIAL[[#This Row],[Capa]],INDIRECT(ADDRESS(ROW()-1,COLUMN(),4))))</f>
        <v>#N/A</v>
      </c>
      <c r="DV88" s="111" t="e" cm="1">
        <f t="array" aca="1" ref="DV88" ca="1">IF((COND_INTERSTICIAL[[#This Row],[Capa]]=N_capas)+(COND_INTERSTICIAL[[#This Row],[tramo ev]]=COUNTIFS(COND_INTERSTICIAL[evapora],TRUE,COND_INTERSTICIAL[Mes],CW88,COND_INTERSTICIAL[Sección],CX88)+1),N_capas,INDEX(COND_INTERSTICIAL[capa lím inf ev],MATCH(COND_INTERSTICIAL[[#This Row],[Mes]]&amp;"-"&amp;COND_INTERSTICIAL[[#This Row],[Sección]]&amp;"-"&amp;(COND_INTERSTICIAL[[#This Row],[tramo ev]]+1),COND_INTERSTICIAL[llave tramo ev],0)))</f>
        <v>#N/A</v>
      </c>
      <c r="DW88" s="111" cm="1">
        <f t="array" aca="1" ref="DW8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8" s="113" t="e" cm="1">
        <f t="array" aca="1" ref="DX8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8" s="113" t="e">
        <f ca="1">COND_INTERSTICIAL[[#This Row],[gev]]+COND_INTERSTICIAL[[#This Row],[Ma anterior ev]]</f>
        <v>#N/A</v>
      </c>
      <c r="EA88" s="115" t="e">
        <f ca="1">IF(COND_INTERSTICIAL[[#This Row],[Ma cond]]+COND_INTERSTICIAL[[#This Row],[Ma ev]]&lt;=0,0,COND_INTERSTICIAL[[#This Row],[Ma cond]]+COND_INTERSTICIAL[[#This Row],[Ma ev]])</f>
        <v>#N/A</v>
      </c>
      <c r="EB88" s="115" t="e">
        <f ca="1">IF(COND_INTERSTICIAL[[#This Row],[Ma]]&gt;0,TRUE,FALSE)</f>
        <v>#N/A</v>
      </c>
      <c r="EC88" s="115" t="e" cm="1">
        <f t="array" aca="1" ref="EC88" ca="1">IF(COND_INTERSTICIAL[[#This Row],[agua líquida]],IF(COND_INTERSTICIAL[[#This Row],[Condensa]],COND_INTERSTICIAL[[#This Row],[P límite cond]],COND_INTERSTICIAL[[#This Row],[P límite ev]]),IF(COND_INTERSTICIAL[[#This Row],[Capa]]=N_capas,COND_INTERSTICIAL[[#This Row],[Pn]],""))</f>
        <v>#N/A</v>
      </c>
      <c r="ED88" s="115" t="e">
        <f ca="1">COND_INTERSTICIAL[[#This Row],[Mes]]&amp;"-"&amp;COND_INTERSTICIAL[[#This Row],[Sección]]&amp;"-"&amp;COND_INTERSTICIAL[[#This Row],[tramo gráf]]</f>
        <v>#N/A</v>
      </c>
      <c r="EE88" s="114" t="e" cm="1">
        <f t="array" aca="1" ref="EE88" ca="1">IF(COND_INTERSTICIAL[[#This Row],[Capa]]=1,IF(COND_INTERSTICIAL[[#This Row],[agua líquida]],2,1),IF(COND_INTERSTICIAL[[#This Row],[agua líquida]],1,0)+INDIRECT(ADDRESS(ROW()-1,COLUMN(),4)))</f>
        <v>#N/A</v>
      </c>
      <c r="EF88" s="114" t="e" cm="1">
        <f t="array" aca="1" ref="EF88" ca="1">IF(COND_INTERSTICIAL[[#This Row],[tramo gráf]]=1,0,IF((COND_INTERSTICIAL[[#This Row],[tramo gráf]]&gt;INDIRECT(ADDRESS(ROW()-1,COLUMN(COND_INTERSTICIAL[[#This Row],[tramo gráf]]),4)))+COND_INTERSTICIAL[[#This Row],[agua líquida]],COND_INTERSTICIAL[[#This Row],[Capa]],INDIRECT(ADDRESS(ROW()-1,COLUMN(),4))))</f>
        <v>#N/A</v>
      </c>
      <c r="EG88" s="114" t="e" cm="1">
        <f t="array" aca="1" ref="EG88" ca="1">IF((COND_INTERSTICIAL[[#This Row],[Capa]]=N_capas)+(COND_INTERSTICIAL[[#This Row],[tramo gráf]]=COUNTIFS(COND_INTERSTICIAL[agua líquida],TRUE,COND_INTERSTICIAL[Mes],CW88,COND_INTERSTICIAL[Sección],CX88)+1),N_capas,INDEX(COND_INTERSTICIAL[capa lím inf gráf],MATCH(COND_INTERSTICIAL[[#This Row],[Mes]]&amp;"-"&amp;COND_INTERSTICIAL[[#This Row],[Sección]]&amp;"-"&amp;(COND_INTERSTICIAL[[#This Row],[tramo gráf]]+1),COND_INTERSTICIAL[llave tramo gráf],0)))</f>
        <v>#N/A</v>
      </c>
      <c r="EH88" s="114" cm="1">
        <f t="array" aca="1" ref="EH8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8" s="116" t="e" cm="1">
        <f t="array" aca="1" ref="EI8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9" spans="101:139" x14ac:dyDescent="0.45">
      <c r="CW89" s="1" cm="1">
        <f t="array" ref="CW89">ROUNDUP((ROW()-$CN$18+(Mes_inicial_de_análisis-1)*N_capas*N_secciones)/(N_capas*N_secciones),0)-12*IF(ROW()-$CN$18&gt;(12-Mes_inicial_de_análisis+1)*N_capas*N_secciones,1,0)</f>
        <v>11</v>
      </c>
      <c r="CX89" cm="1">
        <f t="array" ref="CX89">ROUNDUP((ROW()-$CN$18)/N_capas-(ROUNDUP((ROW()-$CN$18)/(N_capas*N_secciones),0)-1)*N_secciones,0)</f>
        <v>2</v>
      </c>
      <c r="CY89" cm="1">
        <f t="array" ref="CY89">(ROW()-$CN$18)-(COND_INTERSTICIAL[[#This Row],[Sección]]-1)*N_capas-(ROUNDUP((ROW()-$CN$18)/(N_capas*N_secciones),0)-1)*N_capas*N_secciones</f>
        <v>7</v>
      </c>
      <c r="CZ89" t="str">
        <f>COND_INTERSTICIAL[[#This Row],[Mes]]&amp;"-"&amp;COND_INTERSTICIAL[[#This Row],[Sección]]&amp;"-"&amp;COND_INTERSTICIAL[[#This Row],[Capa]]</f>
        <v>11-2-7</v>
      </c>
      <c r="DA89">
        <f ca="1">INDEX(SECCIONES_CAPAS[R''n],MATCH(COND_INTERSTICIAL[[#This Row],[Sección]]&amp;"-"&amp;COND_INTERSTICIAL[[#This Row],[Capa]],SECCIONES_CAPAS[llave],0))</f>
        <v>0.04</v>
      </c>
      <c r="DB89" s="172" t="e" cm="1">
        <f t="array" aca="1" ref="DB89" ca="1">INDEX(CLIMA[ϴe],COND_INTERSTICIAL[[#This Row],[Mes]])+COND_INTERSTICIAL[[#This Row],[Rn]]*(INDEX(CLIMA[ϴi],COND_INTERSTICIAL[[#This Row],[Mes]])-INDEX(CLIMA[ϴe],COND_INTERSTICIAL[[#This Row],[Mes]]))/(INDEX(SECCIONES[Rtsección_condensación],COND_INTERSTICIAL[[#This Row],[Sección]]))</f>
        <v>#N/A</v>
      </c>
      <c r="DC89">
        <f>INDEX(SECCIONES_CAPAS[Sd],MATCH(COND_INTERSTICIAL[[#This Row],[Sección]]&amp;"-"&amp;COND_INTERSTICIAL[[#This Row],[Capa]],SECCIONES_CAPAS[llave],0))</f>
        <v>0</v>
      </c>
      <c r="DD89">
        <f ca="1">INDEX(SECCIONES_CAPAS[S''d],MATCH(COND_INTERSTICIAL[[#This Row],[Sección]]&amp;"-"&amp;COND_INTERSTICIAL[[#This Row],[Capa]],SECCIONES_CAPAS[llave],0))</f>
        <v>0</v>
      </c>
      <c r="DE89" s="90" t="e">
        <f ca="1">IF(COND_INTERSTICIAL[[#This Row],[ϴn]]&gt;=0,610.5*EXP((17.269*COND_INTERSTICIAL[[#This Row],[ϴn]])/(237.3+COND_INTERSTICIAL[[#This Row],[ϴn]])),610.5*EXP((21.875*COND_INTERSTICIAL[[#This Row],[ϴn]])/(265.5+COND_INTERSTICIAL[[#This Row],[ϴn]])))</f>
        <v>#N/A</v>
      </c>
      <c r="DF89" s="90" t="e" cm="1">
        <f t="array" aca="1" ref="DF89" ca="1">COND_INTERSTICIAL[[#This Row],[S''d]]*((INDEX(CLIMA[Pi],COND_INTERSTICIAL[[#This Row],[Mes]])-INDEX(CLIMA[Pe],COND_INTERSTICIAL[[#This Row],[Mes]]))/INDEX(SECCIONES[SdT],COND_INTERSTICIAL[[#This Row],[Sección]]))+INDEX(CLIMA[Pe],COND_INTERSTICIAL[[#This Row],[Mes]])</f>
        <v>#N/A</v>
      </c>
      <c r="DG89" s="108" t="e">
        <f ca="1">IF((COND_INTERSTICIAL[[#This Row],[Pn]]&gt;=COND_INTERSTICIAL[[#This Row],[Psat]]),TRUE,FALSE)</f>
        <v>#N/A</v>
      </c>
      <c r="DH89" s="109" t="e" cm="1">
        <f t="array" aca="1" ref="DH89" ca="1">IF(COND_INTERSTICIAL[[#This Row],[Condensa]],COND_INTERSTICIAL[[#This Row],[Psat]],IF(COND_INTERSTICIAL[[#This Row],[Capa]]=N_capas,COND_INTERSTICIAL[[#This Row],[Pn]],""))</f>
        <v>#N/A</v>
      </c>
      <c r="DI89" s="109" t="e">
        <f ca="1">COND_INTERSTICIAL[[#This Row],[Mes]]&amp;"-"&amp;COND_INTERSTICIAL[[#This Row],[Sección]]&amp;"-"&amp;COND_INTERSTICIAL[[#This Row],[tramo cond]]</f>
        <v>#N/A</v>
      </c>
      <c r="DJ89" t="e" cm="1">
        <f t="array" aca="1" ref="DJ89" ca="1">IF(COND_INTERSTICIAL[[#This Row],[Capa]]=1,IF(COND_INTERSTICIAL[[#This Row],[Condensa]],2,1),IF(COND_INTERSTICIAL[[#This Row],[Condensa]],1,0)+INDIRECT(ADDRESS(ROW()-1,COLUMN(),4)))</f>
        <v>#N/A</v>
      </c>
      <c r="DK89" s="108" t="e" cm="1">
        <f t="array" aca="1" ref="DK89" ca="1">IF(COND_INTERSTICIAL[[#This Row],[tramo cond]]=1,0,IF((COND_INTERSTICIAL[[#This Row],[tramo cond]]&gt;INDIRECT(ADDRESS(ROW()-1,COLUMN(COND_INTERSTICIAL[[#This Row],[tramo cond]]),4)))+COND_INTERSTICIAL[[#This Row],[Condensa]],COND_INTERSTICIAL[[#This Row],[Capa]],INDIRECT(ADDRESS(ROW()-1,COLUMN(),4))))</f>
        <v>#N/A</v>
      </c>
      <c r="DL89" s="108" t="e" cm="1">
        <f t="array" aca="1" ref="DL89" ca="1">IF((COND_INTERSTICIAL[[#This Row],[Capa]]=N_capas)+(COND_INTERSTICIAL[[#This Row],[tramo cond]]=COUNTIFS(COND_INTERSTICIAL[Condensa],TRUE,COND_INTERSTICIAL[Mes],CW89,COND_INTERSTICIAL[Sección],CX89)+1),N_capas,INDEX(COND_INTERSTICIAL[capa lím inf cond],MATCH(COND_INTERSTICIAL[[#This Row],[Mes]]&amp;"-"&amp;COND_INTERSTICIAL[[#This Row],[Sección]]&amp;"-"&amp;(COND_INTERSTICIAL[[#This Row],[tramo cond]]+1),COND_INTERSTICIAL[llave tramo cond],0)))</f>
        <v>#N/A</v>
      </c>
      <c r="DM89" s="108" cm="1">
        <f t="array" aca="1" ref="DM8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9" s="110" t="e" cm="1">
        <f t="array" aca="1" ref="DN8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9" s="107" t="e">
        <f ca="1">COND_INTERSTICIAL[[#This Row],[gc]]+COND_INTERSTICIAL[[#This Row],[Ma_anterior cond]]</f>
        <v>#N/A</v>
      </c>
      <c r="DQ89" s="113" t="e">
        <f ca="1">IF((COND_INTERSTICIAL[[#This Row],[Ma_anterior cond]]&gt;0)*NOT(COND_INTERSTICIAL[[#This Row],[Condensa]]),TRUE,FALSE)</f>
        <v>#N/A</v>
      </c>
      <c r="DR89" s="112" t="e" cm="1">
        <f t="array" aca="1" ref="DR89" ca="1">IF(COND_INTERSTICIAL[[#This Row],[evapora]],COND_INTERSTICIAL[[#This Row],[Psat]],IF(COND_INTERSTICIAL[[#This Row],[Capa]]=N_capas,COND_INTERSTICIAL[[#This Row],[Pn]],""))</f>
        <v>#N/A</v>
      </c>
      <c r="DS89" s="112" t="e">
        <f ca="1">COND_INTERSTICIAL[[#This Row],[Mes]]&amp;"-"&amp;COND_INTERSTICIAL[[#This Row],[Sección]]&amp;"-"&amp;COND_INTERSTICIAL[[#This Row],[tramo ev]]</f>
        <v>#N/A</v>
      </c>
      <c r="DT89" s="111" t="e" cm="1">
        <f t="array" aca="1" ref="DT89" ca="1">IF(COND_INTERSTICIAL[[#This Row],[Capa]]=1,IF(COND_INTERSTICIAL[[#This Row],[evapora]],2,1),IF(COND_INTERSTICIAL[[#This Row],[evapora]],1,0)+INDIRECT(ADDRESS(ROW()-1,COLUMN(),4)))</f>
        <v>#N/A</v>
      </c>
      <c r="DU89" s="111" t="e" cm="1">
        <f t="array" aca="1" ref="DU89" ca="1">IF(COND_INTERSTICIAL[[#This Row],[tramo ev]]=1,0,IF((COND_INTERSTICIAL[[#This Row],[tramo ev]]&gt;INDIRECT(ADDRESS(ROW()-1,COLUMN(COND_INTERSTICIAL[[#This Row],[tramo ev]]),4)))+COND_INTERSTICIAL[[#This Row],[evapora]],COND_INTERSTICIAL[[#This Row],[Capa]],INDIRECT(ADDRESS(ROW()-1,COLUMN(),4))))</f>
        <v>#N/A</v>
      </c>
      <c r="DV89" s="111" t="e" cm="1">
        <f t="array" aca="1" ref="DV89" ca="1">IF((COND_INTERSTICIAL[[#This Row],[Capa]]=N_capas)+(COND_INTERSTICIAL[[#This Row],[tramo ev]]=COUNTIFS(COND_INTERSTICIAL[evapora],TRUE,COND_INTERSTICIAL[Mes],CW89,COND_INTERSTICIAL[Sección],CX89)+1),N_capas,INDEX(COND_INTERSTICIAL[capa lím inf ev],MATCH(COND_INTERSTICIAL[[#This Row],[Mes]]&amp;"-"&amp;COND_INTERSTICIAL[[#This Row],[Sección]]&amp;"-"&amp;(COND_INTERSTICIAL[[#This Row],[tramo ev]]+1),COND_INTERSTICIAL[llave tramo ev],0)))</f>
        <v>#N/A</v>
      </c>
      <c r="DW89" s="111" cm="1">
        <f t="array" aca="1" ref="DW8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9" s="113" t="e" cm="1">
        <f t="array" aca="1" ref="DX8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9" s="113" t="e">
        <f ca="1">COND_INTERSTICIAL[[#This Row],[gev]]+COND_INTERSTICIAL[[#This Row],[Ma anterior ev]]</f>
        <v>#N/A</v>
      </c>
      <c r="EA89" s="115" t="e">
        <f ca="1">IF(COND_INTERSTICIAL[[#This Row],[Ma cond]]+COND_INTERSTICIAL[[#This Row],[Ma ev]]&lt;=0,0,COND_INTERSTICIAL[[#This Row],[Ma cond]]+COND_INTERSTICIAL[[#This Row],[Ma ev]])</f>
        <v>#N/A</v>
      </c>
      <c r="EB89" s="115" t="e">
        <f ca="1">IF(COND_INTERSTICIAL[[#This Row],[Ma]]&gt;0,TRUE,FALSE)</f>
        <v>#N/A</v>
      </c>
      <c r="EC89" s="115" t="e" cm="1">
        <f t="array" aca="1" ref="EC89" ca="1">IF(COND_INTERSTICIAL[[#This Row],[agua líquida]],IF(COND_INTERSTICIAL[[#This Row],[Condensa]],COND_INTERSTICIAL[[#This Row],[P límite cond]],COND_INTERSTICIAL[[#This Row],[P límite ev]]),IF(COND_INTERSTICIAL[[#This Row],[Capa]]=N_capas,COND_INTERSTICIAL[[#This Row],[Pn]],""))</f>
        <v>#N/A</v>
      </c>
      <c r="ED89" s="115" t="e">
        <f ca="1">COND_INTERSTICIAL[[#This Row],[Mes]]&amp;"-"&amp;COND_INTERSTICIAL[[#This Row],[Sección]]&amp;"-"&amp;COND_INTERSTICIAL[[#This Row],[tramo gráf]]</f>
        <v>#N/A</v>
      </c>
      <c r="EE89" s="114" t="e" cm="1">
        <f t="array" aca="1" ref="EE89" ca="1">IF(COND_INTERSTICIAL[[#This Row],[Capa]]=1,IF(COND_INTERSTICIAL[[#This Row],[agua líquida]],2,1),IF(COND_INTERSTICIAL[[#This Row],[agua líquida]],1,0)+INDIRECT(ADDRESS(ROW()-1,COLUMN(),4)))</f>
        <v>#N/A</v>
      </c>
      <c r="EF89" s="114" t="e" cm="1">
        <f t="array" aca="1" ref="EF89" ca="1">IF(COND_INTERSTICIAL[[#This Row],[tramo gráf]]=1,0,IF((COND_INTERSTICIAL[[#This Row],[tramo gráf]]&gt;INDIRECT(ADDRESS(ROW()-1,COLUMN(COND_INTERSTICIAL[[#This Row],[tramo gráf]]),4)))+COND_INTERSTICIAL[[#This Row],[agua líquida]],COND_INTERSTICIAL[[#This Row],[Capa]],INDIRECT(ADDRESS(ROW()-1,COLUMN(),4))))</f>
        <v>#N/A</v>
      </c>
      <c r="EG89" s="114" t="e" cm="1">
        <f t="array" aca="1" ref="EG89" ca="1">IF((COND_INTERSTICIAL[[#This Row],[Capa]]=N_capas)+(COND_INTERSTICIAL[[#This Row],[tramo gráf]]=COUNTIFS(COND_INTERSTICIAL[agua líquida],TRUE,COND_INTERSTICIAL[Mes],CW89,COND_INTERSTICIAL[Sección],CX89)+1),N_capas,INDEX(COND_INTERSTICIAL[capa lím inf gráf],MATCH(COND_INTERSTICIAL[[#This Row],[Mes]]&amp;"-"&amp;COND_INTERSTICIAL[[#This Row],[Sección]]&amp;"-"&amp;(COND_INTERSTICIAL[[#This Row],[tramo gráf]]+1),COND_INTERSTICIAL[llave tramo gráf],0)))</f>
        <v>#N/A</v>
      </c>
      <c r="EH89" s="114" cm="1">
        <f t="array" aca="1" ref="EH8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9" s="116" t="e" cm="1">
        <f t="array" aca="1" ref="EI8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0" spans="101:139" x14ac:dyDescent="0.45">
      <c r="CW90" s="1" cm="1">
        <f t="array" ref="CW90">ROUNDUP((ROW()-$CN$18+(Mes_inicial_de_análisis-1)*N_capas*N_secciones)/(N_capas*N_secciones),0)-12*IF(ROW()-$CN$18&gt;(12-Mes_inicial_de_análisis+1)*N_capas*N_secciones,1,0)</f>
        <v>12</v>
      </c>
      <c r="CX90" cm="1">
        <f t="array" ref="CX90">ROUNDUP((ROW()-$CN$18)/N_capas-(ROUNDUP((ROW()-$CN$18)/(N_capas*N_secciones),0)-1)*N_secciones,0)</f>
        <v>1</v>
      </c>
      <c r="CY90" cm="1">
        <f t="array" ref="CY90">(ROW()-$CN$18)-(COND_INTERSTICIAL[[#This Row],[Sección]]-1)*N_capas-(ROUNDUP((ROW()-$CN$18)/(N_capas*N_secciones),0)-1)*N_capas*N_secciones</f>
        <v>1</v>
      </c>
      <c r="CZ90" t="str">
        <f>COND_INTERSTICIAL[[#This Row],[Mes]]&amp;"-"&amp;COND_INTERSTICIAL[[#This Row],[Sección]]&amp;"-"&amp;COND_INTERSTICIAL[[#This Row],[Capa]]</f>
        <v>12-1-1</v>
      </c>
      <c r="DA90">
        <f ca="1">INDEX(SECCIONES_CAPAS[R''n],MATCH(COND_INTERSTICIAL[[#This Row],[Sección]]&amp;"-"&amp;COND_INTERSTICIAL[[#This Row],[Capa]],SECCIONES_CAPAS[llave],0))</f>
        <v>0.04</v>
      </c>
      <c r="DB90" s="172" t="e" cm="1">
        <f t="array" aca="1" ref="DB90" ca="1">INDEX(CLIMA[ϴe],COND_INTERSTICIAL[[#This Row],[Mes]])+COND_INTERSTICIAL[[#This Row],[Rn]]*(INDEX(CLIMA[ϴi],COND_INTERSTICIAL[[#This Row],[Mes]])-INDEX(CLIMA[ϴe],COND_INTERSTICIAL[[#This Row],[Mes]]))/(INDEX(SECCIONES[Rtsección_condensación],COND_INTERSTICIAL[[#This Row],[Sección]]))</f>
        <v>#N/A</v>
      </c>
      <c r="DC90">
        <f>INDEX(SECCIONES_CAPAS[Sd],MATCH(COND_INTERSTICIAL[[#This Row],[Sección]]&amp;"-"&amp;COND_INTERSTICIAL[[#This Row],[Capa]],SECCIONES_CAPAS[llave],0))</f>
        <v>0</v>
      </c>
      <c r="DD90">
        <f ca="1">INDEX(SECCIONES_CAPAS[S''d],MATCH(COND_INTERSTICIAL[[#This Row],[Sección]]&amp;"-"&amp;COND_INTERSTICIAL[[#This Row],[Capa]],SECCIONES_CAPAS[llave],0))</f>
        <v>0</v>
      </c>
      <c r="DE90" s="90" t="e">
        <f ca="1">IF(COND_INTERSTICIAL[[#This Row],[ϴn]]&gt;=0,610.5*EXP((17.269*COND_INTERSTICIAL[[#This Row],[ϴn]])/(237.3+COND_INTERSTICIAL[[#This Row],[ϴn]])),610.5*EXP((21.875*COND_INTERSTICIAL[[#This Row],[ϴn]])/(265.5+COND_INTERSTICIAL[[#This Row],[ϴn]])))</f>
        <v>#N/A</v>
      </c>
      <c r="DF90" s="90" t="e" cm="1">
        <f t="array" aca="1" ref="DF90" ca="1">COND_INTERSTICIAL[[#This Row],[S''d]]*((INDEX(CLIMA[Pi],COND_INTERSTICIAL[[#This Row],[Mes]])-INDEX(CLIMA[Pe],COND_INTERSTICIAL[[#This Row],[Mes]]))/INDEX(SECCIONES[SdT],COND_INTERSTICIAL[[#This Row],[Sección]]))+INDEX(CLIMA[Pe],COND_INTERSTICIAL[[#This Row],[Mes]])</f>
        <v>#N/A</v>
      </c>
      <c r="DG90" s="108" t="e">
        <f ca="1">IF((COND_INTERSTICIAL[[#This Row],[Pn]]&gt;=COND_INTERSTICIAL[[#This Row],[Psat]]),TRUE,FALSE)</f>
        <v>#N/A</v>
      </c>
      <c r="DH90" s="109" t="e" cm="1">
        <f t="array" aca="1" ref="DH90" ca="1">IF(COND_INTERSTICIAL[[#This Row],[Condensa]],COND_INTERSTICIAL[[#This Row],[Psat]],IF(COND_INTERSTICIAL[[#This Row],[Capa]]=N_capas,COND_INTERSTICIAL[[#This Row],[Pn]],""))</f>
        <v>#N/A</v>
      </c>
      <c r="DI90" s="109" t="e">
        <f ca="1">COND_INTERSTICIAL[[#This Row],[Mes]]&amp;"-"&amp;COND_INTERSTICIAL[[#This Row],[Sección]]&amp;"-"&amp;COND_INTERSTICIAL[[#This Row],[tramo cond]]</f>
        <v>#N/A</v>
      </c>
      <c r="DJ90" t="e" cm="1">
        <f t="array" aca="1" ref="DJ90" ca="1">IF(COND_INTERSTICIAL[[#This Row],[Capa]]=1,IF(COND_INTERSTICIAL[[#This Row],[Condensa]],2,1),IF(COND_INTERSTICIAL[[#This Row],[Condensa]],1,0)+INDIRECT(ADDRESS(ROW()-1,COLUMN(),4)))</f>
        <v>#N/A</v>
      </c>
      <c r="DK90" s="108" t="e" cm="1">
        <f t="array" aca="1" ref="DK90" ca="1">IF(COND_INTERSTICIAL[[#This Row],[tramo cond]]=1,0,IF((COND_INTERSTICIAL[[#This Row],[tramo cond]]&gt;INDIRECT(ADDRESS(ROW()-1,COLUMN(COND_INTERSTICIAL[[#This Row],[tramo cond]]),4)))+COND_INTERSTICIAL[[#This Row],[Condensa]],COND_INTERSTICIAL[[#This Row],[Capa]],INDIRECT(ADDRESS(ROW()-1,COLUMN(),4))))</f>
        <v>#N/A</v>
      </c>
      <c r="DL90" s="108" t="e" cm="1">
        <f t="array" aca="1" ref="DL90" ca="1">IF((COND_INTERSTICIAL[[#This Row],[Capa]]=N_capas)+(COND_INTERSTICIAL[[#This Row],[tramo cond]]=COUNTIFS(COND_INTERSTICIAL[Condensa],TRUE,COND_INTERSTICIAL[Mes],CW90,COND_INTERSTICIAL[Sección],CX90)+1),N_capas,INDEX(COND_INTERSTICIAL[capa lím inf cond],MATCH(COND_INTERSTICIAL[[#This Row],[Mes]]&amp;"-"&amp;COND_INTERSTICIAL[[#This Row],[Sección]]&amp;"-"&amp;(COND_INTERSTICIAL[[#This Row],[tramo cond]]+1),COND_INTERSTICIAL[llave tramo cond],0)))</f>
        <v>#N/A</v>
      </c>
      <c r="DM90" s="108" cm="1">
        <f t="array" aca="1" ref="DM9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0" s="110" t="e" cm="1">
        <f t="array" aca="1" ref="DN9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0" s="107" t="e">
        <f ca="1">COND_INTERSTICIAL[[#This Row],[gc]]+COND_INTERSTICIAL[[#This Row],[Ma_anterior cond]]</f>
        <v>#N/A</v>
      </c>
      <c r="DQ90" s="113" t="e">
        <f ca="1">IF((COND_INTERSTICIAL[[#This Row],[Ma_anterior cond]]&gt;0)*NOT(COND_INTERSTICIAL[[#This Row],[Condensa]]),TRUE,FALSE)</f>
        <v>#N/A</v>
      </c>
      <c r="DR90" s="112" t="e" cm="1">
        <f t="array" aca="1" ref="DR90" ca="1">IF(COND_INTERSTICIAL[[#This Row],[evapora]],COND_INTERSTICIAL[[#This Row],[Psat]],IF(COND_INTERSTICIAL[[#This Row],[Capa]]=N_capas,COND_INTERSTICIAL[[#This Row],[Pn]],""))</f>
        <v>#N/A</v>
      </c>
      <c r="DS90" s="112" t="e">
        <f ca="1">COND_INTERSTICIAL[[#This Row],[Mes]]&amp;"-"&amp;COND_INTERSTICIAL[[#This Row],[Sección]]&amp;"-"&amp;COND_INTERSTICIAL[[#This Row],[tramo ev]]</f>
        <v>#N/A</v>
      </c>
      <c r="DT90" s="111" t="e" cm="1">
        <f t="array" aca="1" ref="DT90" ca="1">IF(COND_INTERSTICIAL[[#This Row],[Capa]]=1,IF(COND_INTERSTICIAL[[#This Row],[evapora]],2,1),IF(COND_INTERSTICIAL[[#This Row],[evapora]],1,0)+INDIRECT(ADDRESS(ROW()-1,COLUMN(),4)))</f>
        <v>#N/A</v>
      </c>
      <c r="DU90" s="111" t="e" cm="1">
        <f t="array" aca="1" ref="DU90" ca="1">IF(COND_INTERSTICIAL[[#This Row],[tramo ev]]=1,0,IF((COND_INTERSTICIAL[[#This Row],[tramo ev]]&gt;INDIRECT(ADDRESS(ROW()-1,COLUMN(COND_INTERSTICIAL[[#This Row],[tramo ev]]),4)))+COND_INTERSTICIAL[[#This Row],[evapora]],COND_INTERSTICIAL[[#This Row],[Capa]],INDIRECT(ADDRESS(ROW()-1,COLUMN(),4))))</f>
        <v>#N/A</v>
      </c>
      <c r="DV90" s="111" t="e" cm="1">
        <f t="array" aca="1" ref="DV90" ca="1">IF((COND_INTERSTICIAL[[#This Row],[Capa]]=N_capas)+(COND_INTERSTICIAL[[#This Row],[tramo ev]]=COUNTIFS(COND_INTERSTICIAL[evapora],TRUE,COND_INTERSTICIAL[Mes],CW90,COND_INTERSTICIAL[Sección],CX90)+1),N_capas,INDEX(COND_INTERSTICIAL[capa lím inf ev],MATCH(COND_INTERSTICIAL[[#This Row],[Mes]]&amp;"-"&amp;COND_INTERSTICIAL[[#This Row],[Sección]]&amp;"-"&amp;(COND_INTERSTICIAL[[#This Row],[tramo ev]]+1),COND_INTERSTICIAL[llave tramo ev],0)))</f>
        <v>#N/A</v>
      </c>
      <c r="DW90" s="111" cm="1">
        <f t="array" aca="1" ref="DW9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0" s="113" t="e" cm="1">
        <f t="array" aca="1" ref="DX9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0" s="113" t="e">
        <f ca="1">COND_INTERSTICIAL[[#This Row],[gev]]+COND_INTERSTICIAL[[#This Row],[Ma anterior ev]]</f>
        <v>#N/A</v>
      </c>
      <c r="EA90" s="115" t="e">
        <f ca="1">IF(COND_INTERSTICIAL[[#This Row],[Ma cond]]+COND_INTERSTICIAL[[#This Row],[Ma ev]]&lt;=0,0,COND_INTERSTICIAL[[#This Row],[Ma cond]]+COND_INTERSTICIAL[[#This Row],[Ma ev]])</f>
        <v>#N/A</v>
      </c>
      <c r="EB90" s="115" t="e">
        <f ca="1">IF(COND_INTERSTICIAL[[#This Row],[Ma]]&gt;0,TRUE,FALSE)</f>
        <v>#N/A</v>
      </c>
      <c r="EC90" s="115" t="e" cm="1">
        <f t="array" aca="1" ref="EC90" ca="1">IF(COND_INTERSTICIAL[[#This Row],[agua líquida]],IF(COND_INTERSTICIAL[[#This Row],[Condensa]],COND_INTERSTICIAL[[#This Row],[P límite cond]],COND_INTERSTICIAL[[#This Row],[P límite ev]]),IF(COND_INTERSTICIAL[[#This Row],[Capa]]=N_capas,COND_INTERSTICIAL[[#This Row],[Pn]],""))</f>
        <v>#N/A</v>
      </c>
      <c r="ED90" s="115" t="e">
        <f ca="1">COND_INTERSTICIAL[[#This Row],[Mes]]&amp;"-"&amp;COND_INTERSTICIAL[[#This Row],[Sección]]&amp;"-"&amp;COND_INTERSTICIAL[[#This Row],[tramo gráf]]</f>
        <v>#N/A</v>
      </c>
      <c r="EE90" s="114" t="e" cm="1">
        <f t="array" aca="1" ref="EE90" ca="1">IF(COND_INTERSTICIAL[[#This Row],[Capa]]=1,IF(COND_INTERSTICIAL[[#This Row],[agua líquida]],2,1),IF(COND_INTERSTICIAL[[#This Row],[agua líquida]],1,0)+INDIRECT(ADDRESS(ROW()-1,COLUMN(),4)))</f>
        <v>#N/A</v>
      </c>
      <c r="EF90" s="114" t="e" cm="1">
        <f t="array" aca="1" ref="EF90" ca="1">IF(COND_INTERSTICIAL[[#This Row],[tramo gráf]]=1,0,IF((COND_INTERSTICIAL[[#This Row],[tramo gráf]]&gt;INDIRECT(ADDRESS(ROW()-1,COLUMN(COND_INTERSTICIAL[[#This Row],[tramo gráf]]),4)))+COND_INTERSTICIAL[[#This Row],[agua líquida]],COND_INTERSTICIAL[[#This Row],[Capa]],INDIRECT(ADDRESS(ROW()-1,COLUMN(),4))))</f>
        <v>#N/A</v>
      </c>
      <c r="EG90" s="114" t="e" cm="1">
        <f t="array" aca="1" ref="EG90" ca="1">IF((COND_INTERSTICIAL[[#This Row],[Capa]]=N_capas)+(COND_INTERSTICIAL[[#This Row],[tramo gráf]]=COUNTIFS(COND_INTERSTICIAL[agua líquida],TRUE,COND_INTERSTICIAL[Mes],CW90,COND_INTERSTICIAL[Sección],CX90)+1),N_capas,INDEX(COND_INTERSTICIAL[capa lím inf gráf],MATCH(COND_INTERSTICIAL[[#This Row],[Mes]]&amp;"-"&amp;COND_INTERSTICIAL[[#This Row],[Sección]]&amp;"-"&amp;(COND_INTERSTICIAL[[#This Row],[tramo gráf]]+1),COND_INTERSTICIAL[llave tramo gráf],0)))</f>
        <v>#N/A</v>
      </c>
      <c r="EH90" s="114" cm="1">
        <f t="array" aca="1" ref="EH9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0" s="116" t="e" cm="1">
        <f t="array" aca="1" ref="EI9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1" spans="101:139" x14ac:dyDescent="0.45">
      <c r="CW91" s="1" cm="1">
        <f t="array" ref="CW91">ROUNDUP((ROW()-$CN$18+(Mes_inicial_de_análisis-1)*N_capas*N_secciones)/(N_capas*N_secciones),0)-12*IF(ROW()-$CN$18&gt;(12-Mes_inicial_de_análisis+1)*N_capas*N_secciones,1,0)</f>
        <v>12</v>
      </c>
      <c r="CX91" cm="1">
        <f t="array" ref="CX91">ROUNDUP((ROW()-$CN$18)/N_capas-(ROUNDUP((ROW()-$CN$18)/(N_capas*N_secciones),0)-1)*N_secciones,0)</f>
        <v>1</v>
      </c>
      <c r="CY91" cm="1">
        <f t="array" ref="CY91">(ROW()-$CN$18)-(COND_INTERSTICIAL[[#This Row],[Sección]]-1)*N_capas-(ROUNDUP((ROW()-$CN$18)/(N_capas*N_secciones),0)-1)*N_capas*N_secciones</f>
        <v>2</v>
      </c>
      <c r="CZ91" t="str">
        <f>COND_INTERSTICIAL[[#This Row],[Mes]]&amp;"-"&amp;COND_INTERSTICIAL[[#This Row],[Sección]]&amp;"-"&amp;COND_INTERSTICIAL[[#This Row],[Capa]]</f>
        <v>12-1-2</v>
      </c>
      <c r="DA91">
        <f ca="1">INDEX(SECCIONES_CAPAS[R''n],MATCH(COND_INTERSTICIAL[[#This Row],[Sección]]&amp;"-"&amp;COND_INTERSTICIAL[[#This Row],[Capa]],SECCIONES_CAPAS[llave],0))</f>
        <v>0.04</v>
      </c>
      <c r="DB91" s="172" t="e" cm="1">
        <f t="array" aca="1" ref="DB91" ca="1">INDEX(CLIMA[ϴe],COND_INTERSTICIAL[[#This Row],[Mes]])+COND_INTERSTICIAL[[#This Row],[Rn]]*(INDEX(CLIMA[ϴi],COND_INTERSTICIAL[[#This Row],[Mes]])-INDEX(CLIMA[ϴe],COND_INTERSTICIAL[[#This Row],[Mes]]))/(INDEX(SECCIONES[Rtsección_condensación],COND_INTERSTICIAL[[#This Row],[Sección]]))</f>
        <v>#N/A</v>
      </c>
      <c r="DC91">
        <f>INDEX(SECCIONES_CAPAS[Sd],MATCH(COND_INTERSTICIAL[[#This Row],[Sección]]&amp;"-"&amp;COND_INTERSTICIAL[[#This Row],[Capa]],SECCIONES_CAPAS[llave],0))</f>
        <v>0</v>
      </c>
      <c r="DD91">
        <f ca="1">INDEX(SECCIONES_CAPAS[S''d],MATCH(COND_INTERSTICIAL[[#This Row],[Sección]]&amp;"-"&amp;COND_INTERSTICIAL[[#This Row],[Capa]],SECCIONES_CAPAS[llave],0))</f>
        <v>0</v>
      </c>
      <c r="DE91" s="90" t="e">
        <f ca="1">IF(COND_INTERSTICIAL[[#This Row],[ϴn]]&gt;=0,610.5*EXP((17.269*COND_INTERSTICIAL[[#This Row],[ϴn]])/(237.3+COND_INTERSTICIAL[[#This Row],[ϴn]])),610.5*EXP((21.875*COND_INTERSTICIAL[[#This Row],[ϴn]])/(265.5+COND_INTERSTICIAL[[#This Row],[ϴn]])))</f>
        <v>#N/A</v>
      </c>
      <c r="DF91" s="90" t="e" cm="1">
        <f t="array" aca="1" ref="DF91" ca="1">COND_INTERSTICIAL[[#This Row],[S''d]]*((INDEX(CLIMA[Pi],COND_INTERSTICIAL[[#This Row],[Mes]])-INDEX(CLIMA[Pe],COND_INTERSTICIAL[[#This Row],[Mes]]))/INDEX(SECCIONES[SdT],COND_INTERSTICIAL[[#This Row],[Sección]]))+INDEX(CLIMA[Pe],COND_INTERSTICIAL[[#This Row],[Mes]])</f>
        <v>#N/A</v>
      </c>
      <c r="DG91" s="108" t="e">
        <f ca="1">IF((COND_INTERSTICIAL[[#This Row],[Pn]]&gt;=COND_INTERSTICIAL[[#This Row],[Psat]]),TRUE,FALSE)</f>
        <v>#N/A</v>
      </c>
      <c r="DH91" s="109" t="e" cm="1">
        <f t="array" aca="1" ref="DH91" ca="1">IF(COND_INTERSTICIAL[[#This Row],[Condensa]],COND_INTERSTICIAL[[#This Row],[Psat]],IF(COND_INTERSTICIAL[[#This Row],[Capa]]=N_capas,COND_INTERSTICIAL[[#This Row],[Pn]],""))</f>
        <v>#N/A</v>
      </c>
      <c r="DI91" s="109" t="e">
        <f ca="1">COND_INTERSTICIAL[[#This Row],[Mes]]&amp;"-"&amp;COND_INTERSTICIAL[[#This Row],[Sección]]&amp;"-"&amp;COND_INTERSTICIAL[[#This Row],[tramo cond]]</f>
        <v>#N/A</v>
      </c>
      <c r="DJ91" t="e" cm="1">
        <f t="array" aca="1" ref="DJ91" ca="1">IF(COND_INTERSTICIAL[[#This Row],[Capa]]=1,IF(COND_INTERSTICIAL[[#This Row],[Condensa]],2,1),IF(COND_INTERSTICIAL[[#This Row],[Condensa]],1,0)+INDIRECT(ADDRESS(ROW()-1,COLUMN(),4)))</f>
        <v>#N/A</v>
      </c>
      <c r="DK91" s="108" t="e" cm="1">
        <f t="array" aca="1" ref="DK91" ca="1">IF(COND_INTERSTICIAL[[#This Row],[tramo cond]]=1,0,IF((COND_INTERSTICIAL[[#This Row],[tramo cond]]&gt;INDIRECT(ADDRESS(ROW()-1,COLUMN(COND_INTERSTICIAL[[#This Row],[tramo cond]]),4)))+COND_INTERSTICIAL[[#This Row],[Condensa]],COND_INTERSTICIAL[[#This Row],[Capa]],INDIRECT(ADDRESS(ROW()-1,COLUMN(),4))))</f>
        <v>#N/A</v>
      </c>
      <c r="DL91" s="108" t="e" cm="1">
        <f t="array" aca="1" ref="DL91" ca="1">IF((COND_INTERSTICIAL[[#This Row],[Capa]]=N_capas)+(COND_INTERSTICIAL[[#This Row],[tramo cond]]=COUNTIFS(COND_INTERSTICIAL[Condensa],TRUE,COND_INTERSTICIAL[Mes],CW91,COND_INTERSTICIAL[Sección],CX91)+1),N_capas,INDEX(COND_INTERSTICIAL[capa lím inf cond],MATCH(COND_INTERSTICIAL[[#This Row],[Mes]]&amp;"-"&amp;COND_INTERSTICIAL[[#This Row],[Sección]]&amp;"-"&amp;(COND_INTERSTICIAL[[#This Row],[tramo cond]]+1),COND_INTERSTICIAL[llave tramo cond],0)))</f>
        <v>#N/A</v>
      </c>
      <c r="DM91" s="108" cm="1">
        <f t="array" aca="1" ref="DM9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1" s="110" t="e" cm="1">
        <f t="array" aca="1" ref="DN9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1" s="107" t="e">
        <f ca="1">COND_INTERSTICIAL[[#This Row],[gc]]+COND_INTERSTICIAL[[#This Row],[Ma_anterior cond]]</f>
        <v>#N/A</v>
      </c>
      <c r="DQ91" s="113" t="e">
        <f ca="1">IF((COND_INTERSTICIAL[[#This Row],[Ma_anterior cond]]&gt;0)*NOT(COND_INTERSTICIAL[[#This Row],[Condensa]]),TRUE,FALSE)</f>
        <v>#N/A</v>
      </c>
      <c r="DR91" s="112" t="e" cm="1">
        <f t="array" aca="1" ref="DR91" ca="1">IF(COND_INTERSTICIAL[[#This Row],[evapora]],COND_INTERSTICIAL[[#This Row],[Psat]],IF(COND_INTERSTICIAL[[#This Row],[Capa]]=N_capas,COND_INTERSTICIAL[[#This Row],[Pn]],""))</f>
        <v>#N/A</v>
      </c>
      <c r="DS91" s="112" t="e">
        <f ca="1">COND_INTERSTICIAL[[#This Row],[Mes]]&amp;"-"&amp;COND_INTERSTICIAL[[#This Row],[Sección]]&amp;"-"&amp;COND_INTERSTICIAL[[#This Row],[tramo ev]]</f>
        <v>#N/A</v>
      </c>
      <c r="DT91" s="111" t="e" cm="1">
        <f t="array" aca="1" ref="DT91" ca="1">IF(COND_INTERSTICIAL[[#This Row],[Capa]]=1,IF(COND_INTERSTICIAL[[#This Row],[evapora]],2,1),IF(COND_INTERSTICIAL[[#This Row],[evapora]],1,0)+INDIRECT(ADDRESS(ROW()-1,COLUMN(),4)))</f>
        <v>#N/A</v>
      </c>
      <c r="DU91" s="111" t="e" cm="1">
        <f t="array" aca="1" ref="DU91" ca="1">IF(COND_INTERSTICIAL[[#This Row],[tramo ev]]=1,0,IF((COND_INTERSTICIAL[[#This Row],[tramo ev]]&gt;INDIRECT(ADDRESS(ROW()-1,COLUMN(COND_INTERSTICIAL[[#This Row],[tramo ev]]),4)))+COND_INTERSTICIAL[[#This Row],[evapora]],COND_INTERSTICIAL[[#This Row],[Capa]],INDIRECT(ADDRESS(ROW()-1,COLUMN(),4))))</f>
        <v>#N/A</v>
      </c>
      <c r="DV91" s="111" t="e" cm="1">
        <f t="array" aca="1" ref="DV91" ca="1">IF((COND_INTERSTICIAL[[#This Row],[Capa]]=N_capas)+(COND_INTERSTICIAL[[#This Row],[tramo ev]]=COUNTIFS(COND_INTERSTICIAL[evapora],TRUE,COND_INTERSTICIAL[Mes],CW91,COND_INTERSTICIAL[Sección],CX91)+1),N_capas,INDEX(COND_INTERSTICIAL[capa lím inf ev],MATCH(COND_INTERSTICIAL[[#This Row],[Mes]]&amp;"-"&amp;COND_INTERSTICIAL[[#This Row],[Sección]]&amp;"-"&amp;(COND_INTERSTICIAL[[#This Row],[tramo ev]]+1),COND_INTERSTICIAL[llave tramo ev],0)))</f>
        <v>#N/A</v>
      </c>
      <c r="DW91" s="111" cm="1">
        <f t="array" aca="1" ref="DW9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1" s="113" t="e" cm="1">
        <f t="array" aca="1" ref="DX9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1" s="113" t="e">
        <f ca="1">COND_INTERSTICIAL[[#This Row],[gev]]+COND_INTERSTICIAL[[#This Row],[Ma anterior ev]]</f>
        <v>#N/A</v>
      </c>
      <c r="EA91" s="115" t="e">
        <f ca="1">IF(COND_INTERSTICIAL[[#This Row],[Ma cond]]+COND_INTERSTICIAL[[#This Row],[Ma ev]]&lt;=0,0,COND_INTERSTICIAL[[#This Row],[Ma cond]]+COND_INTERSTICIAL[[#This Row],[Ma ev]])</f>
        <v>#N/A</v>
      </c>
      <c r="EB91" s="115" t="e">
        <f ca="1">IF(COND_INTERSTICIAL[[#This Row],[Ma]]&gt;0,TRUE,FALSE)</f>
        <v>#N/A</v>
      </c>
      <c r="EC91" s="115" t="e" cm="1">
        <f t="array" aca="1" ref="EC91" ca="1">IF(COND_INTERSTICIAL[[#This Row],[agua líquida]],IF(COND_INTERSTICIAL[[#This Row],[Condensa]],COND_INTERSTICIAL[[#This Row],[P límite cond]],COND_INTERSTICIAL[[#This Row],[P límite ev]]),IF(COND_INTERSTICIAL[[#This Row],[Capa]]=N_capas,COND_INTERSTICIAL[[#This Row],[Pn]],""))</f>
        <v>#N/A</v>
      </c>
      <c r="ED91" s="115" t="e">
        <f ca="1">COND_INTERSTICIAL[[#This Row],[Mes]]&amp;"-"&amp;COND_INTERSTICIAL[[#This Row],[Sección]]&amp;"-"&amp;COND_INTERSTICIAL[[#This Row],[tramo gráf]]</f>
        <v>#N/A</v>
      </c>
      <c r="EE91" s="114" t="e" cm="1">
        <f t="array" aca="1" ref="EE91" ca="1">IF(COND_INTERSTICIAL[[#This Row],[Capa]]=1,IF(COND_INTERSTICIAL[[#This Row],[agua líquida]],2,1),IF(COND_INTERSTICIAL[[#This Row],[agua líquida]],1,0)+INDIRECT(ADDRESS(ROW()-1,COLUMN(),4)))</f>
        <v>#N/A</v>
      </c>
      <c r="EF91" s="114" t="e" cm="1">
        <f t="array" aca="1" ref="EF91" ca="1">IF(COND_INTERSTICIAL[[#This Row],[tramo gráf]]=1,0,IF((COND_INTERSTICIAL[[#This Row],[tramo gráf]]&gt;INDIRECT(ADDRESS(ROW()-1,COLUMN(COND_INTERSTICIAL[[#This Row],[tramo gráf]]),4)))+COND_INTERSTICIAL[[#This Row],[agua líquida]],COND_INTERSTICIAL[[#This Row],[Capa]],INDIRECT(ADDRESS(ROW()-1,COLUMN(),4))))</f>
        <v>#N/A</v>
      </c>
      <c r="EG91" s="114" t="e" cm="1">
        <f t="array" aca="1" ref="EG91" ca="1">IF((COND_INTERSTICIAL[[#This Row],[Capa]]=N_capas)+(COND_INTERSTICIAL[[#This Row],[tramo gráf]]=COUNTIFS(COND_INTERSTICIAL[agua líquida],TRUE,COND_INTERSTICIAL[Mes],CW91,COND_INTERSTICIAL[Sección],CX91)+1),N_capas,INDEX(COND_INTERSTICIAL[capa lím inf gráf],MATCH(COND_INTERSTICIAL[[#This Row],[Mes]]&amp;"-"&amp;COND_INTERSTICIAL[[#This Row],[Sección]]&amp;"-"&amp;(COND_INTERSTICIAL[[#This Row],[tramo gráf]]+1),COND_INTERSTICIAL[llave tramo gráf],0)))</f>
        <v>#N/A</v>
      </c>
      <c r="EH91" s="114" cm="1">
        <f t="array" aca="1" ref="EH9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1" s="116" t="e" cm="1">
        <f t="array" aca="1" ref="EI9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2" spans="101:139" x14ac:dyDescent="0.45">
      <c r="CW92" s="1" cm="1">
        <f t="array" ref="CW92">ROUNDUP((ROW()-$CN$18+(Mes_inicial_de_análisis-1)*N_capas*N_secciones)/(N_capas*N_secciones),0)-12*IF(ROW()-$CN$18&gt;(12-Mes_inicial_de_análisis+1)*N_capas*N_secciones,1,0)</f>
        <v>12</v>
      </c>
      <c r="CX92" cm="1">
        <f t="array" ref="CX92">ROUNDUP((ROW()-$CN$18)/N_capas-(ROUNDUP((ROW()-$CN$18)/(N_capas*N_secciones),0)-1)*N_secciones,0)</f>
        <v>1</v>
      </c>
      <c r="CY92" cm="1">
        <f t="array" ref="CY92">(ROW()-$CN$18)-(COND_INTERSTICIAL[[#This Row],[Sección]]-1)*N_capas-(ROUNDUP((ROW()-$CN$18)/(N_capas*N_secciones),0)-1)*N_capas*N_secciones</f>
        <v>3</v>
      </c>
      <c r="CZ92" t="str">
        <f>COND_INTERSTICIAL[[#This Row],[Mes]]&amp;"-"&amp;COND_INTERSTICIAL[[#This Row],[Sección]]&amp;"-"&amp;COND_INTERSTICIAL[[#This Row],[Capa]]</f>
        <v>12-1-3</v>
      </c>
      <c r="DA92">
        <f ca="1">INDEX(SECCIONES_CAPAS[R''n],MATCH(COND_INTERSTICIAL[[#This Row],[Sección]]&amp;"-"&amp;COND_INTERSTICIAL[[#This Row],[Capa]],SECCIONES_CAPAS[llave],0))</f>
        <v>0.04</v>
      </c>
      <c r="DB92" s="172" t="e" cm="1">
        <f t="array" aca="1" ref="DB92" ca="1">INDEX(CLIMA[ϴe],COND_INTERSTICIAL[[#This Row],[Mes]])+COND_INTERSTICIAL[[#This Row],[Rn]]*(INDEX(CLIMA[ϴi],COND_INTERSTICIAL[[#This Row],[Mes]])-INDEX(CLIMA[ϴe],COND_INTERSTICIAL[[#This Row],[Mes]]))/(INDEX(SECCIONES[Rtsección_condensación],COND_INTERSTICIAL[[#This Row],[Sección]]))</f>
        <v>#N/A</v>
      </c>
      <c r="DC92">
        <f>INDEX(SECCIONES_CAPAS[Sd],MATCH(COND_INTERSTICIAL[[#This Row],[Sección]]&amp;"-"&amp;COND_INTERSTICIAL[[#This Row],[Capa]],SECCIONES_CAPAS[llave],0))</f>
        <v>0</v>
      </c>
      <c r="DD92">
        <f ca="1">INDEX(SECCIONES_CAPAS[S''d],MATCH(COND_INTERSTICIAL[[#This Row],[Sección]]&amp;"-"&amp;COND_INTERSTICIAL[[#This Row],[Capa]],SECCIONES_CAPAS[llave],0))</f>
        <v>0</v>
      </c>
      <c r="DE92" s="90" t="e">
        <f ca="1">IF(COND_INTERSTICIAL[[#This Row],[ϴn]]&gt;=0,610.5*EXP((17.269*COND_INTERSTICIAL[[#This Row],[ϴn]])/(237.3+COND_INTERSTICIAL[[#This Row],[ϴn]])),610.5*EXP((21.875*COND_INTERSTICIAL[[#This Row],[ϴn]])/(265.5+COND_INTERSTICIAL[[#This Row],[ϴn]])))</f>
        <v>#N/A</v>
      </c>
      <c r="DF92" s="90" t="e" cm="1">
        <f t="array" aca="1" ref="DF92" ca="1">COND_INTERSTICIAL[[#This Row],[S''d]]*((INDEX(CLIMA[Pi],COND_INTERSTICIAL[[#This Row],[Mes]])-INDEX(CLIMA[Pe],COND_INTERSTICIAL[[#This Row],[Mes]]))/INDEX(SECCIONES[SdT],COND_INTERSTICIAL[[#This Row],[Sección]]))+INDEX(CLIMA[Pe],COND_INTERSTICIAL[[#This Row],[Mes]])</f>
        <v>#N/A</v>
      </c>
      <c r="DG92" s="108" t="e">
        <f ca="1">IF((COND_INTERSTICIAL[[#This Row],[Pn]]&gt;=COND_INTERSTICIAL[[#This Row],[Psat]]),TRUE,FALSE)</f>
        <v>#N/A</v>
      </c>
      <c r="DH92" s="109" t="e" cm="1">
        <f t="array" aca="1" ref="DH92" ca="1">IF(COND_INTERSTICIAL[[#This Row],[Condensa]],COND_INTERSTICIAL[[#This Row],[Psat]],IF(COND_INTERSTICIAL[[#This Row],[Capa]]=N_capas,COND_INTERSTICIAL[[#This Row],[Pn]],""))</f>
        <v>#N/A</v>
      </c>
      <c r="DI92" s="109" t="e">
        <f ca="1">COND_INTERSTICIAL[[#This Row],[Mes]]&amp;"-"&amp;COND_INTERSTICIAL[[#This Row],[Sección]]&amp;"-"&amp;COND_INTERSTICIAL[[#This Row],[tramo cond]]</f>
        <v>#N/A</v>
      </c>
      <c r="DJ92" t="e" cm="1">
        <f t="array" aca="1" ref="DJ92" ca="1">IF(COND_INTERSTICIAL[[#This Row],[Capa]]=1,IF(COND_INTERSTICIAL[[#This Row],[Condensa]],2,1),IF(COND_INTERSTICIAL[[#This Row],[Condensa]],1,0)+INDIRECT(ADDRESS(ROW()-1,COLUMN(),4)))</f>
        <v>#N/A</v>
      </c>
      <c r="DK92" s="108" t="e" cm="1">
        <f t="array" aca="1" ref="DK92" ca="1">IF(COND_INTERSTICIAL[[#This Row],[tramo cond]]=1,0,IF((COND_INTERSTICIAL[[#This Row],[tramo cond]]&gt;INDIRECT(ADDRESS(ROW()-1,COLUMN(COND_INTERSTICIAL[[#This Row],[tramo cond]]),4)))+COND_INTERSTICIAL[[#This Row],[Condensa]],COND_INTERSTICIAL[[#This Row],[Capa]],INDIRECT(ADDRESS(ROW()-1,COLUMN(),4))))</f>
        <v>#N/A</v>
      </c>
      <c r="DL92" s="108" t="e" cm="1">
        <f t="array" aca="1" ref="DL92" ca="1">IF((COND_INTERSTICIAL[[#This Row],[Capa]]=N_capas)+(COND_INTERSTICIAL[[#This Row],[tramo cond]]=COUNTIFS(COND_INTERSTICIAL[Condensa],TRUE,COND_INTERSTICIAL[Mes],CW92,COND_INTERSTICIAL[Sección],CX92)+1),N_capas,INDEX(COND_INTERSTICIAL[capa lím inf cond],MATCH(COND_INTERSTICIAL[[#This Row],[Mes]]&amp;"-"&amp;COND_INTERSTICIAL[[#This Row],[Sección]]&amp;"-"&amp;(COND_INTERSTICIAL[[#This Row],[tramo cond]]+1),COND_INTERSTICIAL[llave tramo cond],0)))</f>
        <v>#N/A</v>
      </c>
      <c r="DM92" s="108" cm="1">
        <f t="array" aca="1" ref="DM9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2" s="110" t="e" cm="1">
        <f t="array" aca="1" ref="DN9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2" s="107" t="e">
        <f ca="1">COND_INTERSTICIAL[[#This Row],[gc]]+COND_INTERSTICIAL[[#This Row],[Ma_anterior cond]]</f>
        <v>#N/A</v>
      </c>
      <c r="DQ92" s="113" t="e">
        <f ca="1">IF((COND_INTERSTICIAL[[#This Row],[Ma_anterior cond]]&gt;0)*NOT(COND_INTERSTICIAL[[#This Row],[Condensa]]),TRUE,FALSE)</f>
        <v>#N/A</v>
      </c>
      <c r="DR92" s="112" t="e" cm="1">
        <f t="array" aca="1" ref="DR92" ca="1">IF(COND_INTERSTICIAL[[#This Row],[evapora]],COND_INTERSTICIAL[[#This Row],[Psat]],IF(COND_INTERSTICIAL[[#This Row],[Capa]]=N_capas,COND_INTERSTICIAL[[#This Row],[Pn]],""))</f>
        <v>#N/A</v>
      </c>
      <c r="DS92" s="112" t="e">
        <f ca="1">COND_INTERSTICIAL[[#This Row],[Mes]]&amp;"-"&amp;COND_INTERSTICIAL[[#This Row],[Sección]]&amp;"-"&amp;COND_INTERSTICIAL[[#This Row],[tramo ev]]</f>
        <v>#N/A</v>
      </c>
      <c r="DT92" s="111" t="e" cm="1">
        <f t="array" aca="1" ref="DT92" ca="1">IF(COND_INTERSTICIAL[[#This Row],[Capa]]=1,IF(COND_INTERSTICIAL[[#This Row],[evapora]],2,1),IF(COND_INTERSTICIAL[[#This Row],[evapora]],1,0)+INDIRECT(ADDRESS(ROW()-1,COLUMN(),4)))</f>
        <v>#N/A</v>
      </c>
      <c r="DU92" s="111" t="e" cm="1">
        <f t="array" aca="1" ref="DU92" ca="1">IF(COND_INTERSTICIAL[[#This Row],[tramo ev]]=1,0,IF((COND_INTERSTICIAL[[#This Row],[tramo ev]]&gt;INDIRECT(ADDRESS(ROW()-1,COLUMN(COND_INTERSTICIAL[[#This Row],[tramo ev]]),4)))+COND_INTERSTICIAL[[#This Row],[evapora]],COND_INTERSTICIAL[[#This Row],[Capa]],INDIRECT(ADDRESS(ROW()-1,COLUMN(),4))))</f>
        <v>#N/A</v>
      </c>
      <c r="DV92" s="111" t="e" cm="1">
        <f t="array" aca="1" ref="DV92" ca="1">IF((COND_INTERSTICIAL[[#This Row],[Capa]]=N_capas)+(COND_INTERSTICIAL[[#This Row],[tramo ev]]=COUNTIFS(COND_INTERSTICIAL[evapora],TRUE,COND_INTERSTICIAL[Mes],CW92,COND_INTERSTICIAL[Sección],CX92)+1),N_capas,INDEX(COND_INTERSTICIAL[capa lím inf ev],MATCH(COND_INTERSTICIAL[[#This Row],[Mes]]&amp;"-"&amp;COND_INTERSTICIAL[[#This Row],[Sección]]&amp;"-"&amp;(COND_INTERSTICIAL[[#This Row],[tramo ev]]+1),COND_INTERSTICIAL[llave tramo ev],0)))</f>
        <v>#N/A</v>
      </c>
      <c r="DW92" s="111" cm="1">
        <f t="array" aca="1" ref="DW9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2" s="113" t="e" cm="1">
        <f t="array" aca="1" ref="DX9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2" s="113" t="e">
        <f ca="1">COND_INTERSTICIAL[[#This Row],[gev]]+COND_INTERSTICIAL[[#This Row],[Ma anterior ev]]</f>
        <v>#N/A</v>
      </c>
      <c r="EA92" s="115" t="e">
        <f ca="1">IF(COND_INTERSTICIAL[[#This Row],[Ma cond]]+COND_INTERSTICIAL[[#This Row],[Ma ev]]&lt;=0,0,COND_INTERSTICIAL[[#This Row],[Ma cond]]+COND_INTERSTICIAL[[#This Row],[Ma ev]])</f>
        <v>#N/A</v>
      </c>
      <c r="EB92" s="115" t="e">
        <f ca="1">IF(COND_INTERSTICIAL[[#This Row],[Ma]]&gt;0,TRUE,FALSE)</f>
        <v>#N/A</v>
      </c>
      <c r="EC92" s="115" t="e" cm="1">
        <f t="array" aca="1" ref="EC92" ca="1">IF(COND_INTERSTICIAL[[#This Row],[agua líquida]],IF(COND_INTERSTICIAL[[#This Row],[Condensa]],COND_INTERSTICIAL[[#This Row],[P límite cond]],COND_INTERSTICIAL[[#This Row],[P límite ev]]),IF(COND_INTERSTICIAL[[#This Row],[Capa]]=N_capas,COND_INTERSTICIAL[[#This Row],[Pn]],""))</f>
        <v>#N/A</v>
      </c>
      <c r="ED92" s="115" t="e">
        <f ca="1">COND_INTERSTICIAL[[#This Row],[Mes]]&amp;"-"&amp;COND_INTERSTICIAL[[#This Row],[Sección]]&amp;"-"&amp;COND_INTERSTICIAL[[#This Row],[tramo gráf]]</f>
        <v>#N/A</v>
      </c>
      <c r="EE92" s="114" t="e" cm="1">
        <f t="array" aca="1" ref="EE92" ca="1">IF(COND_INTERSTICIAL[[#This Row],[Capa]]=1,IF(COND_INTERSTICIAL[[#This Row],[agua líquida]],2,1),IF(COND_INTERSTICIAL[[#This Row],[agua líquida]],1,0)+INDIRECT(ADDRESS(ROW()-1,COLUMN(),4)))</f>
        <v>#N/A</v>
      </c>
      <c r="EF92" s="114" t="e" cm="1">
        <f t="array" aca="1" ref="EF92" ca="1">IF(COND_INTERSTICIAL[[#This Row],[tramo gráf]]=1,0,IF((COND_INTERSTICIAL[[#This Row],[tramo gráf]]&gt;INDIRECT(ADDRESS(ROW()-1,COLUMN(COND_INTERSTICIAL[[#This Row],[tramo gráf]]),4)))+COND_INTERSTICIAL[[#This Row],[agua líquida]],COND_INTERSTICIAL[[#This Row],[Capa]],INDIRECT(ADDRESS(ROW()-1,COLUMN(),4))))</f>
        <v>#N/A</v>
      </c>
      <c r="EG92" s="114" t="e" cm="1">
        <f t="array" aca="1" ref="EG92" ca="1">IF((COND_INTERSTICIAL[[#This Row],[Capa]]=N_capas)+(COND_INTERSTICIAL[[#This Row],[tramo gráf]]=COUNTIFS(COND_INTERSTICIAL[agua líquida],TRUE,COND_INTERSTICIAL[Mes],CW92,COND_INTERSTICIAL[Sección],CX92)+1),N_capas,INDEX(COND_INTERSTICIAL[capa lím inf gráf],MATCH(COND_INTERSTICIAL[[#This Row],[Mes]]&amp;"-"&amp;COND_INTERSTICIAL[[#This Row],[Sección]]&amp;"-"&amp;(COND_INTERSTICIAL[[#This Row],[tramo gráf]]+1),COND_INTERSTICIAL[llave tramo gráf],0)))</f>
        <v>#N/A</v>
      </c>
      <c r="EH92" s="114" cm="1">
        <f t="array" aca="1" ref="EH9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2" s="116" t="e" cm="1">
        <f t="array" aca="1" ref="EI9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3" spans="101:139" x14ac:dyDescent="0.45">
      <c r="CW93" s="1" cm="1">
        <f t="array" ref="CW93">ROUNDUP((ROW()-$CN$18+(Mes_inicial_de_análisis-1)*N_capas*N_secciones)/(N_capas*N_secciones),0)-12*IF(ROW()-$CN$18&gt;(12-Mes_inicial_de_análisis+1)*N_capas*N_secciones,1,0)</f>
        <v>12</v>
      </c>
      <c r="CX93" cm="1">
        <f t="array" ref="CX93">ROUNDUP((ROW()-$CN$18)/N_capas-(ROUNDUP((ROW()-$CN$18)/(N_capas*N_secciones),0)-1)*N_secciones,0)</f>
        <v>1</v>
      </c>
      <c r="CY93" cm="1">
        <f t="array" ref="CY93">(ROW()-$CN$18)-(COND_INTERSTICIAL[[#This Row],[Sección]]-1)*N_capas-(ROUNDUP((ROW()-$CN$18)/(N_capas*N_secciones),0)-1)*N_capas*N_secciones</f>
        <v>4</v>
      </c>
      <c r="CZ93" t="str">
        <f>COND_INTERSTICIAL[[#This Row],[Mes]]&amp;"-"&amp;COND_INTERSTICIAL[[#This Row],[Sección]]&amp;"-"&amp;COND_INTERSTICIAL[[#This Row],[Capa]]</f>
        <v>12-1-4</v>
      </c>
      <c r="DA93">
        <f ca="1">INDEX(SECCIONES_CAPAS[R''n],MATCH(COND_INTERSTICIAL[[#This Row],[Sección]]&amp;"-"&amp;COND_INTERSTICIAL[[#This Row],[Capa]],SECCIONES_CAPAS[llave],0))</f>
        <v>0.04</v>
      </c>
      <c r="DB93" s="172" t="e" cm="1">
        <f t="array" aca="1" ref="DB93" ca="1">INDEX(CLIMA[ϴe],COND_INTERSTICIAL[[#This Row],[Mes]])+COND_INTERSTICIAL[[#This Row],[Rn]]*(INDEX(CLIMA[ϴi],COND_INTERSTICIAL[[#This Row],[Mes]])-INDEX(CLIMA[ϴe],COND_INTERSTICIAL[[#This Row],[Mes]]))/(INDEX(SECCIONES[Rtsección_condensación],COND_INTERSTICIAL[[#This Row],[Sección]]))</f>
        <v>#N/A</v>
      </c>
      <c r="DC93">
        <f>INDEX(SECCIONES_CAPAS[Sd],MATCH(COND_INTERSTICIAL[[#This Row],[Sección]]&amp;"-"&amp;COND_INTERSTICIAL[[#This Row],[Capa]],SECCIONES_CAPAS[llave],0))</f>
        <v>0</v>
      </c>
      <c r="DD93">
        <f ca="1">INDEX(SECCIONES_CAPAS[S''d],MATCH(COND_INTERSTICIAL[[#This Row],[Sección]]&amp;"-"&amp;COND_INTERSTICIAL[[#This Row],[Capa]],SECCIONES_CAPAS[llave],0))</f>
        <v>0</v>
      </c>
      <c r="DE93" s="90" t="e">
        <f ca="1">IF(COND_INTERSTICIAL[[#This Row],[ϴn]]&gt;=0,610.5*EXP((17.269*COND_INTERSTICIAL[[#This Row],[ϴn]])/(237.3+COND_INTERSTICIAL[[#This Row],[ϴn]])),610.5*EXP((21.875*COND_INTERSTICIAL[[#This Row],[ϴn]])/(265.5+COND_INTERSTICIAL[[#This Row],[ϴn]])))</f>
        <v>#N/A</v>
      </c>
      <c r="DF93" s="90" t="e" cm="1">
        <f t="array" aca="1" ref="DF93" ca="1">COND_INTERSTICIAL[[#This Row],[S''d]]*((INDEX(CLIMA[Pi],COND_INTERSTICIAL[[#This Row],[Mes]])-INDEX(CLIMA[Pe],COND_INTERSTICIAL[[#This Row],[Mes]]))/INDEX(SECCIONES[SdT],COND_INTERSTICIAL[[#This Row],[Sección]]))+INDEX(CLIMA[Pe],COND_INTERSTICIAL[[#This Row],[Mes]])</f>
        <v>#N/A</v>
      </c>
      <c r="DG93" s="108" t="e">
        <f ca="1">IF((COND_INTERSTICIAL[[#This Row],[Pn]]&gt;=COND_INTERSTICIAL[[#This Row],[Psat]]),TRUE,FALSE)</f>
        <v>#N/A</v>
      </c>
      <c r="DH93" s="109" t="e" cm="1">
        <f t="array" aca="1" ref="DH93" ca="1">IF(COND_INTERSTICIAL[[#This Row],[Condensa]],COND_INTERSTICIAL[[#This Row],[Psat]],IF(COND_INTERSTICIAL[[#This Row],[Capa]]=N_capas,COND_INTERSTICIAL[[#This Row],[Pn]],""))</f>
        <v>#N/A</v>
      </c>
      <c r="DI93" s="109" t="e">
        <f ca="1">COND_INTERSTICIAL[[#This Row],[Mes]]&amp;"-"&amp;COND_INTERSTICIAL[[#This Row],[Sección]]&amp;"-"&amp;COND_INTERSTICIAL[[#This Row],[tramo cond]]</f>
        <v>#N/A</v>
      </c>
      <c r="DJ93" t="e" cm="1">
        <f t="array" aca="1" ref="DJ93" ca="1">IF(COND_INTERSTICIAL[[#This Row],[Capa]]=1,IF(COND_INTERSTICIAL[[#This Row],[Condensa]],2,1),IF(COND_INTERSTICIAL[[#This Row],[Condensa]],1,0)+INDIRECT(ADDRESS(ROW()-1,COLUMN(),4)))</f>
        <v>#N/A</v>
      </c>
      <c r="DK93" s="108" t="e" cm="1">
        <f t="array" aca="1" ref="DK93" ca="1">IF(COND_INTERSTICIAL[[#This Row],[tramo cond]]=1,0,IF((COND_INTERSTICIAL[[#This Row],[tramo cond]]&gt;INDIRECT(ADDRESS(ROW()-1,COLUMN(COND_INTERSTICIAL[[#This Row],[tramo cond]]),4)))+COND_INTERSTICIAL[[#This Row],[Condensa]],COND_INTERSTICIAL[[#This Row],[Capa]],INDIRECT(ADDRESS(ROW()-1,COLUMN(),4))))</f>
        <v>#N/A</v>
      </c>
      <c r="DL93" s="108" t="e" cm="1">
        <f t="array" aca="1" ref="DL93" ca="1">IF((COND_INTERSTICIAL[[#This Row],[Capa]]=N_capas)+(COND_INTERSTICIAL[[#This Row],[tramo cond]]=COUNTIFS(COND_INTERSTICIAL[Condensa],TRUE,COND_INTERSTICIAL[Mes],CW93,COND_INTERSTICIAL[Sección],CX93)+1),N_capas,INDEX(COND_INTERSTICIAL[capa lím inf cond],MATCH(COND_INTERSTICIAL[[#This Row],[Mes]]&amp;"-"&amp;COND_INTERSTICIAL[[#This Row],[Sección]]&amp;"-"&amp;(COND_INTERSTICIAL[[#This Row],[tramo cond]]+1),COND_INTERSTICIAL[llave tramo cond],0)))</f>
        <v>#N/A</v>
      </c>
      <c r="DM93" s="108" cm="1">
        <f t="array" aca="1" ref="DM9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3" s="110" t="e" cm="1">
        <f t="array" aca="1" ref="DN9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3" s="107" t="e">
        <f ca="1">COND_INTERSTICIAL[[#This Row],[gc]]+COND_INTERSTICIAL[[#This Row],[Ma_anterior cond]]</f>
        <v>#N/A</v>
      </c>
      <c r="DQ93" s="113" t="e">
        <f ca="1">IF((COND_INTERSTICIAL[[#This Row],[Ma_anterior cond]]&gt;0)*NOT(COND_INTERSTICIAL[[#This Row],[Condensa]]),TRUE,FALSE)</f>
        <v>#N/A</v>
      </c>
      <c r="DR93" s="112" t="e" cm="1">
        <f t="array" aca="1" ref="DR93" ca="1">IF(COND_INTERSTICIAL[[#This Row],[evapora]],COND_INTERSTICIAL[[#This Row],[Psat]],IF(COND_INTERSTICIAL[[#This Row],[Capa]]=N_capas,COND_INTERSTICIAL[[#This Row],[Pn]],""))</f>
        <v>#N/A</v>
      </c>
      <c r="DS93" s="112" t="e">
        <f ca="1">COND_INTERSTICIAL[[#This Row],[Mes]]&amp;"-"&amp;COND_INTERSTICIAL[[#This Row],[Sección]]&amp;"-"&amp;COND_INTERSTICIAL[[#This Row],[tramo ev]]</f>
        <v>#N/A</v>
      </c>
      <c r="DT93" s="111" t="e" cm="1">
        <f t="array" aca="1" ref="DT93" ca="1">IF(COND_INTERSTICIAL[[#This Row],[Capa]]=1,IF(COND_INTERSTICIAL[[#This Row],[evapora]],2,1),IF(COND_INTERSTICIAL[[#This Row],[evapora]],1,0)+INDIRECT(ADDRESS(ROW()-1,COLUMN(),4)))</f>
        <v>#N/A</v>
      </c>
      <c r="DU93" s="111" t="e" cm="1">
        <f t="array" aca="1" ref="DU93" ca="1">IF(COND_INTERSTICIAL[[#This Row],[tramo ev]]=1,0,IF((COND_INTERSTICIAL[[#This Row],[tramo ev]]&gt;INDIRECT(ADDRESS(ROW()-1,COLUMN(COND_INTERSTICIAL[[#This Row],[tramo ev]]),4)))+COND_INTERSTICIAL[[#This Row],[evapora]],COND_INTERSTICIAL[[#This Row],[Capa]],INDIRECT(ADDRESS(ROW()-1,COLUMN(),4))))</f>
        <v>#N/A</v>
      </c>
      <c r="DV93" s="111" t="e" cm="1">
        <f t="array" aca="1" ref="DV93" ca="1">IF((COND_INTERSTICIAL[[#This Row],[Capa]]=N_capas)+(COND_INTERSTICIAL[[#This Row],[tramo ev]]=COUNTIFS(COND_INTERSTICIAL[evapora],TRUE,COND_INTERSTICIAL[Mes],CW93,COND_INTERSTICIAL[Sección],CX93)+1),N_capas,INDEX(COND_INTERSTICIAL[capa lím inf ev],MATCH(COND_INTERSTICIAL[[#This Row],[Mes]]&amp;"-"&amp;COND_INTERSTICIAL[[#This Row],[Sección]]&amp;"-"&amp;(COND_INTERSTICIAL[[#This Row],[tramo ev]]+1),COND_INTERSTICIAL[llave tramo ev],0)))</f>
        <v>#N/A</v>
      </c>
      <c r="DW93" s="111" cm="1">
        <f t="array" aca="1" ref="DW9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3" s="113" t="e" cm="1">
        <f t="array" aca="1" ref="DX9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3" s="113" t="e">
        <f ca="1">COND_INTERSTICIAL[[#This Row],[gev]]+COND_INTERSTICIAL[[#This Row],[Ma anterior ev]]</f>
        <v>#N/A</v>
      </c>
      <c r="EA93" s="115" t="e">
        <f ca="1">IF(COND_INTERSTICIAL[[#This Row],[Ma cond]]+COND_INTERSTICIAL[[#This Row],[Ma ev]]&lt;=0,0,COND_INTERSTICIAL[[#This Row],[Ma cond]]+COND_INTERSTICIAL[[#This Row],[Ma ev]])</f>
        <v>#N/A</v>
      </c>
      <c r="EB93" s="115" t="e">
        <f ca="1">IF(COND_INTERSTICIAL[[#This Row],[Ma]]&gt;0,TRUE,FALSE)</f>
        <v>#N/A</v>
      </c>
      <c r="EC93" s="115" t="e" cm="1">
        <f t="array" aca="1" ref="EC93" ca="1">IF(COND_INTERSTICIAL[[#This Row],[agua líquida]],IF(COND_INTERSTICIAL[[#This Row],[Condensa]],COND_INTERSTICIAL[[#This Row],[P límite cond]],COND_INTERSTICIAL[[#This Row],[P límite ev]]),IF(COND_INTERSTICIAL[[#This Row],[Capa]]=N_capas,COND_INTERSTICIAL[[#This Row],[Pn]],""))</f>
        <v>#N/A</v>
      </c>
      <c r="ED93" s="115" t="e">
        <f ca="1">COND_INTERSTICIAL[[#This Row],[Mes]]&amp;"-"&amp;COND_INTERSTICIAL[[#This Row],[Sección]]&amp;"-"&amp;COND_INTERSTICIAL[[#This Row],[tramo gráf]]</f>
        <v>#N/A</v>
      </c>
      <c r="EE93" s="114" t="e" cm="1">
        <f t="array" aca="1" ref="EE93" ca="1">IF(COND_INTERSTICIAL[[#This Row],[Capa]]=1,IF(COND_INTERSTICIAL[[#This Row],[agua líquida]],2,1),IF(COND_INTERSTICIAL[[#This Row],[agua líquida]],1,0)+INDIRECT(ADDRESS(ROW()-1,COLUMN(),4)))</f>
        <v>#N/A</v>
      </c>
      <c r="EF93" s="114" t="e" cm="1">
        <f t="array" aca="1" ref="EF93" ca="1">IF(COND_INTERSTICIAL[[#This Row],[tramo gráf]]=1,0,IF((COND_INTERSTICIAL[[#This Row],[tramo gráf]]&gt;INDIRECT(ADDRESS(ROW()-1,COLUMN(COND_INTERSTICIAL[[#This Row],[tramo gráf]]),4)))+COND_INTERSTICIAL[[#This Row],[agua líquida]],COND_INTERSTICIAL[[#This Row],[Capa]],INDIRECT(ADDRESS(ROW()-1,COLUMN(),4))))</f>
        <v>#N/A</v>
      </c>
      <c r="EG93" s="114" t="e" cm="1">
        <f t="array" aca="1" ref="EG93" ca="1">IF((COND_INTERSTICIAL[[#This Row],[Capa]]=N_capas)+(COND_INTERSTICIAL[[#This Row],[tramo gráf]]=COUNTIFS(COND_INTERSTICIAL[agua líquida],TRUE,COND_INTERSTICIAL[Mes],CW93,COND_INTERSTICIAL[Sección],CX93)+1),N_capas,INDEX(COND_INTERSTICIAL[capa lím inf gráf],MATCH(COND_INTERSTICIAL[[#This Row],[Mes]]&amp;"-"&amp;COND_INTERSTICIAL[[#This Row],[Sección]]&amp;"-"&amp;(COND_INTERSTICIAL[[#This Row],[tramo gráf]]+1),COND_INTERSTICIAL[llave tramo gráf],0)))</f>
        <v>#N/A</v>
      </c>
      <c r="EH93" s="114" cm="1">
        <f t="array" aca="1" ref="EH9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3" s="116" t="e" cm="1">
        <f t="array" aca="1" ref="EI9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4" spans="101:139" x14ac:dyDescent="0.45">
      <c r="CW94" s="1" cm="1">
        <f t="array" ref="CW94">ROUNDUP((ROW()-$CN$18+(Mes_inicial_de_análisis-1)*N_capas*N_secciones)/(N_capas*N_secciones),0)-12*IF(ROW()-$CN$18&gt;(12-Mes_inicial_de_análisis+1)*N_capas*N_secciones,1,0)</f>
        <v>12</v>
      </c>
      <c r="CX94" cm="1">
        <f t="array" ref="CX94">ROUNDUP((ROW()-$CN$18)/N_capas-(ROUNDUP((ROW()-$CN$18)/(N_capas*N_secciones),0)-1)*N_secciones,0)</f>
        <v>1</v>
      </c>
      <c r="CY94" cm="1">
        <f t="array" ref="CY94">(ROW()-$CN$18)-(COND_INTERSTICIAL[[#This Row],[Sección]]-1)*N_capas-(ROUNDUP((ROW()-$CN$18)/(N_capas*N_secciones),0)-1)*N_capas*N_secciones</f>
        <v>5</v>
      </c>
      <c r="CZ94" t="str">
        <f>COND_INTERSTICIAL[[#This Row],[Mes]]&amp;"-"&amp;COND_INTERSTICIAL[[#This Row],[Sección]]&amp;"-"&amp;COND_INTERSTICIAL[[#This Row],[Capa]]</f>
        <v>12-1-5</v>
      </c>
      <c r="DA94">
        <f ca="1">INDEX(SECCIONES_CAPAS[R''n],MATCH(COND_INTERSTICIAL[[#This Row],[Sección]]&amp;"-"&amp;COND_INTERSTICIAL[[#This Row],[Capa]],SECCIONES_CAPAS[llave],0))</f>
        <v>0.04</v>
      </c>
      <c r="DB94" s="172" t="e" cm="1">
        <f t="array" aca="1" ref="DB94" ca="1">INDEX(CLIMA[ϴe],COND_INTERSTICIAL[[#This Row],[Mes]])+COND_INTERSTICIAL[[#This Row],[Rn]]*(INDEX(CLIMA[ϴi],COND_INTERSTICIAL[[#This Row],[Mes]])-INDEX(CLIMA[ϴe],COND_INTERSTICIAL[[#This Row],[Mes]]))/(INDEX(SECCIONES[Rtsección_condensación],COND_INTERSTICIAL[[#This Row],[Sección]]))</f>
        <v>#N/A</v>
      </c>
      <c r="DC94">
        <f>INDEX(SECCIONES_CAPAS[Sd],MATCH(COND_INTERSTICIAL[[#This Row],[Sección]]&amp;"-"&amp;COND_INTERSTICIAL[[#This Row],[Capa]],SECCIONES_CAPAS[llave],0))</f>
        <v>0</v>
      </c>
      <c r="DD94">
        <f ca="1">INDEX(SECCIONES_CAPAS[S''d],MATCH(COND_INTERSTICIAL[[#This Row],[Sección]]&amp;"-"&amp;COND_INTERSTICIAL[[#This Row],[Capa]],SECCIONES_CAPAS[llave],0))</f>
        <v>0</v>
      </c>
      <c r="DE94" s="90" t="e">
        <f ca="1">IF(COND_INTERSTICIAL[[#This Row],[ϴn]]&gt;=0,610.5*EXP((17.269*COND_INTERSTICIAL[[#This Row],[ϴn]])/(237.3+COND_INTERSTICIAL[[#This Row],[ϴn]])),610.5*EXP((21.875*COND_INTERSTICIAL[[#This Row],[ϴn]])/(265.5+COND_INTERSTICIAL[[#This Row],[ϴn]])))</f>
        <v>#N/A</v>
      </c>
      <c r="DF94" s="90" t="e" cm="1">
        <f t="array" aca="1" ref="DF94" ca="1">COND_INTERSTICIAL[[#This Row],[S''d]]*((INDEX(CLIMA[Pi],COND_INTERSTICIAL[[#This Row],[Mes]])-INDEX(CLIMA[Pe],COND_INTERSTICIAL[[#This Row],[Mes]]))/INDEX(SECCIONES[SdT],COND_INTERSTICIAL[[#This Row],[Sección]]))+INDEX(CLIMA[Pe],COND_INTERSTICIAL[[#This Row],[Mes]])</f>
        <v>#N/A</v>
      </c>
      <c r="DG94" s="108" t="e">
        <f ca="1">IF((COND_INTERSTICIAL[[#This Row],[Pn]]&gt;=COND_INTERSTICIAL[[#This Row],[Psat]]),TRUE,FALSE)</f>
        <v>#N/A</v>
      </c>
      <c r="DH94" s="109" t="e" cm="1">
        <f t="array" aca="1" ref="DH94" ca="1">IF(COND_INTERSTICIAL[[#This Row],[Condensa]],COND_INTERSTICIAL[[#This Row],[Psat]],IF(COND_INTERSTICIAL[[#This Row],[Capa]]=N_capas,COND_INTERSTICIAL[[#This Row],[Pn]],""))</f>
        <v>#N/A</v>
      </c>
      <c r="DI94" s="109" t="e">
        <f ca="1">COND_INTERSTICIAL[[#This Row],[Mes]]&amp;"-"&amp;COND_INTERSTICIAL[[#This Row],[Sección]]&amp;"-"&amp;COND_INTERSTICIAL[[#This Row],[tramo cond]]</f>
        <v>#N/A</v>
      </c>
      <c r="DJ94" t="e" cm="1">
        <f t="array" aca="1" ref="DJ94" ca="1">IF(COND_INTERSTICIAL[[#This Row],[Capa]]=1,IF(COND_INTERSTICIAL[[#This Row],[Condensa]],2,1),IF(COND_INTERSTICIAL[[#This Row],[Condensa]],1,0)+INDIRECT(ADDRESS(ROW()-1,COLUMN(),4)))</f>
        <v>#N/A</v>
      </c>
      <c r="DK94" s="108" t="e" cm="1">
        <f t="array" aca="1" ref="DK94" ca="1">IF(COND_INTERSTICIAL[[#This Row],[tramo cond]]=1,0,IF((COND_INTERSTICIAL[[#This Row],[tramo cond]]&gt;INDIRECT(ADDRESS(ROW()-1,COLUMN(COND_INTERSTICIAL[[#This Row],[tramo cond]]),4)))+COND_INTERSTICIAL[[#This Row],[Condensa]],COND_INTERSTICIAL[[#This Row],[Capa]],INDIRECT(ADDRESS(ROW()-1,COLUMN(),4))))</f>
        <v>#N/A</v>
      </c>
      <c r="DL94" s="108" t="e" cm="1">
        <f t="array" aca="1" ref="DL94" ca="1">IF((COND_INTERSTICIAL[[#This Row],[Capa]]=N_capas)+(COND_INTERSTICIAL[[#This Row],[tramo cond]]=COUNTIFS(COND_INTERSTICIAL[Condensa],TRUE,COND_INTERSTICIAL[Mes],CW94,COND_INTERSTICIAL[Sección],CX94)+1),N_capas,INDEX(COND_INTERSTICIAL[capa lím inf cond],MATCH(COND_INTERSTICIAL[[#This Row],[Mes]]&amp;"-"&amp;COND_INTERSTICIAL[[#This Row],[Sección]]&amp;"-"&amp;(COND_INTERSTICIAL[[#This Row],[tramo cond]]+1),COND_INTERSTICIAL[llave tramo cond],0)))</f>
        <v>#N/A</v>
      </c>
      <c r="DM94" s="108" cm="1">
        <f t="array" aca="1" ref="DM9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4" s="110" t="e" cm="1">
        <f t="array" aca="1" ref="DN9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4" s="107" t="e">
        <f ca="1">COND_INTERSTICIAL[[#This Row],[gc]]+COND_INTERSTICIAL[[#This Row],[Ma_anterior cond]]</f>
        <v>#N/A</v>
      </c>
      <c r="DQ94" s="113" t="e">
        <f ca="1">IF((COND_INTERSTICIAL[[#This Row],[Ma_anterior cond]]&gt;0)*NOT(COND_INTERSTICIAL[[#This Row],[Condensa]]),TRUE,FALSE)</f>
        <v>#N/A</v>
      </c>
      <c r="DR94" s="112" t="e" cm="1">
        <f t="array" aca="1" ref="DR94" ca="1">IF(COND_INTERSTICIAL[[#This Row],[evapora]],COND_INTERSTICIAL[[#This Row],[Psat]],IF(COND_INTERSTICIAL[[#This Row],[Capa]]=N_capas,COND_INTERSTICIAL[[#This Row],[Pn]],""))</f>
        <v>#N/A</v>
      </c>
      <c r="DS94" s="112" t="e">
        <f ca="1">COND_INTERSTICIAL[[#This Row],[Mes]]&amp;"-"&amp;COND_INTERSTICIAL[[#This Row],[Sección]]&amp;"-"&amp;COND_INTERSTICIAL[[#This Row],[tramo ev]]</f>
        <v>#N/A</v>
      </c>
      <c r="DT94" s="111" t="e" cm="1">
        <f t="array" aca="1" ref="DT94" ca="1">IF(COND_INTERSTICIAL[[#This Row],[Capa]]=1,IF(COND_INTERSTICIAL[[#This Row],[evapora]],2,1),IF(COND_INTERSTICIAL[[#This Row],[evapora]],1,0)+INDIRECT(ADDRESS(ROW()-1,COLUMN(),4)))</f>
        <v>#N/A</v>
      </c>
      <c r="DU94" s="111" t="e" cm="1">
        <f t="array" aca="1" ref="DU94" ca="1">IF(COND_INTERSTICIAL[[#This Row],[tramo ev]]=1,0,IF((COND_INTERSTICIAL[[#This Row],[tramo ev]]&gt;INDIRECT(ADDRESS(ROW()-1,COLUMN(COND_INTERSTICIAL[[#This Row],[tramo ev]]),4)))+COND_INTERSTICIAL[[#This Row],[evapora]],COND_INTERSTICIAL[[#This Row],[Capa]],INDIRECT(ADDRESS(ROW()-1,COLUMN(),4))))</f>
        <v>#N/A</v>
      </c>
      <c r="DV94" s="111" t="e" cm="1">
        <f t="array" aca="1" ref="DV94" ca="1">IF((COND_INTERSTICIAL[[#This Row],[Capa]]=N_capas)+(COND_INTERSTICIAL[[#This Row],[tramo ev]]=COUNTIFS(COND_INTERSTICIAL[evapora],TRUE,COND_INTERSTICIAL[Mes],CW94,COND_INTERSTICIAL[Sección],CX94)+1),N_capas,INDEX(COND_INTERSTICIAL[capa lím inf ev],MATCH(COND_INTERSTICIAL[[#This Row],[Mes]]&amp;"-"&amp;COND_INTERSTICIAL[[#This Row],[Sección]]&amp;"-"&amp;(COND_INTERSTICIAL[[#This Row],[tramo ev]]+1),COND_INTERSTICIAL[llave tramo ev],0)))</f>
        <v>#N/A</v>
      </c>
      <c r="DW94" s="111" cm="1">
        <f t="array" aca="1" ref="DW9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4" s="113" t="e" cm="1">
        <f t="array" aca="1" ref="DX9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4" s="113" t="e">
        <f ca="1">COND_INTERSTICIAL[[#This Row],[gev]]+COND_INTERSTICIAL[[#This Row],[Ma anterior ev]]</f>
        <v>#N/A</v>
      </c>
      <c r="EA94" s="115" t="e">
        <f ca="1">IF(COND_INTERSTICIAL[[#This Row],[Ma cond]]+COND_INTERSTICIAL[[#This Row],[Ma ev]]&lt;=0,0,COND_INTERSTICIAL[[#This Row],[Ma cond]]+COND_INTERSTICIAL[[#This Row],[Ma ev]])</f>
        <v>#N/A</v>
      </c>
      <c r="EB94" s="115" t="e">
        <f ca="1">IF(COND_INTERSTICIAL[[#This Row],[Ma]]&gt;0,TRUE,FALSE)</f>
        <v>#N/A</v>
      </c>
      <c r="EC94" s="115" t="e" cm="1">
        <f t="array" aca="1" ref="EC94" ca="1">IF(COND_INTERSTICIAL[[#This Row],[agua líquida]],IF(COND_INTERSTICIAL[[#This Row],[Condensa]],COND_INTERSTICIAL[[#This Row],[P límite cond]],COND_INTERSTICIAL[[#This Row],[P límite ev]]),IF(COND_INTERSTICIAL[[#This Row],[Capa]]=N_capas,COND_INTERSTICIAL[[#This Row],[Pn]],""))</f>
        <v>#N/A</v>
      </c>
      <c r="ED94" s="115" t="e">
        <f ca="1">COND_INTERSTICIAL[[#This Row],[Mes]]&amp;"-"&amp;COND_INTERSTICIAL[[#This Row],[Sección]]&amp;"-"&amp;COND_INTERSTICIAL[[#This Row],[tramo gráf]]</f>
        <v>#N/A</v>
      </c>
      <c r="EE94" s="114" t="e" cm="1">
        <f t="array" aca="1" ref="EE94" ca="1">IF(COND_INTERSTICIAL[[#This Row],[Capa]]=1,IF(COND_INTERSTICIAL[[#This Row],[agua líquida]],2,1),IF(COND_INTERSTICIAL[[#This Row],[agua líquida]],1,0)+INDIRECT(ADDRESS(ROW()-1,COLUMN(),4)))</f>
        <v>#N/A</v>
      </c>
      <c r="EF94" s="114" t="e" cm="1">
        <f t="array" aca="1" ref="EF94" ca="1">IF(COND_INTERSTICIAL[[#This Row],[tramo gráf]]=1,0,IF((COND_INTERSTICIAL[[#This Row],[tramo gráf]]&gt;INDIRECT(ADDRESS(ROW()-1,COLUMN(COND_INTERSTICIAL[[#This Row],[tramo gráf]]),4)))+COND_INTERSTICIAL[[#This Row],[agua líquida]],COND_INTERSTICIAL[[#This Row],[Capa]],INDIRECT(ADDRESS(ROW()-1,COLUMN(),4))))</f>
        <v>#N/A</v>
      </c>
      <c r="EG94" s="114" t="e" cm="1">
        <f t="array" aca="1" ref="EG94" ca="1">IF((COND_INTERSTICIAL[[#This Row],[Capa]]=N_capas)+(COND_INTERSTICIAL[[#This Row],[tramo gráf]]=COUNTIFS(COND_INTERSTICIAL[agua líquida],TRUE,COND_INTERSTICIAL[Mes],CW94,COND_INTERSTICIAL[Sección],CX94)+1),N_capas,INDEX(COND_INTERSTICIAL[capa lím inf gráf],MATCH(COND_INTERSTICIAL[[#This Row],[Mes]]&amp;"-"&amp;COND_INTERSTICIAL[[#This Row],[Sección]]&amp;"-"&amp;(COND_INTERSTICIAL[[#This Row],[tramo gráf]]+1),COND_INTERSTICIAL[llave tramo gráf],0)))</f>
        <v>#N/A</v>
      </c>
      <c r="EH94" s="114" cm="1">
        <f t="array" aca="1" ref="EH9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4" s="116" t="e" cm="1">
        <f t="array" aca="1" ref="EI9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5" spans="101:139" x14ac:dyDescent="0.45">
      <c r="CW95" s="1" cm="1">
        <f t="array" ref="CW95">ROUNDUP((ROW()-$CN$18+(Mes_inicial_de_análisis-1)*N_capas*N_secciones)/(N_capas*N_secciones),0)-12*IF(ROW()-$CN$18&gt;(12-Mes_inicial_de_análisis+1)*N_capas*N_secciones,1,0)</f>
        <v>12</v>
      </c>
      <c r="CX95" cm="1">
        <f t="array" ref="CX95">ROUNDUP((ROW()-$CN$18)/N_capas-(ROUNDUP((ROW()-$CN$18)/(N_capas*N_secciones),0)-1)*N_secciones,0)</f>
        <v>1</v>
      </c>
      <c r="CY95" cm="1">
        <f t="array" ref="CY95">(ROW()-$CN$18)-(COND_INTERSTICIAL[[#This Row],[Sección]]-1)*N_capas-(ROUNDUP((ROW()-$CN$18)/(N_capas*N_secciones),0)-1)*N_capas*N_secciones</f>
        <v>6</v>
      </c>
      <c r="CZ95" t="str">
        <f>COND_INTERSTICIAL[[#This Row],[Mes]]&amp;"-"&amp;COND_INTERSTICIAL[[#This Row],[Sección]]&amp;"-"&amp;COND_INTERSTICIAL[[#This Row],[Capa]]</f>
        <v>12-1-6</v>
      </c>
      <c r="DA95">
        <f ca="1">INDEX(SECCIONES_CAPAS[R''n],MATCH(COND_INTERSTICIAL[[#This Row],[Sección]]&amp;"-"&amp;COND_INTERSTICIAL[[#This Row],[Capa]],SECCIONES_CAPAS[llave],0))</f>
        <v>0.04</v>
      </c>
      <c r="DB95" s="172" t="e" cm="1">
        <f t="array" aca="1" ref="DB95" ca="1">INDEX(CLIMA[ϴe],COND_INTERSTICIAL[[#This Row],[Mes]])+COND_INTERSTICIAL[[#This Row],[Rn]]*(INDEX(CLIMA[ϴi],COND_INTERSTICIAL[[#This Row],[Mes]])-INDEX(CLIMA[ϴe],COND_INTERSTICIAL[[#This Row],[Mes]]))/(INDEX(SECCIONES[Rtsección_condensación],COND_INTERSTICIAL[[#This Row],[Sección]]))</f>
        <v>#N/A</v>
      </c>
      <c r="DC95">
        <f>INDEX(SECCIONES_CAPAS[Sd],MATCH(COND_INTERSTICIAL[[#This Row],[Sección]]&amp;"-"&amp;COND_INTERSTICIAL[[#This Row],[Capa]],SECCIONES_CAPAS[llave],0))</f>
        <v>0</v>
      </c>
      <c r="DD95">
        <f ca="1">INDEX(SECCIONES_CAPAS[S''d],MATCH(COND_INTERSTICIAL[[#This Row],[Sección]]&amp;"-"&amp;COND_INTERSTICIAL[[#This Row],[Capa]],SECCIONES_CAPAS[llave],0))</f>
        <v>0</v>
      </c>
      <c r="DE95" s="90" t="e">
        <f ca="1">IF(COND_INTERSTICIAL[[#This Row],[ϴn]]&gt;=0,610.5*EXP((17.269*COND_INTERSTICIAL[[#This Row],[ϴn]])/(237.3+COND_INTERSTICIAL[[#This Row],[ϴn]])),610.5*EXP((21.875*COND_INTERSTICIAL[[#This Row],[ϴn]])/(265.5+COND_INTERSTICIAL[[#This Row],[ϴn]])))</f>
        <v>#N/A</v>
      </c>
      <c r="DF95" s="90" t="e" cm="1">
        <f t="array" aca="1" ref="DF95" ca="1">COND_INTERSTICIAL[[#This Row],[S''d]]*((INDEX(CLIMA[Pi],COND_INTERSTICIAL[[#This Row],[Mes]])-INDEX(CLIMA[Pe],COND_INTERSTICIAL[[#This Row],[Mes]]))/INDEX(SECCIONES[SdT],COND_INTERSTICIAL[[#This Row],[Sección]]))+INDEX(CLIMA[Pe],COND_INTERSTICIAL[[#This Row],[Mes]])</f>
        <v>#N/A</v>
      </c>
      <c r="DG95" s="108" t="e">
        <f ca="1">IF((COND_INTERSTICIAL[[#This Row],[Pn]]&gt;=COND_INTERSTICIAL[[#This Row],[Psat]]),TRUE,FALSE)</f>
        <v>#N/A</v>
      </c>
      <c r="DH95" s="109" t="e" cm="1">
        <f t="array" aca="1" ref="DH95" ca="1">IF(COND_INTERSTICIAL[[#This Row],[Condensa]],COND_INTERSTICIAL[[#This Row],[Psat]],IF(COND_INTERSTICIAL[[#This Row],[Capa]]=N_capas,COND_INTERSTICIAL[[#This Row],[Pn]],""))</f>
        <v>#N/A</v>
      </c>
      <c r="DI95" s="109" t="e">
        <f ca="1">COND_INTERSTICIAL[[#This Row],[Mes]]&amp;"-"&amp;COND_INTERSTICIAL[[#This Row],[Sección]]&amp;"-"&amp;COND_INTERSTICIAL[[#This Row],[tramo cond]]</f>
        <v>#N/A</v>
      </c>
      <c r="DJ95" t="e" cm="1">
        <f t="array" aca="1" ref="DJ95" ca="1">IF(COND_INTERSTICIAL[[#This Row],[Capa]]=1,IF(COND_INTERSTICIAL[[#This Row],[Condensa]],2,1),IF(COND_INTERSTICIAL[[#This Row],[Condensa]],1,0)+INDIRECT(ADDRESS(ROW()-1,COLUMN(),4)))</f>
        <v>#N/A</v>
      </c>
      <c r="DK95" s="108" t="e" cm="1">
        <f t="array" aca="1" ref="DK95" ca="1">IF(COND_INTERSTICIAL[[#This Row],[tramo cond]]=1,0,IF((COND_INTERSTICIAL[[#This Row],[tramo cond]]&gt;INDIRECT(ADDRESS(ROW()-1,COLUMN(COND_INTERSTICIAL[[#This Row],[tramo cond]]),4)))+COND_INTERSTICIAL[[#This Row],[Condensa]],COND_INTERSTICIAL[[#This Row],[Capa]],INDIRECT(ADDRESS(ROW()-1,COLUMN(),4))))</f>
        <v>#N/A</v>
      </c>
      <c r="DL95" s="108" t="e" cm="1">
        <f t="array" aca="1" ref="DL95" ca="1">IF((COND_INTERSTICIAL[[#This Row],[Capa]]=N_capas)+(COND_INTERSTICIAL[[#This Row],[tramo cond]]=COUNTIFS(COND_INTERSTICIAL[Condensa],TRUE,COND_INTERSTICIAL[Mes],CW95,COND_INTERSTICIAL[Sección],CX95)+1),N_capas,INDEX(COND_INTERSTICIAL[capa lím inf cond],MATCH(COND_INTERSTICIAL[[#This Row],[Mes]]&amp;"-"&amp;COND_INTERSTICIAL[[#This Row],[Sección]]&amp;"-"&amp;(COND_INTERSTICIAL[[#This Row],[tramo cond]]+1),COND_INTERSTICIAL[llave tramo cond],0)))</f>
        <v>#N/A</v>
      </c>
      <c r="DM95" s="108" cm="1">
        <f t="array" aca="1" ref="DM9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5" s="110" t="e" cm="1">
        <f t="array" aca="1" ref="DN9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5" s="107" t="e">
        <f ca="1">COND_INTERSTICIAL[[#This Row],[gc]]+COND_INTERSTICIAL[[#This Row],[Ma_anterior cond]]</f>
        <v>#N/A</v>
      </c>
      <c r="DQ95" s="113" t="e">
        <f ca="1">IF((COND_INTERSTICIAL[[#This Row],[Ma_anterior cond]]&gt;0)*NOT(COND_INTERSTICIAL[[#This Row],[Condensa]]),TRUE,FALSE)</f>
        <v>#N/A</v>
      </c>
      <c r="DR95" s="112" t="e" cm="1">
        <f t="array" aca="1" ref="DR95" ca="1">IF(COND_INTERSTICIAL[[#This Row],[evapora]],COND_INTERSTICIAL[[#This Row],[Psat]],IF(COND_INTERSTICIAL[[#This Row],[Capa]]=N_capas,COND_INTERSTICIAL[[#This Row],[Pn]],""))</f>
        <v>#N/A</v>
      </c>
      <c r="DS95" s="112" t="e">
        <f ca="1">COND_INTERSTICIAL[[#This Row],[Mes]]&amp;"-"&amp;COND_INTERSTICIAL[[#This Row],[Sección]]&amp;"-"&amp;COND_INTERSTICIAL[[#This Row],[tramo ev]]</f>
        <v>#N/A</v>
      </c>
      <c r="DT95" s="111" t="e" cm="1">
        <f t="array" aca="1" ref="DT95" ca="1">IF(COND_INTERSTICIAL[[#This Row],[Capa]]=1,IF(COND_INTERSTICIAL[[#This Row],[evapora]],2,1),IF(COND_INTERSTICIAL[[#This Row],[evapora]],1,0)+INDIRECT(ADDRESS(ROW()-1,COLUMN(),4)))</f>
        <v>#N/A</v>
      </c>
      <c r="DU95" s="111" t="e" cm="1">
        <f t="array" aca="1" ref="DU95" ca="1">IF(COND_INTERSTICIAL[[#This Row],[tramo ev]]=1,0,IF((COND_INTERSTICIAL[[#This Row],[tramo ev]]&gt;INDIRECT(ADDRESS(ROW()-1,COLUMN(COND_INTERSTICIAL[[#This Row],[tramo ev]]),4)))+COND_INTERSTICIAL[[#This Row],[evapora]],COND_INTERSTICIAL[[#This Row],[Capa]],INDIRECT(ADDRESS(ROW()-1,COLUMN(),4))))</f>
        <v>#N/A</v>
      </c>
      <c r="DV95" s="111" t="e" cm="1">
        <f t="array" aca="1" ref="DV95" ca="1">IF((COND_INTERSTICIAL[[#This Row],[Capa]]=N_capas)+(COND_INTERSTICIAL[[#This Row],[tramo ev]]=COUNTIFS(COND_INTERSTICIAL[evapora],TRUE,COND_INTERSTICIAL[Mes],CW95,COND_INTERSTICIAL[Sección],CX95)+1),N_capas,INDEX(COND_INTERSTICIAL[capa lím inf ev],MATCH(COND_INTERSTICIAL[[#This Row],[Mes]]&amp;"-"&amp;COND_INTERSTICIAL[[#This Row],[Sección]]&amp;"-"&amp;(COND_INTERSTICIAL[[#This Row],[tramo ev]]+1),COND_INTERSTICIAL[llave tramo ev],0)))</f>
        <v>#N/A</v>
      </c>
      <c r="DW95" s="111" cm="1">
        <f t="array" aca="1" ref="DW9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5" s="113" t="e" cm="1">
        <f t="array" aca="1" ref="DX9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5" s="113" t="e">
        <f ca="1">COND_INTERSTICIAL[[#This Row],[gev]]+COND_INTERSTICIAL[[#This Row],[Ma anterior ev]]</f>
        <v>#N/A</v>
      </c>
      <c r="EA95" s="115" t="e">
        <f ca="1">IF(COND_INTERSTICIAL[[#This Row],[Ma cond]]+COND_INTERSTICIAL[[#This Row],[Ma ev]]&lt;=0,0,COND_INTERSTICIAL[[#This Row],[Ma cond]]+COND_INTERSTICIAL[[#This Row],[Ma ev]])</f>
        <v>#N/A</v>
      </c>
      <c r="EB95" s="115" t="e">
        <f ca="1">IF(COND_INTERSTICIAL[[#This Row],[Ma]]&gt;0,TRUE,FALSE)</f>
        <v>#N/A</v>
      </c>
      <c r="EC95" s="115" t="e" cm="1">
        <f t="array" aca="1" ref="EC95" ca="1">IF(COND_INTERSTICIAL[[#This Row],[agua líquida]],IF(COND_INTERSTICIAL[[#This Row],[Condensa]],COND_INTERSTICIAL[[#This Row],[P límite cond]],COND_INTERSTICIAL[[#This Row],[P límite ev]]),IF(COND_INTERSTICIAL[[#This Row],[Capa]]=N_capas,COND_INTERSTICIAL[[#This Row],[Pn]],""))</f>
        <v>#N/A</v>
      </c>
      <c r="ED95" s="115" t="e">
        <f ca="1">COND_INTERSTICIAL[[#This Row],[Mes]]&amp;"-"&amp;COND_INTERSTICIAL[[#This Row],[Sección]]&amp;"-"&amp;COND_INTERSTICIAL[[#This Row],[tramo gráf]]</f>
        <v>#N/A</v>
      </c>
      <c r="EE95" s="114" t="e" cm="1">
        <f t="array" aca="1" ref="EE95" ca="1">IF(COND_INTERSTICIAL[[#This Row],[Capa]]=1,IF(COND_INTERSTICIAL[[#This Row],[agua líquida]],2,1),IF(COND_INTERSTICIAL[[#This Row],[agua líquida]],1,0)+INDIRECT(ADDRESS(ROW()-1,COLUMN(),4)))</f>
        <v>#N/A</v>
      </c>
      <c r="EF95" s="114" t="e" cm="1">
        <f t="array" aca="1" ref="EF95" ca="1">IF(COND_INTERSTICIAL[[#This Row],[tramo gráf]]=1,0,IF((COND_INTERSTICIAL[[#This Row],[tramo gráf]]&gt;INDIRECT(ADDRESS(ROW()-1,COLUMN(COND_INTERSTICIAL[[#This Row],[tramo gráf]]),4)))+COND_INTERSTICIAL[[#This Row],[agua líquida]],COND_INTERSTICIAL[[#This Row],[Capa]],INDIRECT(ADDRESS(ROW()-1,COLUMN(),4))))</f>
        <v>#N/A</v>
      </c>
      <c r="EG95" s="114" t="e" cm="1">
        <f t="array" aca="1" ref="EG95" ca="1">IF((COND_INTERSTICIAL[[#This Row],[Capa]]=N_capas)+(COND_INTERSTICIAL[[#This Row],[tramo gráf]]=COUNTIFS(COND_INTERSTICIAL[agua líquida],TRUE,COND_INTERSTICIAL[Mes],CW95,COND_INTERSTICIAL[Sección],CX95)+1),N_capas,INDEX(COND_INTERSTICIAL[capa lím inf gráf],MATCH(COND_INTERSTICIAL[[#This Row],[Mes]]&amp;"-"&amp;COND_INTERSTICIAL[[#This Row],[Sección]]&amp;"-"&amp;(COND_INTERSTICIAL[[#This Row],[tramo gráf]]+1),COND_INTERSTICIAL[llave tramo gráf],0)))</f>
        <v>#N/A</v>
      </c>
      <c r="EH95" s="114" cm="1">
        <f t="array" aca="1" ref="EH9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5" s="116" t="e" cm="1">
        <f t="array" aca="1" ref="EI9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6" spans="101:139" x14ac:dyDescent="0.45">
      <c r="CW96" s="1" cm="1">
        <f t="array" ref="CW96">ROUNDUP((ROW()-$CN$18+(Mes_inicial_de_análisis-1)*N_capas*N_secciones)/(N_capas*N_secciones),0)-12*IF(ROW()-$CN$18&gt;(12-Mes_inicial_de_análisis+1)*N_capas*N_secciones,1,0)</f>
        <v>12</v>
      </c>
      <c r="CX96" cm="1">
        <f t="array" ref="CX96">ROUNDUP((ROW()-$CN$18)/N_capas-(ROUNDUP((ROW()-$CN$18)/(N_capas*N_secciones),0)-1)*N_secciones,0)</f>
        <v>1</v>
      </c>
      <c r="CY96" cm="1">
        <f t="array" ref="CY96">(ROW()-$CN$18)-(COND_INTERSTICIAL[[#This Row],[Sección]]-1)*N_capas-(ROUNDUP((ROW()-$CN$18)/(N_capas*N_secciones),0)-1)*N_capas*N_secciones</f>
        <v>7</v>
      </c>
      <c r="CZ96" t="str">
        <f>COND_INTERSTICIAL[[#This Row],[Mes]]&amp;"-"&amp;COND_INTERSTICIAL[[#This Row],[Sección]]&amp;"-"&amp;COND_INTERSTICIAL[[#This Row],[Capa]]</f>
        <v>12-1-7</v>
      </c>
      <c r="DA96">
        <f ca="1">INDEX(SECCIONES_CAPAS[R''n],MATCH(COND_INTERSTICIAL[[#This Row],[Sección]]&amp;"-"&amp;COND_INTERSTICIAL[[#This Row],[Capa]],SECCIONES_CAPAS[llave],0))</f>
        <v>0.04</v>
      </c>
      <c r="DB96" s="172" t="e" cm="1">
        <f t="array" aca="1" ref="DB96" ca="1">INDEX(CLIMA[ϴe],COND_INTERSTICIAL[[#This Row],[Mes]])+COND_INTERSTICIAL[[#This Row],[Rn]]*(INDEX(CLIMA[ϴi],COND_INTERSTICIAL[[#This Row],[Mes]])-INDEX(CLIMA[ϴe],COND_INTERSTICIAL[[#This Row],[Mes]]))/(INDEX(SECCIONES[Rtsección_condensación],COND_INTERSTICIAL[[#This Row],[Sección]]))</f>
        <v>#N/A</v>
      </c>
      <c r="DC96">
        <f>INDEX(SECCIONES_CAPAS[Sd],MATCH(COND_INTERSTICIAL[[#This Row],[Sección]]&amp;"-"&amp;COND_INTERSTICIAL[[#This Row],[Capa]],SECCIONES_CAPAS[llave],0))</f>
        <v>0</v>
      </c>
      <c r="DD96">
        <f ca="1">INDEX(SECCIONES_CAPAS[S''d],MATCH(COND_INTERSTICIAL[[#This Row],[Sección]]&amp;"-"&amp;COND_INTERSTICIAL[[#This Row],[Capa]],SECCIONES_CAPAS[llave],0))</f>
        <v>0</v>
      </c>
      <c r="DE96" s="90" t="e">
        <f ca="1">IF(COND_INTERSTICIAL[[#This Row],[ϴn]]&gt;=0,610.5*EXP((17.269*COND_INTERSTICIAL[[#This Row],[ϴn]])/(237.3+COND_INTERSTICIAL[[#This Row],[ϴn]])),610.5*EXP((21.875*COND_INTERSTICIAL[[#This Row],[ϴn]])/(265.5+COND_INTERSTICIAL[[#This Row],[ϴn]])))</f>
        <v>#N/A</v>
      </c>
      <c r="DF96" s="90" t="e" cm="1">
        <f t="array" aca="1" ref="DF96" ca="1">COND_INTERSTICIAL[[#This Row],[S''d]]*((INDEX(CLIMA[Pi],COND_INTERSTICIAL[[#This Row],[Mes]])-INDEX(CLIMA[Pe],COND_INTERSTICIAL[[#This Row],[Mes]]))/INDEX(SECCIONES[SdT],COND_INTERSTICIAL[[#This Row],[Sección]]))+INDEX(CLIMA[Pe],COND_INTERSTICIAL[[#This Row],[Mes]])</f>
        <v>#N/A</v>
      </c>
      <c r="DG96" s="108" t="e">
        <f ca="1">IF((COND_INTERSTICIAL[[#This Row],[Pn]]&gt;=COND_INTERSTICIAL[[#This Row],[Psat]]),TRUE,FALSE)</f>
        <v>#N/A</v>
      </c>
      <c r="DH96" s="109" t="e" cm="1">
        <f t="array" aca="1" ref="DH96" ca="1">IF(COND_INTERSTICIAL[[#This Row],[Condensa]],COND_INTERSTICIAL[[#This Row],[Psat]],IF(COND_INTERSTICIAL[[#This Row],[Capa]]=N_capas,COND_INTERSTICIAL[[#This Row],[Pn]],""))</f>
        <v>#N/A</v>
      </c>
      <c r="DI96" s="109" t="e">
        <f ca="1">COND_INTERSTICIAL[[#This Row],[Mes]]&amp;"-"&amp;COND_INTERSTICIAL[[#This Row],[Sección]]&amp;"-"&amp;COND_INTERSTICIAL[[#This Row],[tramo cond]]</f>
        <v>#N/A</v>
      </c>
      <c r="DJ96" t="e" cm="1">
        <f t="array" aca="1" ref="DJ96" ca="1">IF(COND_INTERSTICIAL[[#This Row],[Capa]]=1,IF(COND_INTERSTICIAL[[#This Row],[Condensa]],2,1),IF(COND_INTERSTICIAL[[#This Row],[Condensa]],1,0)+INDIRECT(ADDRESS(ROW()-1,COLUMN(),4)))</f>
        <v>#N/A</v>
      </c>
      <c r="DK96" s="108" t="e" cm="1">
        <f t="array" aca="1" ref="DK96" ca="1">IF(COND_INTERSTICIAL[[#This Row],[tramo cond]]=1,0,IF((COND_INTERSTICIAL[[#This Row],[tramo cond]]&gt;INDIRECT(ADDRESS(ROW()-1,COLUMN(COND_INTERSTICIAL[[#This Row],[tramo cond]]),4)))+COND_INTERSTICIAL[[#This Row],[Condensa]],COND_INTERSTICIAL[[#This Row],[Capa]],INDIRECT(ADDRESS(ROW()-1,COLUMN(),4))))</f>
        <v>#N/A</v>
      </c>
      <c r="DL96" s="108" t="e" cm="1">
        <f t="array" aca="1" ref="DL96" ca="1">IF((COND_INTERSTICIAL[[#This Row],[Capa]]=N_capas)+(COND_INTERSTICIAL[[#This Row],[tramo cond]]=COUNTIFS(COND_INTERSTICIAL[Condensa],TRUE,COND_INTERSTICIAL[Mes],CW96,COND_INTERSTICIAL[Sección],CX96)+1),N_capas,INDEX(COND_INTERSTICIAL[capa lím inf cond],MATCH(COND_INTERSTICIAL[[#This Row],[Mes]]&amp;"-"&amp;COND_INTERSTICIAL[[#This Row],[Sección]]&amp;"-"&amp;(COND_INTERSTICIAL[[#This Row],[tramo cond]]+1),COND_INTERSTICIAL[llave tramo cond],0)))</f>
        <v>#N/A</v>
      </c>
      <c r="DM96" s="108" cm="1">
        <f t="array" aca="1" ref="DM9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6" s="110" t="e" cm="1">
        <f t="array" aca="1" ref="DN9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6" s="107" t="e">
        <f ca="1">COND_INTERSTICIAL[[#This Row],[gc]]+COND_INTERSTICIAL[[#This Row],[Ma_anterior cond]]</f>
        <v>#N/A</v>
      </c>
      <c r="DQ96" s="113" t="e">
        <f ca="1">IF((COND_INTERSTICIAL[[#This Row],[Ma_anterior cond]]&gt;0)*NOT(COND_INTERSTICIAL[[#This Row],[Condensa]]),TRUE,FALSE)</f>
        <v>#N/A</v>
      </c>
      <c r="DR96" s="112" t="e" cm="1">
        <f t="array" aca="1" ref="DR96" ca="1">IF(COND_INTERSTICIAL[[#This Row],[evapora]],COND_INTERSTICIAL[[#This Row],[Psat]],IF(COND_INTERSTICIAL[[#This Row],[Capa]]=N_capas,COND_INTERSTICIAL[[#This Row],[Pn]],""))</f>
        <v>#N/A</v>
      </c>
      <c r="DS96" s="112" t="e">
        <f ca="1">COND_INTERSTICIAL[[#This Row],[Mes]]&amp;"-"&amp;COND_INTERSTICIAL[[#This Row],[Sección]]&amp;"-"&amp;COND_INTERSTICIAL[[#This Row],[tramo ev]]</f>
        <v>#N/A</v>
      </c>
      <c r="DT96" s="111" t="e" cm="1">
        <f t="array" aca="1" ref="DT96" ca="1">IF(COND_INTERSTICIAL[[#This Row],[Capa]]=1,IF(COND_INTERSTICIAL[[#This Row],[evapora]],2,1),IF(COND_INTERSTICIAL[[#This Row],[evapora]],1,0)+INDIRECT(ADDRESS(ROW()-1,COLUMN(),4)))</f>
        <v>#N/A</v>
      </c>
      <c r="DU96" s="111" t="e" cm="1">
        <f t="array" aca="1" ref="DU96" ca="1">IF(COND_INTERSTICIAL[[#This Row],[tramo ev]]=1,0,IF((COND_INTERSTICIAL[[#This Row],[tramo ev]]&gt;INDIRECT(ADDRESS(ROW()-1,COLUMN(COND_INTERSTICIAL[[#This Row],[tramo ev]]),4)))+COND_INTERSTICIAL[[#This Row],[evapora]],COND_INTERSTICIAL[[#This Row],[Capa]],INDIRECT(ADDRESS(ROW()-1,COLUMN(),4))))</f>
        <v>#N/A</v>
      </c>
      <c r="DV96" s="111" t="e" cm="1">
        <f t="array" aca="1" ref="DV96" ca="1">IF((COND_INTERSTICIAL[[#This Row],[Capa]]=N_capas)+(COND_INTERSTICIAL[[#This Row],[tramo ev]]=COUNTIFS(COND_INTERSTICIAL[evapora],TRUE,COND_INTERSTICIAL[Mes],CW96,COND_INTERSTICIAL[Sección],CX96)+1),N_capas,INDEX(COND_INTERSTICIAL[capa lím inf ev],MATCH(COND_INTERSTICIAL[[#This Row],[Mes]]&amp;"-"&amp;COND_INTERSTICIAL[[#This Row],[Sección]]&amp;"-"&amp;(COND_INTERSTICIAL[[#This Row],[tramo ev]]+1),COND_INTERSTICIAL[llave tramo ev],0)))</f>
        <v>#N/A</v>
      </c>
      <c r="DW96" s="111" cm="1">
        <f t="array" aca="1" ref="DW9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6" s="113" t="e" cm="1">
        <f t="array" aca="1" ref="DX9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6" s="113" t="e">
        <f ca="1">COND_INTERSTICIAL[[#This Row],[gev]]+COND_INTERSTICIAL[[#This Row],[Ma anterior ev]]</f>
        <v>#N/A</v>
      </c>
      <c r="EA96" s="115" t="e">
        <f ca="1">IF(COND_INTERSTICIAL[[#This Row],[Ma cond]]+COND_INTERSTICIAL[[#This Row],[Ma ev]]&lt;=0,0,COND_INTERSTICIAL[[#This Row],[Ma cond]]+COND_INTERSTICIAL[[#This Row],[Ma ev]])</f>
        <v>#N/A</v>
      </c>
      <c r="EB96" s="115" t="e">
        <f ca="1">IF(COND_INTERSTICIAL[[#This Row],[Ma]]&gt;0,TRUE,FALSE)</f>
        <v>#N/A</v>
      </c>
      <c r="EC96" s="115" t="e" cm="1">
        <f t="array" aca="1" ref="EC96" ca="1">IF(COND_INTERSTICIAL[[#This Row],[agua líquida]],IF(COND_INTERSTICIAL[[#This Row],[Condensa]],COND_INTERSTICIAL[[#This Row],[P límite cond]],COND_INTERSTICIAL[[#This Row],[P límite ev]]),IF(COND_INTERSTICIAL[[#This Row],[Capa]]=N_capas,COND_INTERSTICIAL[[#This Row],[Pn]],""))</f>
        <v>#N/A</v>
      </c>
      <c r="ED96" s="115" t="e">
        <f ca="1">COND_INTERSTICIAL[[#This Row],[Mes]]&amp;"-"&amp;COND_INTERSTICIAL[[#This Row],[Sección]]&amp;"-"&amp;COND_INTERSTICIAL[[#This Row],[tramo gráf]]</f>
        <v>#N/A</v>
      </c>
      <c r="EE96" s="114" t="e" cm="1">
        <f t="array" aca="1" ref="EE96" ca="1">IF(COND_INTERSTICIAL[[#This Row],[Capa]]=1,IF(COND_INTERSTICIAL[[#This Row],[agua líquida]],2,1),IF(COND_INTERSTICIAL[[#This Row],[agua líquida]],1,0)+INDIRECT(ADDRESS(ROW()-1,COLUMN(),4)))</f>
        <v>#N/A</v>
      </c>
      <c r="EF96" s="114" t="e" cm="1">
        <f t="array" aca="1" ref="EF96" ca="1">IF(COND_INTERSTICIAL[[#This Row],[tramo gráf]]=1,0,IF((COND_INTERSTICIAL[[#This Row],[tramo gráf]]&gt;INDIRECT(ADDRESS(ROW()-1,COLUMN(COND_INTERSTICIAL[[#This Row],[tramo gráf]]),4)))+COND_INTERSTICIAL[[#This Row],[agua líquida]],COND_INTERSTICIAL[[#This Row],[Capa]],INDIRECT(ADDRESS(ROW()-1,COLUMN(),4))))</f>
        <v>#N/A</v>
      </c>
      <c r="EG96" s="114" t="e" cm="1">
        <f t="array" aca="1" ref="EG96" ca="1">IF((COND_INTERSTICIAL[[#This Row],[Capa]]=N_capas)+(COND_INTERSTICIAL[[#This Row],[tramo gráf]]=COUNTIFS(COND_INTERSTICIAL[agua líquida],TRUE,COND_INTERSTICIAL[Mes],CW96,COND_INTERSTICIAL[Sección],CX96)+1),N_capas,INDEX(COND_INTERSTICIAL[capa lím inf gráf],MATCH(COND_INTERSTICIAL[[#This Row],[Mes]]&amp;"-"&amp;COND_INTERSTICIAL[[#This Row],[Sección]]&amp;"-"&amp;(COND_INTERSTICIAL[[#This Row],[tramo gráf]]+1),COND_INTERSTICIAL[llave tramo gráf],0)))</f>
        <v>#N/A</v>
      </c>
      <c r="EH96" s="114" cm="1">
        <f t="array" aca="1" ref="EH9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6" s="116" t="e" cm="1">
        <f t="array" aca="1" ref="EI9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7" spans="101:139" x14ac:dyDescent="0.45">
      <c r="CW97" s="1" cm="1">
        <f t="array" ref="CW97">ROUNDUP((ROW()-$CN$18+(Mes_inicial_de_análisis-1)*N_capas*N_secciones)/(N_capas*N_secciones),0)-12*IF(ROW()-$CN$18&gt;(12-Mes_inicial_de_análisis+1)*N_capas*N_secciones,1,0)</f>
        <v>12</v>
      </c>
      <c r="CX97" cm="1">
        <f t="array" ref="CX97">ROUNDUP((ROW()-$CN$18)/N_capas-(ROUNDUP((ROW()-$CN$18)/(N_capas*N_secciones),0)-1)*N_secciones,0)</f>
        <v>2</v>
      </c>
      <c r="CY97" cm="1">
        <f t="array" ref="CY97">(ROW()-$CN$18)-(COND_INTERSTICIAL[[#This Row],[Sección]]-1)*N_capas-(ROUNDUP((ROW()-$CN$18)/(N_capas*N_secciones),0)-1)*N_capas*N_secciones</f>
        <v>1</v>
      </c>
      <c r="CZ97" t="str">
        <f>COND_INTERSTICIAL[[#This Row],[Mes]]&amp;"-"&amp;COND_INTERSTICIAL[[#This Row],[Sección]]&amp;"-"&amp;COND_INTERSTICIAL[[#This Row],[Capa]]</f>
        <v>12-2-1</v>
      </c>
      <c r="DA97">
        <f ca="1">INDEX(SECCIONES_CAPAS[R''n],MATCH(COND_INTERSTICIAL[[#This Row],[Sección]]&amp;"-"&amp;COND_INTERSTICIAL[[#This Row],[Capa]],SECCIONES_CAPAS[llave],0))</f>
        <v>0.04</v>
      </c>
      <c r="DB97" s="172" t="e" cm="1">
        <f t="array" aca="1" ref="DB97" ca="1">INDEX(CLIMA[ϴe],COND_INTERSTICIAL[[#This Row],[Mes]])+COND_INTERSTICIAL[[#This Row],[Rn]]*(INDEX(CLIMA[ϴi],COND_INTERSTICIAL[[#This Row],[Mes]])-INDEX(CLIMA[ϴe],COND_INTERSTICIAL[[#This Row],[Mes]]))/(INDEX(SECCIONES[Rtsección_condensación],COND_INTERSTICIAL[[#This Row],[Sección]]))</f>
        <v>#N/A</v>
      </c>
      <c r="DC97">
        <f>INDEX(SECCIONES_CAPAS[Sd],MATCH(COND_INTERSTICIAL[[#This Row],[Sección]]&amp;"-"&amp;COND_INTERSTICIAL[[#This Row],[Capa]],SECCIONES_CAPAS[llave],0))</f>
        <v>0</v>
      </c>
      <c r="DD97">
        <f ca="1">INDEX(SECCIONES_CAPAS[S''d],MATCH(COND_INTERSTICIAL[[#This Row],[Sección]]&amp;"-"&amp;COND_INTERSTICIAL[[#This Row],[Capa]],SECCIONES_CAPAS[llave],0))</f>
        <v>0</v>
      </c>
      <c r="DE97" s="90" t="e">
        <f ca="1">IF(COND_INTERSTICIAL[[#This Row],[ϴn]]&gt;=0,610.5*EXP((17.269*COND_INTERSTICIAL[[#This Row],[ϴn]])/(237.3+COND_INTERSTICIAL[[#This Row],[ϴn]])),610.5*EXP((21.875*COND_INTERSTICIAL[[#This Row],[ϴn]])/(265.5+COND_INTERSTICIAL[[#This Row],[ϴn]])))</f>
        <v>#N/A</v>
      </c>
      <c r="DF97" s="90" t="e" cm="1">
        <f t="array" aca="1" ref="DF97" ca="1">COND_INTERSTICIAL[[#This Row],[S''d]]*((INDEX(CLIMA[Pi],COND_INTERSTICIAL[[#This Row],[Mes]])-INDEX(CLIMA[Pe],COND_INTERSTICIAL[[#This Row],[Mes]]))/INDEX(SECCIONES[SdT],COND_INTERSTICIAL[[#This Row],[Sección]]))+INDEX(CLIMA[Pe],COND_INTERSTICIAL[[#This Row],[Mes]])</f>
        <v>#N/A</v>
      </c>
      <c r="DG97" s="108" t="e">
        <f ca="1">IF((COND_INTERSTICIAL[[#This Row],[Pn]]&gt;=COND_INTERSTICIAL[[#This Row],[Psat]]),TRUE,FALSE)</f>
        <v>#N/A</v>
      </c>
      <c r="DH97" s="109" t="e" cm="1">
        <f t="array" aca="1" ref="DH97" ca="1">IF(COND_INTERSTICIAL[[#This Row],[Condensa]],COND_INTERSTICIAL[[#This Row],[Psat]],IF(COND_INTERSTICIAL[[#This Row],[Capa]]=N_capas,COND_INTERSTICIAL[[#This Row],[Pn]],""))</f>
        <v>#N/A</v>
      </c>
      <c r="DI97" s="109" t="e">
        <f ca="1">COND_INTERSTICIAL[[#This Row],[Mes]]&amp;"-"&amp;COND_INTERSTICIAL[[#This Row],[Sección]]&amp;"-"&amp;COND_INTERSTICIAL[[#This Row],[tramo cond]]</f>
        <v>#N/A</v>
      </c>
      <c r="DJ97" t="e" cm="1">
        <f t="array" aca="1" ref="DJ97" ca="1">IF(COND_INTERSTICIAL[[#This Row],[Capa]]=1,IF(COND_INTERSTICIAL[[#This Row],[Condensa]],2,1),IF(COND_INTERSTICIAL[[#This Row],[Condensa]],1,0)+INDIRECT(ADDRESS(ROW()-1,COLUMN(),4)))</f>
        <v>#N/A</v>
      </c>
      <c r="DK97" s="108" t="e" cm="1">
        <f t="array" aca="1" ref="DK97" ca="1">IF(COND_INTERSTICIAL[[#This Row],[tramo cond]]=1,0,IF((COND_INTERSTICIAL[[#This Row],[tramo cond]]&gt;INDIRECT(ADDRESS(ROW()-1,COLUMN(COND_INTERSTICIAL[[#This Row],[tramo cond]]),4)))+COND_INTERSTICIAL[[#This Row],[Condensa]],COND_INTERSTICIAL[[#This Row],[Capa]],INDIRECT(ADDRESS(ROW()-1,COLUMN(),4))))</f>
        <v>#N/A</v>
      </c>
      <c r="DL97" s="108" t="e" cm="1">
        <f t="array" aca="1" ref="DL97" ca="1">IF((COND_INTERSTICIAL[[#This Row],[Capa]]=N_capas)+(COND_INTERSTICIAL[[#This Row],[tramo cond]]=COUNTIFS(COND_INTERSTICIAL[Condensa],TRUE,COND_INTERSTICIAL[Mes],CW97,COND_INTERSTICIAL[Sección],CX97)+1),N_capas,INDEX(COND_INTERSTICIAL[capa lím inf cond],MATCH(COND_INTERSTICIAL[[#This Row],[Mes]]&amp;"-"&amp;COND_INTERSTICIAL[[#This Row],[Sección]]&amp;"-"&amp;(COND_INTERSTICIAL[[#This Row],[tramo cond]]+1),COND_INTERSTICIAL[llave tramo cond],0)))</f>
        <v>#N/A</v>
      </c>
      <c r="DM97" s="108" cm="1">
        <f t="array" aca="1" ref="DM9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7" s="110" t="e" cm="1">
        <f t="array" aca="1" ref="DN9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7" s="107" t="e">
        <f ca="1">COND_INTERSTICIAL[[#This Row],[gc]]+COND_INTERSTICIAL[[#This Row],[Ma_anterior cond]]</f>
        <v>#N/A</v>
      </c>
      <c r="DQ97" s="113" t="e">
        <f ca="1">IF((COND_INTERSTICIAL[[#This Row],[Ma_anterior cond]]&gt;0)*NOT(COND_INTERSTICIAL[[#This Row],[Condensa]]),TRUE,FALSE)</f>
        <v>#N/A</v>
      </c>
      <c r="DR97" s="112" t="e" cm="1">
        <f t="array" aca="1" ref="DR97" ca="1">IF(COND_INTERSTICIAL[[#This Row],[evapora]],COND_INTERSTICIAL[[#This Row],[Psat]],IF(COND_INTERSTICIAL[[#This Row],[Capa]]=N_capas,COND_INTERSTICIAL[[#This Row],[Pn]],""))</f>
        <v>#N/A</v>
      </c>
      <c r="DS97" s="112" t="e">
        <f ca="1">COND_INTERSTICIAL[[#This Row],[Mes]]&amp;"-"&amp;COND_INTERSTICIAL[[#This Row],[Sección]]&amp;"-"&amp;COND_INTERSTICIAL[[#This Row],[tramo ev]]</f>
        <v>#N/A</v>
      </c>
      <c r="DT97" s="111" t="e" cm="1">
        <f t="array" aca="1" ref="DT97" ca="1">IF(COND_INTERSTICIAL[[#This Row],[Capa]]=1,IF(COND_INTERSTICIAL[[#This Row],[evapora]],2,1),IF(COND_INTERSTICIAL[[#This Row],[evapora]],1,0)+INDIRECT(ADDRESS(ROW()-1,COLUMN(),4)))</f>
        <v>#N/A</v>
      </c>
      <c r="DU97" s="111" t="e" cm="1">
        <f t="array" aca="1" ref="DU97" ca="1">IF(COND_INTERSTICIAL[[#This Row],[tramo ev]]=1,0,IF((COND_INTERSTICIAL[[#This Row],[tramo ev]]&gt;INDIRECT(ADDRESS(ROW()-1,COLUMN(COND_INTERSTICIAL[[#This Row],[tramo ev]]),4)))+COND_INTERSTICIAL[[#This Row],[evapora]],COND_INTERSTICIAL[[#This Row],[Capa]],INDIRECT(ADDRESS(ROW()-1,COLUMN(),4))))</f>
        <v>#N/A</v>
      </c>
      <c r="DV97" s="111" t="e" cm="1">
        <f t="array" aca="1" ref="DV97" ca="1">IF((COND_INTERSTICIAL[[#This Row],[Capa]]=N_capas)+(COND_INTERSTICIAL[[#This Row],[tramo ev]]=COUNTIFS(COND_INTERSTICIAL[evapora],TRUE,COND_INTERSTICIAL[Mes],CW97,COND_INTERSTICIAL[Sección],CX97)+1),N_capas,INDEX(COND_INTERSTICIAL[capa lím inf ev],MATCH(COND_INTERSTICIAL[[#This Row],[Mes]]&amp;"-"&amp;COND_INTERSTICIAL[[#This Row],[Sección]]&amp;"-"&amp;(COND_INTERSTICIAL[[#This Row],[tramo ev]]+1),COND_INTERSTICIAL[llave tramo ev],0)))</f>
        <v>#N/A</v>
      </c>
      <c r="DW97" s="111" cm="1">
        <f t="array" aca="1" ref="DW9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7" s="113" t="e" cm="1">
        <f t="array" aca="1" ref="DX9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7" s="113" t="e">
        <f ca="1">COND_INTERSTICIAL[[#This Row],[gev]]+COND_INTERSTICIAL[[#This Row],[Ma anterior ev]]</f>
        <v>#N/A</v>
      </c>
      <c r="EA97" s="115" t="e">
        <f ca="1">IF(COND_INTERSTICIAL[[#This Row],[Ma cond]]+COND_INTERSTICIAL[[#This Row],[Ma ev]]&lt;=0,0,COND_INTERSTICIAL[[#This Row],[Ma cond]]+COND_INTERSTICIAL[[#This Row],[Ma ev]])</f>
        <v>#N/A</v>
      </c>
      <c r="EB97" s="115" t="e">
        <f ca="1">IF(COND_INTERSTICIAL[[#This Row],[Ma]]&gt;0,TRUE,FALSE)</f>
        <v>#N/A</v>
      </c>
      <c r="EC97" s="115" t="e" cm="1">
        <f t="array" aca="1" ref="EC97" ca="1">IF(COND_INTERSTICIAL[[#This Row],[agua líquida]],IF(COND_INTERSTICIAL[[#This Row],[Condensa]],COND_INTERSTICIAL[[#This Row],[P límite cond]],COND_INTERSTICIAL[[#This Row],[P límite ev]]),IF(COND_INTERSTICIAL[[#This Row],[Capa]]=N_capas,COND_INTERSTICIAL[[#This Row],[Pn]],""))</f>
        <v>#N/A</v>
      </c>
      <c r="ED97" s="115" t="e">
        <f ca="1">COND_INTERSTICIAL[[#This Row],[Mes]]&amp;"-"&amp;COND_INTERSTICIAL[[#This Row],[Sección]]&amp;"-"&amp;COND_INTERSTICIAL[[#This Row],[tramo gráf]]</f>
        <v>#N/A</v>
      </c>
      <c r="EE97" s="114" t="e" cm="1">
        <f t="array" aca="1" ref="EE97" ca="1">IF(COND_INTERSTICIAL[[#This Row],[Capa]]=1,IF(COND_INTERSTICIAL[[#This Row],[agua líquida]],2,1),IF(COND_INTERSTICIAL[[#This Row],[agua líquida]],1,0)+INDIRECT(ADDRESS(ROW()-1,COLUMN(),4)))</f>
        <v>#N/A</v>
      </c>
      <c r="EF97" s="114" t="e" cm="1">
        <f t="array" aca="1" ref="EF97" ca="1">IF(COND_INTERSTICIAL[[#This Row],[tramo gráf]]=1,0,IF((COND_INTERSTICIAL[[#This Row],[tramo gráf]]&gt;INDIRECT(ADDRESS(ROW()-1,COLUMN(COND_INTERSTICIAL[[#This Row],[tramo gráf]]),4)))+COND_INTERSTICIAL[[#This Row],[agua líquida]],COND_INTERSTICIAL[[#This Row],[Capa]],INDIRECT(ADDRESS(ROW()-1,COLUMN(),4))))</f>
        <v>#N/A</v>
      </c>
      <c r="EG97" s="114" t="e" cm="1">
        <f t="array" aca="1" ref="EG97" ca="1">IF((COND_INTERSTICIAL[[#This Row],[Capa]]=N_capas)+(COND_INTERSTICIAL[[#This Row],[tramo gráf]]=COUNTIFS(COND_INTERSTICIAL[agua líquida],TRUE,COND_INTERSTICIAL[Mes],CW97,COND_INTERSTICIAL[Sección],CX97)+1),N_capas,INDEX(COND_INTERSTICIAL[capa lím inf gráf],MATCH(COND_INTERSTICIAL[[#This Row],[Mes]]&amp;"-"&amp;COND_INTERSTICIAL[[#This Row],[Sección]]&amp;"-"&amp;(COND_INTERSTICIAL[[#This Row],[tramo gráf]]+1),COND_INTERSTICIAL[llave tramo gráf],0)))</f>
        <v>#N/A</v>
      </c>
      <c r="EH97" s="114" cm="1">
        <f t="array" aca="1" ref="EH9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7" s="116" t="e" cm="1">
        <f t="array" aca="1" ref="EI9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8" spans="101:139" x14ac:dyDescent="0.45">
      <c r="CW98" s="1" cm="1">
        <f t="array" ref="CW98">ROUNDUP((ROW()-$CN$18+(Mes_inicial_de_análisis-1)*N_capas*N_secciones)/(N_capas*N_secciones),0)-12*IF(ROW()-$CN$18&gt;(12-Mes_inicial_de_análisis+1)*N_capas*N_secciones,1,0)</f>
        <v>12</v>
      </c>
      <c r="CX98" cm="1">
        <f t="array" ref="CX98">ROUNDUP((ROW()-$CN$18)/N_capas-(ROUNDUP((ROW()-$CN$18)/(N_capas*N_secciones),0)-1)*N_secciones,0)</f>
        <v>2</v>
      </c>
      <c r="CY98" cm="1">
        <f t="array" ref="CY98">(ROW()-$CN$18)-(COND_INTERSTICIAL[[#This Row],[Sección]]-1)*N_capas-(ROUNDUP((ROW()-$CN$18)/(N_capas*N_secciones),0)-1)*N_capas*N_secciones</f>
        <v>2</v>
      </c>
      <c r="CZ98" t="str">
        <f>COND_INTERSTICIAL[[#This Row],[Mes]]&amp;"-"&amp;COND_INTERSTICIAL[[#This Row],[Sección]]&amp;"-"&amp;COND_INTERSTICIAL[[#This Row],[Capa]]</f>
        <v>12-2-2</v>
      </c>
      <c r="DA98">
        <f ca="1">INDEX(SECCIONES_CAPAS[R''n],MATCH(COND_INTERSTICIAL[[#This Row],[Sección]]&amp;"-"&amp;COND_INTERSTICIAL[[#This Row],[Capa]],SECCIONES_CAPAS[llave],0))</f>
        <v>0.04</v>
      </c>
      <c r="DB98" s="172" t="e" cm="1">
        <f t="array" aca="1" ref="DB98" ca="1">INDEX(CLIMA[ϴe],COND_INTERSTICIAL[[#This Row],[Mes]])+COND_INTERSTICIAL[[#This Row],[Rn]]*(INDEX(CLIMA[ϴi],COND_INTERSTICIAL[[#This Row],[Mes]])-INDEX(CLIMA[ϴe],COND_INTERSTICIAL[[#This Row],[Mes]]))/(INDEX(SECCIONES[Rtsección_condensación],COND_INTERSTICIAL[[#This Row],[Sección]]))</f>
        <v>#N/A</v>
      </c>
      <c r="DC98">
        <f>INDEX(SECCIONES_CAPAS[Sd],MATCH(COND_INTERSTICIAL[[#This Row],[Sección]]&amp;"-"&amp;COND_INTERSTICIAL[[#This Row],[Capa]],SECCIONES_CAPAS[llave],0))</f>
        <v>0</v>
      </c>
      <c r="DD98">
        <f ca="1">INDEX(SECCIONES_CAPAS[S''d],MATCH(COND_INTERSTICIAL[[#This Row],[Sección]]&amp;"-"&amp;COND_INTERSTICIAL[[#This Row],[Capa]],SECCIONES_CAPAS[llave],0))</f>
        <v>0</v>
      </c>
      <c r="DE98" s="90" t="e">
        <f ca="1">IF(COND_INTERSTICIAL[[#This Row],[ϴn]]&gt;=0,610.5*EXP((17.269*COND_INTERSTICIAL[[#This Row],[ϴn]])/(237.3+COND_INTERSTICIAL[[#This Row],[ϴn]])),610.5*EXP((21.875*COND_INTERSTICIAL[[#This Row],[ϴn]])/(265.5+COND_INTERSTICIAL[[#This Row],[ϴn]])))</f>
        <v>#N/A</v>
      </c>
      <c r="DF98" s="90" t="e" cm="1">
        <f t="array" aca="1" ref="DF98" ca="1">COND_INTERSTICIAL[[#This Row],[S''d]]*((INDEX(CLIMA[Pi],COND_INTERSTICIAL[[#This Row],[Mes]])-INDEX(CLIMA[Pe],COND_INTERSTICIAL[[#This Row],[Mes]]))/INDEX(SECCIONES[SdT],COND_INTERSTICIAL[[#This Row],[Sección]]))+INDEX(CLIMA[Pe],COND_INTERSTICIAL[[#This Row],[Mes]])</f>
        <v>#N/A</v>
      </c>
      <c r="DG98" s="108" t="e">
        <f ca="1">IF((COND_INTERSTICIAL[[#This Row],[Pn]]&gt;=COND_INTERSTICIAL[[#This Row],[Psat]]),TRUE,FALSE)</f>
        <v>#N/A</v>
      </c>
      <c r="DH98" s="109" t="e" cm="1">
        <f t="array" aca="1" ref="DH98" ca="1">IF(COND_INTERSTICIAL[[#This Row],[Condensa]],COND_INTERSTICIAL[[#This Row],[Psat]],IF(COND_INTERSTICIAL[[#This Row],[Capa]]=N_capas,COND_INTERSTICIAL[[#This Row],[Pn]],""))</f>
        <v>#N/A</v>
      </c>
      <c r="DI98" s="109" t="e">
        <f ca="1">COND_INTERSTICIAL[[#This Row],[Mes]]&amp;"-"&amp;COND_INTERSTICIAL[[#This Row],[Sección]]&amp;"-"&amp;COND_INTERSTICIAL[[#This Row],[tramo cond]]</f>
        <v>#N/A</v>
      </c>
      <c r="DJ98" t="e" cm="1">
        <f t="array" aca="1" ref="DJ98" ca="1">IF(COND_INTERSTICIAL[[#This Row],[Capa]]=1,IF(COND_INTERSTICIAL[[#This Row],[Condensa]],2,1),IF(COND_INTERSTICIAL[[#This Row],[Condensa]],1,0)+INDIRECT(ADDRESS(ROW()-1,COLUMN(),4)))</f>
        <v>#N/A</v>
      </c>
      <c r="DK98" s="108" t="e" cm="1">
        <f t="array" aca="1" ref="DK98" ca="1">IF(COND_INTERSTICIAL[[#This Row],[tramo cond]]=1,0,IF((COND_INTERSTICIAL[[#This Row],[tramo cond]]&gt;INDIRECT(ADDRESS(ROW()-1,COLUMN(COND_INTERSTICIAL[[#This Row],[tramo cond]]),4)))+COND_INTERSTICIAL[[#This Row],[Condensa]],COND_INTERSTICIAL[[#This Row],[Capa]],INDIRECT(ADDRESS(ROW()-1,COLUMN(),4))))</f>
        <v>#N/A</v>
      </c>
      <c r="DL98" s="108" t="e" cm="1">
        <f t="array" aca="1" ref="DL98" ca="1">IF((COND_INTERSTICIAL[[#This Row],[Capa]]=N_capas)+(COND_INTERSTICIAL[[#This Row],[tramo cond]]=COUNTIFS(COND_INTERSTICIAL[Condensa],TRUE,COND_INTERSTICIAL[Mes],CW98,COND_INTERSTICIAL[Sección],CX98)+1),N_capas,INDEX(COND_INTERSTICIAL[capa lím inf cond],MATCH(COND_INTERSTICIAL[[#This Row],[Mes]]&amp;"-"&amp;COND_INTERSTICIAL[[#This Row],[Sección]]&amp;"-"&amp;(COND_INTERSTICIAL[[#This Row],[tramo cond]]+1),COND_INTERSTICIAL[llave tramo cond],0)))</f>
        <v>#N/A</v>
      </c>
      <c r="DM98" s="108" cm="1">
        <f t="array" aca="1" ref="DM9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8" s="110" t="e" cm="1">
        <f t="array" aca="1" ref="DN9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8" s="107" t="e">
        <f ca="1">COND_INTERSTICIAL[[#This Row],[gc]]+COND_INTERSTICIAL[[#This Row],[Ma_anterior cond]]</f>
        <v>#N/A</v>
      </c>
      <c r="DQ98" s="113" t="e">
        <f ca="1">IF((COND_INTERSTICIAL[[#This Row],[Ma_anterior cond]]&gt;0)*NOT(COND_INTERSTICIAL[[#This Row],[Condensa]]),TRUE,FALSE)</f>
        <v>#N/A</v>
      </c>
      <c r="DR98" s="112" t="e" cm="1">
        <f t="array" aca="1" ref="DR98" ca="1">IF(COND_INTERSTICIAL[[#This Row],[evapora]],COND_INTERSTICIAL[[#This Row],[Psat]],IF(COND_INTERSTICIAL[[#This Row],[Capa]]=N_capas,COND_INTERSTICIAL[[#This Row],[Pn]],""))</f>
        <v>#N/A</v>
      </c>
      <c r="DS98" s="112" t="e">
        <f ca="1">COND_INTERSTICIAL[[#This Row],[Mes]]&amp;"-"&amp;COND_INTERSTICIAL[[#This Row],[Sección]]&amp;"-"&amp;COND_INTERSTICIAL[[#This Row],[tramo ev]]</f>
        <v>#N/A</v>
      </c>
      <c r="DT98" s="111" t="e" cm="1">
        <f t="array" aca="1" ref="DT98" ca="1">IF(COND_INTERSTICIAL[[#This Row],[Capa]]=1,IF(COND_INTERSTICIAL[[#This Row],[evapora]],2,1),IF(COND_INTERSTICIAL[[#This Row],[evapora]],1,0)+INDIRECT(ADDRESS(ROW()-1,COLUMN(),4)))</f>
        <v>#N/A</v>
      </c>
      <c r="DU98" s="111" t="e" cm="1">
        <f t="array" aca="1" ref="DU98" ca="1">IF(COND_INTERSTICIAL[[#This Row],[tramo ev]]=1,0,IF((COND_INTERSTICIAL[[#This Row],[tramo ev]]&gt;INDIRECT(ADDRESS(ROW()-1,COLUMN(COND_INTERSTICIAL[[#This Row],[tramo ev]]),4)))+COND_INTERSTICIAL[[#This Row],[evapora]],COND_INTERSTICIAL[[#This Row],[Capa]],INDIRECT(ADDRESS(ROW()-1,COLUMN(),4))))</f>
        <v>#N/A</v>
      </c>
      <c r="DV98" s="111" t="e" cm="1">
        <f t="array" aca="1" ref="DV98" ca="1">IF((COND_INTERSTICIAL[[#This Row],[Capa]]=N_capas)+(COND_INTERSTICIAL[[#This Row],[tramo ev]]=COUNTIFS(COND_INTERSTICIAL[evapora],TRUE,COND_INTERSTICIAL[Mes],CW98,COND_INTERSTICIAL[Sección],CX98)+1),N_capas,INDEX(COND_INTERSTICIAL[capa lím inf ev],MATCH(COND_INTERSTICIAL[[#This Row],[Mes]]&amp;"-"&amp;COND_INTERSTICIAL[[#This Row],[Sección]]&amp;"-"&amp;(COND_INTERSTICIAL[[#This Row],[tramo ev]]+1),COND_INTERSTICIAL[llave tramo ev],0)))</f>
        <v>#N/A</v>
      </c>
      <c r="DW98" s="111" cm="1">
        <f t="array" aca="1" ref="DW9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8" s="113" t="e" cm="1">
        <f t="array" aca="1" ref="DX9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8" s="113" t="e">
        <f ca="1">COND_INTERSTICIAL[[#This Row],[gev]]+COND_INTERSTICIAL[[#This Row],[Ma anterior ev]]</f>
        <v>#N/A</v>
      </c>
      <c r="EA98" s="115" t="e">
        <f ca="1">IF(COND_INTERSTICIAL[[#This Row],[Ma cond]]+COND_INTERSTICIAL[[#This Row],[Ma ev]]&lt;=0,0,COND_INTERSTICIAL[[#This Row],[Ma cond]]+COND_INTERSTICIAL[[#This Row],[Ma ev]])</f>
        <v>#N/A</v>
      </c>
      <c r="EB98" s="115" t="e">
        <f ca="1">IF(COND_INTERSTICIAL[[#This Row],[Ma]]&gt;0,TRUE,FALSE)</f>
        <v>#N/A</v>
      </c>
      <c r="EC98" s="115" t="e" cm="1">
        <f t="array" aca="1" ref="EC98" ca="1">IF(COND_INTERSTICIAL[[#This Row],[agua líquida]],IF(COND_INTERSTICIAL[[#This Row],[Condensa]],COND_INTERSTICIAL[[#This Row],[P límite cond]],COND_INTERSTICIAL[[#This Row],[P límite ev]]),IF(COND_INTERSTICIAL[[#This Row],[Capa]]=N_capas,COND_INTERSTICIAL[[#This Row],[Pn]],""))</f>
        <v>#N/A</v>
      </c>
      <c r="ED98" s="115" t="e">
        <f ca="1">COND_INTERSTICIAL[[#This Row],[Mes]]&amp;"-"&amp;COND_INTERSTICIAL[[#This Row],[Sección]]&amp;"-"&amp;COND_INTERSTICIAL[[#This Row],[tramo gráf]]</f>
        <v>#N/A</v>
      </c>
      <c r="EE98" s="114" t="e" cm="1">
        <f t="array" aca="1" ref="EE98" ca="1">IF(COND_INTERSTICIAL[[#This Row],[Capa]]=1,IF(COND_INTERSTICIAL[[#This Row],[agua líquida]],2,1),IF(COND_INTERSTICIAL[[#This Row],[agua líquida]],1,0)+INDIRECT(ADDRESS(ROW()-1,COLUMN(),4)))</f>
        <v>#N/A</v>
      </c>
      <c r="EF98" s="114" t="e" cm="1">
        <f t="array" aca="1" ref="EF98" ca="1">IF(COND_INTERSTICIAL[[#This Row],[tramo gráf]]=1,0,IF((COND_INTERSTICIAL[[#This Row],[tramo gráf]]&gt;INDIRECT(ADDRESS(ROW()-1,COLUMN(COND_INTERSTICIAL[[#This Row],[tramo gráf]]),4)))+COND_INTERSTICIAL[[#This Row],[agua líquida]],COND_INTERSTICIAL[[#This Row],[Capa]],INDIRECT(ADDRESS(ROW()-1,COLUMN(),4))))</f>
        <v>#N/A</v>
      </c>
      <c r="EG98" s="114" t="e" cm="1">
        <f t="array" aca="1" ref="EG98" ca="1">IF((COND_INTERSTICIAL[[#This Row],[Capa]]=N_capas)+(COND_INTERSTICIAL[[#This Row],[tramo gráf]]=COUNTIFS(COND_INTERSTICIAL[agua líquida],TRUE,COND_INTERSTICIAL[Mes],CW98,COND_INTERSTICIAL[Sección],CX98)+1),N_capas,INDEX(COND_INTERSTICIAL[capa lím inf gráf],MATCH(COND_INTERSTICIAL[[#This Row],[Mes]]&amp;"-"&amp;COND_INTERSTICIAL[[#This Row],[Sección]]&amp;"-"&amp;(COND_INTERSTICIAL[[#This Row],[tramo gráf]]+1),COND_INTERSTICIAL[llave tramo gráf],0)))</f>
        <v>#N/A</v>
      </c>
      <c r="EH98" s="114" cm="1">
        <f t="array" aca="1" ref="EH9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8" s="116" t="e" cm="1">
        <f t="array" aca="1" ref="EI9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9" spans="101:139" x14ac:dyDescent="0.45">
      <c r="CW99" s="1" cm="1">
        <f t="array" ref="CW99">ROUNDUP((ROW()-$CN$18+(Mes_inicial_de_análisis-1)*N_capas*N_secciones)/(N_capas*N_secciones),0)-12*IF(ROW()-$CN$18&gt;(12-Mes_inicial_de_análisis+1)*N_capas*N_secciones,1,0)</f>
        <v>12</v>
      </c>
      <c r="CX99" cm="1">
        <f t="array" ref="CX99">ROUNDUP((ROW()-$CN$18)/N_capas-(ROUNDUP((ROW()-$CN$18)/(N_capas*N_secciones),0)-1)*N_secciones,0)</f>
        <v>2</v>
      </c>
      <c r="CY99" cm="1">
        <f t="array" ref="CY99">(ROW()-$CN$18)-(COND_INTERSTICIAL[[#This Row],[Sección]]-1)*N_capas-(ROUNDUP((ROW()-$CN$18)/(N_capas*N_secciones),0)-1)*N_capas*N_secciones</f>
        <v>3</v>
      </c>
      <c r="CZ99" t="str">
        <f>COND_INTERSTICIAL[[#This Row],[Mes]]&amp;"-"&amp;COND_INTERSTICIAL[[#This Row],[Sección]]&amp;"-"&amp;COND_INTERSTICIAL[[#This Row],[Capa]]</f>
        <v>12-2-3</v>
      </c>
      <c r="DA99">
        <f ca="1">INDEX(SECCIONES_CAPAS[R''n],MATCH(COND_INTERSTICIAL[[#This Row],[Sección]]&amp;"-"&amp;COND_INTERSTICIAL[[#This Row],[Capa]],SECCIONES_CAPAS[llave],0))</f>
        <v>0.04</v>
      </c>
      <c r="DB99" s="172" t="e" cm="1">
        <f t="array" aca="1" ref="DB99" ca="1">INDEX(CLIMA[ϴe],COND_INTERSTICIAL[[#This Row],[Mes]])+COND_INTERSTICIAL[[#This Row],[Rn]]*(INDEX(CLIMA[ϴi],COND_INTERSTICIAL[[#This Row],[Mes]])-INDEX(CLIMA[ϴe],COND_INTERSTICIAL[[#This Row],[Mes]]))/(INDEX(SECCIONES[Rtsección_condensación],COND_INTERSTICIAL[[#This Row],[Sección]]))</f>
        <v>#N/A</v>
      </c>
      <c r="DC99">
        <f>INDEX(SECCIONES_CAPAS[Sd],MATCH(COND_INTERSTICIAL[[#This Row],[Sección]]&amp;"-"&amp;COND_INTERSTICIAL[[#This Row],[Capa]],SECCIONES_CAPAS[llave],0))</f>
        <v>0</v>
      </c>
      <c r="DD99">
        <f ca="1">INDEX(SECCIONES_CAPAS[S''d],MATCH(COND_INTERSTICIAL[[#This Row],[Sección]]&amp;"-"&amp;COND_INTERSTICIAL[[#This Row],[Capa]],SECCIONES_CAPAS[llave],0))</f>
        <v>0</v>
      </c>
      <c r="DE99" s="90" t="e">
        <f ca="1">IF(COND_INTERSTICIAL[[#This Row],[ϴn]]&gt;=0,610.5*EXP((17.269*COND_INTERSTICIAL[[#This Row],[ϴn]])/(237.3+COND_INTERSTICIAL[[#This Row],[ϴn]])),610.5*EXP((21.875*COND_INTERSTICIAL[[#This Row],[ϴn]])/(265.5+COND_INTERSTICIAL[[#This Row],[ϴn]])))</f>
        <v>#N/A</v>
      </c>
      <c r="DF99" s="90" t="e" cm="1">
        <f t="array" aca="1" ref="DF99" ca="1">COND_INTERSTICIAL[[#This Row],[S''d]]*((INDEX(CLIMA[Pi],COND_INTERSTICIAL[[#This Row],[Mes]])-INDEX(CLIMA[Pe],COND_INTERSTICIAL[[#This Row],[Mes]]))/INDEX(SECCIONES[SdT],COND_INTERSTICIAL[[#This Row],[Sección]]))+INDEX(CLIMA[Pe],COND_INTERSTICIAL[[#This Row],[Mes]])</f>
        <v>#N/A</v>
      </c>
      <c r="DG99" s="108" t="e">
        <f ca="1">IF((COND_INTERSTICIAL[[#This Row],[Pn]]&gt;=COND_INTERSTICIAL[[#This Row],[Psat]]),TRUE,FALSE)</f>
        <v>#N/A</v>
      </c>
      <c r="DH99" s="109" t="e" cm="1">
        <f t="array" aca="1" ref="DH99" ca="1">IF(COND_INTERSTICIAL[[#This Row],[Condensa]],COND_INTERSTICIAL[[#This Row],[Psat]],IF(COND_INTERSTICIAL[[#This Row],[Capa]]=N_capas,COND_INTERSTICIAL[[#This Row],[Pn]],""))</f>
        <v>#N/A</v>
      </c>
      <c r="DI99" s="109" t="e">
        <f ca="1">COND_INTERSTICIAL[[#This Row],[Mes]]&amp;"-"&amp;COND_INTERSTICIAL[[#This Row],[Sección]]&amp;"-"&amp;COND_INTERSTICIAL[[#This Row],[tramo cond]]</f>
        <v>#N/A</v>
      </c>
      <c r="DJ99" t="e" cm="1">
        <f t="array" aca="1" ref="DJ99" ca="1">IF(COND_INTERSTICIAL[[#This Row],[Capa]]=1,IF(COND_INTERSTICIAL[[#This Row],[Condensa]],2,1),IF(COND_INTERSTICIAL[[#This Row],[Condensa]],1,0)+INDIRECT(ADDRESS(ROW()-1,COLUMN(),4)))</f>
        <v>#N/A</v>
      </c>
      <c r="DK99" s="108" t="e" cm="1">
        <f t="array" aca="1" ref="DK99" ca="1">IF(COND_INTERSTICIAL[[#This Row],[tramo cond]]=1,0,IF((COND_INTERSTICIAL[[#This Row],[tramo cond]]&gt;INDIRECT(ADDRESS(ROW()-1,COLUMN(COND_INTERSTICIAL[[#This Row],[tramo cond]]),4)))+COND_INTERSTICIAL[[#This Row],[Condensa]],COND_INTERSTICIAL[[#This Row],[Capa]],INDIRECT(ADDRESS(ROW()-1,COLUMN(),4))))</f>
        <v>#N/A</v>
      </c>
      <c r="DL99" s="108" t="e" cm="1">
        <f t="array" aca="1" ref="DL99" ca="1">IF((COND_INTERSTICIAL[[#This Row],[Capa]]=N_capas)+(COND_INTERSTICIAL[[#This Row],[tramo cond]]=COUNTIFS(COND_INTERSTICIAL[Condensa],TRUE,COND_INTERSTICIAL[Mes],CW99,COND_INTERSTICIAL[Sección],CX99)+1),N_capas,INDEX(COND_INTERSTICIAL[capa lím inf cond],MATCH(COND_INTERSTICIAL[[#This Row],[Mes]]&amp;"-"&amp;COND_INTERSTICIAL[[#This Row],[Sección]]&amp;"-"&amp;(COND_INTERSTICIAL[[#This Row],[tramo cond]]+1),COND_INTERSTICIAL[llave tramo cond],0)))</f>
        <v>#N/A</v>
      </c>
      <c r="DM99" s="108" cm="1">
        <f t="array" aca="1" ref="DM9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9" s="110" t="e" cm="1">
        <f t="array" aca="1" ref="DN9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9" s="107" t="e">
        <f ca="1">COND_INTERSTICIAL[[#This Row],[gc]]+COND_INTERSTICIAL[[#This Row],[Ma_anterior cond]]</f>
        <v>#N/A</v>
      </c>
      <c r="DQ99" s="113" t="e">
        <f ca="1">IF((COND_INTERSTICIAL[[#This Row],[Ma_anterior cond]]&gt;0)*NOT(COND_INTERSTICIAL[[#This Row],[Condensa]]),TRUE,FALSE)</f>
        <v>#N/A</v>
      </c>
      <c r="DR99" s="112" t="e" cm="1">
        <f t="array" aca="1" ref="DR99" ca="1">IF(COND_INTERSTICIAL[[#This Row],[evapora]],COND_INTERSTICIAL[[#This Row],[Psat]],IF(COND_INTERSTICIAL[[#This Row],[Capa]]=N_capas,COND_INTERSTICIAL[[#This Row],[Pn]],""))</f>
        <v>#N/A</v>
      </c>
      <c r="DS99" s="112" t="e">
        <f ca="1">COND_INTERSTICIAL[[#This Row],[Mes]]&amp;"-"&amp;COND_INTERSTICIAL[[#This Row],[Sección]]&amp;"-"&amp;COND_INTERSTICIAL[[#This Row],[tramo ev]]</f>
        <v>#N/A</v>
      </c>
      <c r="DT99" s="111" t="e" cm="1">
        <f t="array" aca="1" ref="DT99" ca="1">IF(COND_INTERSTICIAL[[#This Row],[Capa]]=1,IF(COND_INTERSTICIAL[[#This Row],[evapora]],2,1),IF(COND_INTERSTICIAL[[#This Row],[evapora]],1,0)+INDIRECT(ADDRESS(ROW()-1,COLUMN(),4)))</f>
        <v>#N/A</v>
      </c>
      <c r="DU99" s="111" t="e" cm="1">
        <f t="array" aca="1" ref="DU99" ca="1">IF(COND_INTERSTICIAL[[#This Row],[tramo ev]]=1,0,IF((COND_INTERSTICIAL[[#This Row],[tramo ev]]&gt;INDIRECT(ADDRESS(ROW()-1,COLUMN(COND_INTERSTICIAL[[#This Row],[tramo ev]]),4)))+COND_INTERSTICIAL[[#This Row],[evapora]],COND_INTERSTICIAL[[#This Row],[Capa]],INDIRECT(ADDRESS(ROW()-1,COLUMN(),4))))</f>
        <v>#N/A</v>
      </c>
      <c r="DV99" s="111" t="e" cm="1">
        <f t="array" aca="1" ref="DV99" ca="1">IF((COND_INTERSTICIAL[[#This Row],[Capa]]=N_capas)+(COND_INTERSTICIAL[[#This Row],[tramo ev]]=COUNTIFS(COND_INTERSTICIAL[evapora],TRUE,COND_INTERSTICIAL[Mes],CW99,COND_INTERSTICIAL[Sección],CX99)+1),N_capas,INDEX(COND_INTERSTICIAL[capa lím inf ev],MATCH(COND_INTERSTICIAL[[#This Row],[Mes]]&amp;"-"&amp;COND_INTERSTICIAL[[#This Row],[Sección]]&amp;"-"&amp;(COND_INTERSTICIAL[[#This Row],[tramo ev]]+1),COND_INTERSTICIAL[llave tramo ev],0)))</f>
        <v>#N/A</v>
      </c>
      <c r="DW99" s="111" cm="1">
        <f t="array" aca="1" ref="DW9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9" s="113" t="e" cm="1">
        <f t="array" aca="1" ref="DX9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9" s="113" t="e">
        <f ca="1">COND_INTERSTICIAL[[#This Row],[gev]]+COND_INTERSTICIAL[[#This Row],[Ma anterior ev]]</f>
        <v>#N/A</v>
      </c>
      <c r="EA99" s="115" t="e">
        <f ca="1">IF(COND_INTERSTICIAL[[#This Row],[Ma cond]]+COND_INTERSTICIAL[[#This Row],[Ma ev]]&lt;=0,0,COND_INTERSTICIAL[[#This Row],[Ma cond]]+COND_INTERSTICIAL[[#This Row],[Ma ev]])</f>
        <v>#N/A</v>
      </c>
      <c r="EB99" s="115" t="e">
        <f ca="1">IF(COND_INTERSTICIAL[[#This Row],[Ma]]&gt;0,TRUE,FALSE)</f>
        <v>#N/A</v>
      </c>
      <c r="EC99" s="115" t="e" cm="1">
        <f t="array" aca="1" ref="EC99" ca="1">IF(COND_INTERSTICIAL[[#This Row],[agua líquida]],IF(COND_INTERSTICIAL[[#This Row],[Condensa]],COND_INTERSTICIAL[[#This Row],[P límite cond]],COND_INTERSTICIAL[[#This Row],[P límite ev]]),IF(COND_INTERSTICIAL[[#This Row],[Capa]]=N_capas,COND_INTERSTICIAL[[#This Row],[Pn]],""))</f>
        <v>#N/A</v>
      </c>
      <c r="ED99" s="115" t="e">
        <f ca="1">COND_INTERSTICIAL[[#This Row],[Mes]]&amp;"-"&amp;COND_INTERSTICIAL[[#This Row],[Sección]]&amp;"-"&amp;COND_INTERSTICIAL[[#This Row],[tramo gráf]]</f>
        <v>#N/A</v>
      </c>
      <c r="EE99" s="114" t="e" cm="1">
        <f t="array" aca="1" ref="EE99" ca="1">IF(COND_INTERSTICIAL[[#This Row],[Capa]]=1,IF(COND_INTERSTICIAL[[#This Row],[agua líquida]],2,1),IF(COND_INTERSTICIAL[[#This Row],[agua líquida]],1,0)+INDIRECT(ADDRESS(ROW()-1,COLUMN(),4)))</f>
        <v>#N/A</v>
      </c>
      <c r="EF99" s="114" t="e" cm="1">
        <f t="array" aca="1" ref="EF99" ca="1">IF(COND_INTERSTICIAL[[#This Row],[tramo gráf]]=1,0,IF((COND_INTERSTICIAL[[#This Row],[tramo gráf]]&gt;INDIRECT(ADDRESS(ROW()-1,COLUMN(COND_INTERSTICIAL[[#This Row],[tramo gráf]]),4)))+COND_INTERSTICIAL[[#This Row],[agua líquida]],COND_INTERSTICIAL[[#This Row],[Capa]],INDIRECT(ADDRESS(ROW()-1,COLUMN(),4))))</f>
        <v>#N/A</v>
      </c>
      <c r="EG99" s="114" t="e" cm="1">
        <f t="array" aca="1" ref="EG99" ca="1">IF((COND_INTERSTICIAL[[#This Row],[Capa]]=N_capas)+(COND_INTERSTICIAL[[#This Row],[tramo gráf]]=COUNTIFS(COND_INTERSTICIAL[agua líquida],TRUE,COND_INTERSTICIAL[Mes],CW99,COND_INTERSTICIAL[Sección],CX99)+1),N_capas,INDEX(COND_INTERSTICIAL[capa lím inf gráf],MATCH(COND_INTERSTICIAL[[#This Row],[Mes]]&amp;"-"&amp;COND_INTERSTICIAL[[#This Row],[Sección]]&amp;"-"&amp;(COND_INTERSTICIAL[[#This Row],[tramo gráf]]+1),COND_INTERSTICIAL[llave tramo gráf],0)))</f>
        <v>#N/A</v>
      </c>
      <c r="EH99" s="114" cm="1">
        <f t="array" aca="1" ref="EH9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9" s="116" t="e" cm="1">
        <f t="array" aca="1" ref="EI9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0" spans="101:139" x14ac:dyDescent="0.45">
      <c r="CW100" s="1" cm="1">
        <f t="array" ref="CW100">ROUNDUP((ROW()-$CN$18+(Mes_inicial_de_análisis-1)*N_capas*N_secciones)/(N_capas*N_secciones),0)-12*IF(ROW()-$CN$18&gt;(12-Mes_inicial_de_análisis+1)*N_capas*N_secciones,1,0)</f>
        <v>12</v>
      </c>
      <c r="CX100" cm="1">
        <f t="array" ref="CX100">ROUNDUP((ROW()-$CN$18)/N_capas-(ROUNDUP((ROW()-$CN$18)/(N_capas*N_secciones),0)-1)*N_secciones,0)</f>
        <v>2</v>
      </c>
      <c r="CY100" cm="1">
        <f t="array" ref="CY100">(ROW()-$CN$18)-(COND_INTERSTICIAL[[#This Row],[Sección]]-1)*N_capas-(ROUNDUP((ROW()-$CN$18)/(N_capas*N_secciones),0)-1)*N_capas*N_secciones</f>
        <v>4</v>
      </c>
      <c r="CZ100" t="str">
        <f>COND_INTERSTICIAL[[#This Row],[Mes]]&amp;"-"&amp;COND_INTERSTICIAL[[#This Row],[Sección]]&amp;"-"&amp;COND_INTERSTICIAL[[#This Row],[Capa]]</f>
        <v>12-2-4</v>
      </c>
      <c r="DA100">
        <f ca="1">INDEX(SECCIONES_CAPAS[R''n],MATCH(COND_INTERSTICIAL[[#This Row],[Sección]]&amp;"-"&amp;COND_INTERSTICIAL[[#This Row],[Capa]],SECCIONES_CAPAS[llave],0))</f>
        <v>0.04</v>
      </c>
      <c r="DB100" s="172" t="e" cm="1">
        <f t="array" aca="1" ref="DB100" ca="1">INDEX(CLIMA[ϴe],COND_INTERSTICIAL[[#This Row],[Mes]])+COND_INTERSTICIAL[[#This Row],[Rn]]*(INDEX(CLIMA[ϴi],COND_INTERSTICIAL[[#This Row],[Mes]])-INDEX(CLIMA[ϴe],COND_INTERSTICIAL[[#This Row],[Mes]]))/(INDEX(SECCIONES[Rtsección_condensación],COND_INTERSTICIAL[[#This Row],[Sección]]))</f>
        <v>#N/A</v>
      </c>
      <c r="DC100">
        <f>INDEX(SECCIONES_CAPAS[Sd],MATCH(COND_INTERSTICIAL[[#This Row],[Sección]]&amp;"-"&amp;COND_INTERSTICIAL[[#This Row],[Capa]],SECCIONES_CAPAS[llave],0))</f>
        <v>0</v>
      </c>
      <c r="DD100">
        <f ca="1">INDEX(SECCIONES_CAPAS[S''d],MATCH(COND_INTERSTICIAL[[#This Row],[Sección]]&amp;"-"&amp;COND_INTERSTICIAL[[#This Row],[Capa]],SECCIONES_CAPAS[llave],0))</f>
        <v>0</v>
      </c>
      <c r="DE100" s="90" t="e">
        <f ca="1">IF(COND_INTERSTICIAL[[#This Row],[ϴn]]&gt;=0,610.5*EXP((17.269*COND_INTERSTICIAL[[#This Row],[ϴn]])/(237.3+COND_INTERSTICIAL[[#This Row],[ϴn]])),610.5*EXP((21.875*COND_INTERSTICIAL[[#This Row],[ϴn]])/(265.5+COND_INTERSTICIAL[[#This Row],[ϴn]])))</f>
        <v>#N/A</v>
      </c>
      <c r="DF100" s="90" t="e" cm="1">
        <f t="array" aca="1" ref="DF100" ca="1">COND_INTERSTICIAL[[#This Row],[S''d]]*((INDEX(CLIMA[Pi],COND_INTERSTICIAL[[#This Row],[Mes]])-INDEX(CLIMA[Pe],COND_INTERSTICIAL[[#This Row],[Mes]]))/INDEX(SECCIONES[SdT],COND_INTERSTICIAL[[#This Row],[Sección]]))+INDEX(CLIMA[Pe],COND_INTERSTICIAL[[#This Row],[Mes]])</f>
        <v>#N/A</v>
      </c>
      <c r="DG100" s="108" t="e">
        <f ca="1">IF((COND_INTERSTICIAL[[#This Row],[Pn]]&gt;=COND_INTERSTICIAL[[#This Row],[Psat]]),TRUE,FALSE)</f>
        <v>#N/A</v>
      </c>
      <c r="DH100" s="109" t="e" cm="1">
        <f t="array" aca="1" ref="DH100" ca="1">IF(COND_INTERSTICIAL[[#This Row],[Condensa]],COND_INTERSTICIAL[[#This Row],[Psat]],IF(COND_INTERSTICIAL[[#This Row],[Capa]]=N_capas,COND_INTERSTICIAL[[#This Row],[Pn]],""))</f>
        <v>#N/A</v>
      </c>
      <c r="DI100" s="109" t="e">
        <f ca="1">COND_INTERSTICIAL[[#This Row],[Mes]]&amp;"-"&amp;COND_INTERSTICIAL[[#This Row],[Sección]]&amp;"-"&amp;COND_INTERSTICIAL[[#This Row],[tramo cond]]</f>
        <v>#N/A</v>
      </c>
      <c r="DJ100" t="e" cm="1">
        <f t="array" aca="1" ref="DJ100" ca="1">IF(COND_INTERSTICIAL[[#This Row],[Capa]]=1,IF(COND_INTERSTICIAL[[#This Row],[Condensa]],2,1),IF(COND_INTERSTICIAL[[#This Row],[Condensa]],1,0)+INDIRECT(ADDRESS(ROW()-1,COLUMN(),4)))</f>
        <v>#N/A</v>
      </c>
      <c r="DK100" s="108" t="e" cm="1">
        <f t="array" aca="1" ref="DK100" ca="1">IF(COND_INTERSTICIAL[[#This Row],[tramo cond]]=1,0,IF((COND_INTERSTICIAL[[#This Row],[tramo cond]]&gt;INDIRECT(ADDRESS(ROW()-1,COLUMN(COND_INTERSTICIAL[[#This Row],[tramo cond]]),4)))+COND_INTERSTICIAL[[#This Row],[Condensa]],COND_INTERSTICIAL[[#This Row],[Capa]],INDIRECT(ADDRESS(ROW()-1,COLUMN(),4))))</f>
        <v>#N/A</v>
      </c>
      <c r="DL100" s="108" t="e" cm="1">
        <f t="array" aca="1" ref="DL100" ca="1">IF((COND_INTERSTICIAL[[#This Row],[Capa]]=N_capas)+(COND_INTERSTICIAL[[#This Row],[tramo cond]]=COUNTIFS(COND_INTERSTICIAL[Condensa],TRUE,COND_INTERSTICIAL[Mes],CW100,COND_INTERSTICIAL[Sección],CX100)+1),N_capas,INDEX(COND_INTERSTICIAL[capa lím inf cond],MATCH(COND_INTERSTICIAL[[#This Row],[Mes]]&amp;"-"&amp;COND_INTERSTICIAL[[#This Row],[Sección]]&amp;"-"&amp;(COND_INTERSTICIAL[[#This Row],[tramo cond]]+1),COND_INTERSTICIAL[llave tramo cond],0)))</f>
        <v>#N/A</v>
      </c>
      <c r="DM100" s="108" cm="1">
        <f t="array" aca="1" ref="DM10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0" s="110" t="e" cm="1">
        <f t="array" aca="1" ref="DN10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0" s="107" t="e">
        <f ca="1">COND_INTERSTICIAL[[#This Row],[gc]]+COND_INTERSTICIAL[[#This Row],[Ma_anterior cond]]</f>
        <v>#N/A</v>
      </c>
      <c r="DQ100" s="113" t="e">
        <f ca="1">IF((COND_INTERSTICIAL[[#This Row],[Ma_anterior cond]]&gt;0)*NOT(COND_INTERSTICIAL[[#This Row],[Condensa]]),TRUE,FALSE)</f>
        <v>#N/A</v>
      </c>
      <c r="DR100" s="112" t="e" cm="1">
        <f t="array" aca="1" ref="DR100" ca="1">IF(COND_INTERSTICIAL[[#This Row],[evapora]],COND_INTERSTICIAL[[#This Row],[Psat]],IF(COND_INTERSTICIAL[[#This Row],[Capa]]=N_capas,COND_INTERSTICIAL[[#This Row],[Pn]],""))</f>
        <v>#N/A</v>
      </c>
      <c r="DS100" s="112" t="e">
        <f ca="1">COND_INTERSTICIAL[[#This Row],[Mes]]&amp;"-"&amp;COND_INTERSTICIAL[[#This Row],[Sección]]&amp;"-"&amp;COND_INTERSTICIAL[[#This Row],[tramo ev]]</f>
        <v>#N/A</v>
      </c>
      <c r="DT100" s="111" t="e" cm="1">
        <f t="array" aca="1" ref="DT100" ca="1">IF(COND_INTERSTICIAL[[#This Row],[Capa]]=1,IF(COND_INTERSTICIAL[[#This Row],[evapora]],2,1),IF(COND_INTERSTICIAL[[#This Row],[evapora]],1,0)+INDIRECT(ADDRESS(ROW()-1,COLUMN(),4)))</f>
        <v>#N/A</v>
      </c>
      <c r="DU100" s="111" t="e" cm="1">
        <f t="array" aca="1" ref="DU100" ca="1">IF(COND_INTERSTICIAL[[#This Row],[tramo ev]]=1,0,IF((COND_INTERSTICIAL[[#This Row],[tramo ev]]&gt;INDIRECT(ADDRESS(ROW()-1,COLUMN(COND_INTERSTICIAL[[#This Row],[tramo ev]]),4)))+COND_INTERSTICIAL[[#This Row],[evapora]],COND_INTERSTICIAL[[#This Row],[Capa]],INDIRECT(ADDRESS(ROW()-1,COLUMN(),4))))</f>
        <v>#N/A</v>
      </c>
      <c r="DV100" s="111" t="e" cm="1">
        <f t="array" aca="1" ref="DV100" ca="1">IF((COND_INTERSTICIAL[[#This Row],[Capa]]=N_capas)+(COND_INTERSTICIAL[[#This Row],[tramo ev]]=COUNTIFS(COND_INTERSTICIAL[evapora],TRUE,COND_INTERSTICIAL[Mes],CW100,COND_INTERSTICIAL[Sección],CX100)+1),N_capas,INDEX(COND_INTERSTICIAL[capa lím inf ev],MATCH(COND_INTERSTICIAL[[#This Row],[Mes]]&amp;"-"&amp;COND_INTERSTICIAL[[#This Row],[Sección]]&amp;"-"&amp;(COND_INTERSTICIAL[[#This Row],[tramo ev]]+1),COND_INTERSTICIAL[llave tramo ev],0)))</f>
        <v>#N/A</v>
      </c>
      <c r="DW100" s="111" cm="1">
        <f t="array" aca="1" ref="DW10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0" s="113" t="e" cm="1">
        <f t="array" aca="1" ref="DX10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0" s="113" t="e">
        <f ca="1">COND_INTERSTICIAL[[#This Row],[gev]]+COND_INTERSTICIAL[[#This Row],[Ma anterior ev]]</f>
        <v>#N/A</v>
      </c>
      <c r="EA100" s="115" t="e">
        <f ca="1">IF(COND_INTERSTICIAL[[#This Row],[Ma cond]]+COND_INTERSTICIAL[[#This Row],[Ma ev]]&lt;=0,0,COND_INTERSTICIAL[[#This Row],[Ma cond]]+COND_INTERSTICIAL[[#This Row],[Ma ev]])</f>
        <v>#N/A</v>
      </c>
      <c r="EB100" s="115" t="e">
        <f ca="1">IF(COND_INTERSTICIAL[[#This Row],[Ma]]&gt;0,TRUE,FALSE)</f>
        <v>#N/A</v>
      </c>
      <c r="EC100" s="115" t="e" cm="1">
        <f t="array" aca="1" ref="EC100" ca="1">IF(COND_INTERSTICIAL[[#This Row],[agua líquida]],IF(COND_INTERSTICIAL[[#This Row],[Condensa]],COND_INTERSTICIAL[[#This Row],[P límite cond]],COND_INTERSTICIAL[[#This Row],[P límite ev]]),IF(COND_INTERSTICIAL[[#This Row],[Capa]]=N_capas,COND_INTERSTICIAL[[#This Row],[Pn]],""))</f>
        <v>#N/A</v>
      </c>
      <c r="ED100" s="115" t="e">
        <f ca="1">COND_INTERSTICIAL[[#This Row],[Mes]]&amp;"-"&amp;COND_INTERSTICIAL[[#This Row],[Sección]]&amp;"-"&amp;COND_INTERSTICIAL[[#This Row],[tramo gráf]]</f>
        <v>#N/A</v>
      </c>
      <c r="EE100" s="114" t="e" cm="1">
        <f t="array" aca="1" ref="EE100" ca="1">IF(COND_INTERSTICIAL[[#This Row],[Capa]]=1,IF(COND_INTERSTICIAL[[#This Row],[agua líquida]],2,1),IF(COND_INTERSTICIAL[[#This Row],[agua líquida]],1,0)+INDIRECT(ADDRESS(ROW()-1,COLUMN(),4)))</f>
        <v>#N/A</v>
      </c>
      <c r="EF100" s="114" t="e" cm="1">
        <f t="array" aca="1" ref="EF100" ca="1">IF(COND_INTERSTICIAL[[#This Row],[tramo gráf]]=1,0,IF((COND_INTERSTICIAL[[#This Row],[tramo gráf]]&gt;INDIRECT(ADDRESS(ROW()-1,COLUMN(COND_INTERSTICIAL[[#This Row],[tramo gráf]]),4)))+COND_INTERSTICIAL[[#This Row],[agua líquida]],COND_INTERSTICIAL[[#This Row],[Capa]],INDIRECT(ADDRESS(ROW()-1,COLUMN(),4))))</f>
        <v>#N/A</v>
      </c>
      <c r="EG100" s="114" t="e" cm="1">
        <f t="array" aca="1" ref="EG100" ca="1">IF((COND_INTERSTICIAL[[#This Row],[Capa]]=N_capas)+(COND_INTERSTICIAL[[#This Row],[tramo gráf]]=COUNTIFS(COND_INTERSTICIAL[agua líquida],TRUE,COND_INTERSTICIAL[Mes],CW100,COND_INTERSTICIAL[Sección],CX100)+1),N_capas,INDEX(COND_INTERSTICIAL[capa lím inf gráf],MATCH(COND_INTERSTICIAL[[#This Row],[Mes]]&amp;"-"&amp;COND_INTERSTICIAL[[#This Row],[Sección]]&amp;"-"&amp;(COND_INTERSTICIAL[[#This Row],[tramo gráf]]+1),COND_INTERSTICIAL[llave tramo gráf],0)))</f>
        <v>#N/A</v>
      </c>
      <c r="EH100" s="114" cm="1">
        <f t="array" aca="1" ref="EH10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0" s="116" t="e" cm="1">
        <f t="array" aca="1" ref="EI10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1" spans="101:139" x14ac:dyDescent="0.45">
      <c r="CW101" s="1" cm="1">
        <f t="array" ref="CW101">ROUNDUP((ROW()-$CN$18+(Mes_inicial_de_análisis-1)*N_capas*N_secciones)/(N_capas*N_secciones),0)-12*IF(ROW()-$CN$18&gt;(12-Mes_inicial_de_análisis+1)*N_capas*N_secciones,1,0)</f>
        <v>12</v>
      </c>
      <c r="CX101" cm="1">
        <f t="array" ref="CX101">ROUNDUP((ROW()-$CN$18)/N_capas-(ROUNDUP((ROW()-$CN$18)/(N_capas*N_secciones),0)-1)*N_secciones,0)</f>
        <v>2</v>
      </c>
      <c r="CY101" cm="1">
        <f t="array" ref="CY101">(ROW()-$CN$18)-(COND_INTERSTICIAL[[#This Row],[Sección]]-1)*N_capas-(ROUNDUP((ROW()-$CN$18)/(N_capas*N_secciones),0)-1)*N_capas*N_secciones</f>
        <v>5</v>
      </c>
      <c r="CZ101" t="str">
        <f>COND_INTERSTICIAL[[#This Row],[Mes]]&amp;"-"&amp;COND_INTERSTICIAL[[#This Row],[Sección]]&amp;"-"&amp;COND_INTERSTICIAL[[#This Row],[Capa]]</f>
        <v>12-2-5</v>
      </c>
      <c r="DA101">
        <f ca="1">INDEX(SECCIONES_CAPAS[R''n],MATCH(COND_INTERSTICIAL[[#This Row],[Sección]]&amp;"-"&amp;COND_INTERSTICIAL[[#This Row],[Capa]],SECCIONES_CAPAS[llave],0))</f>
        <v>0.04</v>
      </c>
      <c r="DB101" s="172" t="e" cm="1">
        <f t="array" aca="1" ref="DB101" ca="1">INDEX(CLIMA[ϴe],COND_INTERSTICIAL[[#This Row],[Mes]])+COND_INTERSTICIAL[[#This Row],[Rn]]*(INDEX(CLIMA[ϴi],COND_INTERSTICIAL[[#This Row],[Mes]])-INDEX(CLIMA[ϴe],COND_INTERSTICIAL[[#This Row],[Mes]]))/(INDEX(SECCIONES[Rtsección_condensación],COND_INTERSTICIAL[[#This Row],[Sección]]))</f>
        <v>#N/A</v>
      </c>
      <c r="DC101">
        <f>INDEX(SECCIONES_CAPAS[Sd],MATCH(COND_INTERSTICIAL[[#This Row],[Sección]]&amp;"-"&amp;COND_INTERSTICIAL[[#This Row],[Capa]],SECCIONES_CAPAS[llave],0))</f>
        <v>0</v>
      </c>
      <c r="DD101">
        <f ca="1">INDEX(SECCIONES_CAPAS[S''d],MATCH(COND_INTERSTICIAL[[#This Row],[Sección]]&amp;"-"&amp;COND_INTERSTICIAL[[#This Row],[Capa]],SECCIONES_CAPAS[llave],0))</f>
        <v>0</v>
      </c>
      <c r="DE101" s="90" t="e">
        <f ca="1">IF(COND_INTERSTICIAL[[#This Row],[ϴn]]&gt;=0,610.5*EXP((17.269*COND_INTERSTICIAL[[#This Row],[ϴn]])/(237.3+COND_INTERSTICIAL[[#This Row],[ϴn]])),610.5*EXP((21.875*COND_INTERSTICIAL[[#This Row],[ϴn]])/(265.5+COND_INTERSTICIAL[[#This Row],[ϴn]])))</f>
        <v>#N/A</v>
      </c>
      <c r="DF101" s="90" t="e" cm="1">
        <f t="array" aca="1" ref="DF101" ca="1">COND_INTERSTICIAL[[#This Row],[S''d]]*((INDEX(CLIMA[Pi],COND_INTERSTICIAL[[#This Row],[Mes]])-INDEX(CLIMA[Pe],COND_INTERSTICIAL[[#This Row],[Mes]]))/INDEX(SECCIONES[SdT],COND_INTERSTICIAL[[#This Row],[Sección]]))+INDEX(CLIMA[Pe],COND_INTERSTICIAL[[#This Row],[Mes]])</f>
        <v>#N/A</v>
      </c>
      <c r="DG101" s="108" t="e">
        <f ca="1">IF((COND_INTERSTICIAL[[#This Row],[Pn]]&gt;=COND_INTERSTICIAL[[#This Row],[Psat]]),TRUE,FALSE)</f>
        <v>#N/A</v>
      </c>
      <c r="DH101" s="109" t="e" cm="1">
        <f t="array" aca="1" ref="DH101" ca="1">IF(COND_INTERSTICIAL[[#This Row],[Condensa]],COND_INTERSTICIAL[[#This Row],[Psat]],IF(COND_INTERSTICIAL[[#This Row],[Capa]]=N_capas,COND_INTERSTICIAL[[#This Row],[Pn]],""))</f>
        <v>#N/A</v>
      </c>
      <c r="DI101" s="109" t="e">
        <f ca="1">COND_INTERSTICIAL[[#This Row],[Mes]]&amp;"-"&amp;COND_INTERSTICIAL[[#This Row],[Sección]]&amp;"-"&amp;COND_INTERSTICIAL[[#This Row],[tramo cond]]</f>
        <v>#N/A</v>
      </c>
      <c r="DJ101" t="e" cm="1">
        <f t="array" aca="1" ref="DJ101" ca="1">IF(COND_INTERSTICIAL[[#This Row],[Capa]]=1,IF(COND_INTERSTICIAL[[#This Row],[Condensa]],2,1),IF(COND_INTERSTICIAL[[#This Row],[Condensa]],1,0)+INDIRECT(ADDRESS(ROW()-1,COLUMN(),4)))</f>
        <v>#N/A</v>
      </c>
      <c r="DK101" s="108" t="e" cm="1">
        <f t="array" aca="1" ref="DK101" ca="1">IF(COND_INTERSTICIAL[[#This Row],[tramo cond]]=1,0,IF((COND_INTERSTICIAL[[#This Row],[tramo cond]]&gt;INDIRECT(ADDRESS(ROW()-1,COLUMN(COND_INTERSTICIAL[[#This Row],[tramo cond]]),4)))+COND_INTERSTICIAL[[#This Row],[Condensa]],COND_INTERSTICIAL[[#This Row],[Capa]],INDIRECT(ADDRESS(ROW()-1,COLUMN(),4))))</f>
        <v>#N/A</v>
      </c>
      <c r="DL101" s="108" t="e" cm="1">
        <f t="array" aca="1" ref="DL101" ca="1">IF((COND_INTERSTICIAL[[#This Row],[Capa]]=N_capas)+(COND_INTERSTICIAL[[#This Row],[tramo cond]]=COUNTIFS(COND_INTERSTICIAL[Condensa],TRUE,COND_INTERSTICIAL[Mes],CW101,COND_INTERSTICIAL[Sección],CX101)+1),N_capas,INDEX(COND_INTERSTICIAL[capa lím inf cond],MATCH(COND_INTERSTICIAL[[#This Row],[Mes]]&amp;"-"&amp;COND_INTERSTICIAL[[#This Row],[Sección]]&amp;"-"&amp;(COND_INTERSTICIAL[[#This Row],[tramo cond]]+1),COND_INTERSTICIAL[llave tramo cond],0)))</f>
        <v>#N/A</v>
      </c>
      <c r="DM101" s="108" cm="1">
        <f t="array" aca="1" ref="DM10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1" s="110" t="e" cm="1">
        <f t="array" aca="1" ref="DN10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1" s="107" t="e">
        <f ca="1">COND_INTERSTICIAL[[#This Row],[gc]]+COND_INTERSTICIAL[[#This Row],[Ma_anterior cond]]</f>
        <v>#N/A</v>
      </c>
      <c r="DQ101" s="113" t="e">
        <f ca="1">IF((COND_INTERSTICIAL[[#This Row],[Ma_anterior cond]]&gt;0)*NOT(COND_INTERSTICIAL[[#This Row],[Condensa]]),TRUE,FALSE)</f>
        <v>#N/A</v>
      </c>
      <c r="DR101" s="112" t="e" cm="1">
        <f t="array" aca="1" ref="DR101" ca="1">IF(COND_INTERSTICIAL[[#This Row],[evapora]],COND_INTERSTICIAL[[#This Row],[Psat]],IF(COND_INTERSTICIAL[[#This Row],[Capa]]=N_capas,COND_INTERSTICIAL[[#This Row],[Pn]],""))</f>
        <v>#N/A</v>
      </c>
      <c r="DS101" s="112" t="e">
        <f ca="1">COND_INTERSTICIAL[[#This Row],[Mes]]&amp;"-"&amp;COND_INTERSTICIAL[[#This Row],[Sección]]&amp;"-"&amp;COND_INTERSTICIAL[[#This Row],[tramo ev]]</f>
        <v>#N/A</v>
      </c>
      <c r="DT101" s="111" t="e" cm="1">
        <f t="array" aca="1" ref="DT101" ca="1">IF(COND_INTERSTICIAL[[#This Row],[Capa]]=1,IF(COND_INTERSTICIAL[[#This Row],[evapora]],2,1),IF(COND_INTERSTICIAL[[#This Row],[evapora]],1,0)+INDIRECT(ADDRESS(ROW()-1,COLUMN(),4)))</f>
        <v>#N/A</v>
      </c>
      <c r="DU101" s="111" t="e" cm="1">
        <f t="array" aca="1" ref="DU101" ca="1">IF(COND_INTERSTICIAL[[#This Row],[tramo ev]]=1,0,IF((COND_INTERSTICIAL[[#This Row],[tramo ev]]&gt;INDIRECT(ADDRESS(ROW()-1,COLUMN(COND_INTERSTICIAL[[#This Row],[tramo ev]]),4)))+COND_INTERSTICIAL[[#This Row],[evapora]],COND_INTERSTICIAL[[#This Row],[Capa]],INDIRECT(ADDRESS(ROW()-1,COLUMN(),4))))</f>
        <v>#N/A</v>
      </c>
      <c r="DV101" s="111" t="e" cm="1">
        <f t="array" aca="1" ref="DV101" ca="1">IF((COND_INTERSTICIAL[[#This Row],[Capa]]=N_capas)+(COND_INTERSTICIAL[[#This Row],[tramo ev]]=COUNTIFS(COND_INTERSTICIAL[evapora],TRUE,COND_INTERSTICIAL[Mes],CW101,COND_INTERSTICIAL[Sección],CX101)+1),N_capas,INDEX(COND_INTERSTICIAL[capa lím inf ev],MATCH(COND_INTERSTICIAL[[#This Row],[Mes]]&amp;"-"&amp;COND_INTERSTICIAL[[#This Row],[Sección]]&amp;"-"&amp;(COND_INTERSTICIAL[[#This Row],[tramo ev]]+1),COND_INTERSTICIAL[llave tramo ev],0)))</f>
        <v>#N/A</v>
      </c>
      <c r="DW101" s="111" cm="1">
        <f t="array" aca="1" ref="DW10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1" s="113" t="e" cm="1">
        <f t="array" aca="1" ref="DX10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1" s="113" t="e">
        <f ca="1">COND_INTERSTICIAL[[#This Row],[gev]]+COND_INTERSTICIAL[[#This Row],[Ma anterior ev]]</f>
        <v>#N/A</v>
      </c>
      <c r="EA101" s="115" t="e">
        <f ca="1">IF(COND_INTERSTICIAL[[#This Row],[Ma cond]]+COND_INTERSTICIAL[[#This Row],[Ma ev]]&lt;=0,0,COND_INTERSTICIAL[[#This Row],[Ma cond]]+COND_INTERSTICIAL[[#This Row],[Ma ev]])</f>
        <v>#N/A</v>
      </c>
      <c r="EB101" s="115" t="e">
        <f ca="1">IF(COND_INTERSTICIAL[[#This Row],[Ma]]&gt;0,TRUE,FALSE)</f>
        <v>#N/A</v>
      </c>
      <c r="EC101" s="115" t="e" cm="1">
        <f t="array" aca="1" ref="EC101" ca="1">IF(COND_INTERSTICIAL[[#This Row],[agua líquida]],IF(COND_INTERSTICIAL[[#This Row],[Condensa]],COND_INTERSTICIAL[[#This Row],[P límite cond]],COND_INTERSTICIAL[[#This Row],[P límite ev]]),IF(COND_INTERSTICIAL[[#This Row],[Capa]]=N_capas,COND_INTERSTICIAL[[#This Row],[Pn]],""))</f>
        <v>#N/A</v>
      </c>
      <c r="ED101" s="115" t="e">
        <f ca="1">COND_INTERSTICIAL[[#This Row],[Mes]]&amp;"-"&amp;COND_INTERSTICIAL[[#This Row],[Sección]]&amp;"-"&amp;COND_INTERSTICIAL[[#This Row],[tramo gráf]]</f>
        <v>#N/A</v>
      </c>
      <c r="EE101" s="114" t="e" cm="1">
        <f t="array" aca="1" ref="EE101" ca="1">IF(COND_INTERSTICIAL[[#This Row],[Capa]]=1,IF(COND_INTERSTICIAL[[#This Row],[agua líquida]],2,1),IF(COND_INTERSTICIAL[[#This Row],[agua líquida]],1,0)+INDIRECT(ADDRESS(ROW()-1,COLUMN(),4)))</f>
        <v>#N/A</v>
      </c>
      <c r="EF101" s="114" t="e" cm="1">
        <f t="array" aca="1" ref="EF101" ca="1">IF(COND_INTERSTICIAL[[#This Row],[tramo gráf]]=1,0,IF((COND_INTERSTICIAL[[#This Row],[tramo gráf]]&gt;INDIRECT(ADDRESS(ROW()-1,COLUMN(COND_INTERSTICIAL[[#This Row],[tramo gráf]]),4)))+COND_INTERSTICIAL[[#This Row],[agua líquida]],COND_INTERSTICIAL[[#This Row],[Capa]],INDIRECT(ADDRESS(ROW()-1,COLUMN(),4))))</f>
        <v>#N/A</v>
      </c>
      <c r="EG101" s="114" t="e" cm="1">
        <f t="array" aca="1" ref="EG101" ca="1">IF((COND_INTERSTICIAL[[#This Row],[Capa]]=N_capas)+(COND_INTERSTICIAL[[#This Row],[tramo gráf]]=COUNTIFS(COND_INTERSTICIAL[agua líquida],TRUE,COND_INTERSTICIAL[Mes],CW101,COND_INTERSTICIAL[Sección],CX101)+1),N_capas,INDEX(COND_INTERSTICIAL[capa lím inf gráf],MATCH(COND_INTERSTICIAL[[#This Row],[Mes]]&amp;"-"&amp;COND_INTERSTICIAL[[#This Row],[Sección]]&amp;"-"&amp;(COND_INTERSTICIAL[[#This Row],[tramo gráf]]+1),COND_INTERSTICIAL[llave tramo gráf],0)))</f>
        <v>#N/A</v>
      </c>
      <c r="EH101" s="114" cm="1">
        <f t="array" aca="1" ref="EH10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1" s="116" t="e" cm="1">
        <f t="array" aca="1" ref="EI10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2" spans="101:139" x14ac:dyDescent="0.45">
      <c r="CW102" s="1" cm="1">
        <f t="array" ref="CW102">ROUNDUP((ROW()-$CN$18+(Mes_inicial_de_análisis-1)*N_capas*N_secciones)/(N_capas*N_secciones),0)-12*IF(ROW()-$CN$18&gt;(12-Mes_inicial_de_análisis+1)*N_capas*N_secciones,1,0)</f>
        <v>12</v>
      </c>
      <c r="CX102" cm="1">
        <f t="array" ref="CX102">ROUNDUP((ROW()-$CN$18)/N_capas-(ROUNDUP((ROW()-$CN$18)/(N_capas*N_secciones),0)-1)*N_secciones,0)</f>
        <v>2</v>
      </c>
      <c r="CY102" cm="1">
        <f t="array" ref="CY102">(ROW()-$CN$18)-(COND_INTERSTICIAL[[#This Row],[Sección]]-1)*N_capas-(ROUNDUP((ROW()-$CN$18)/(N_capas*N_secciones),0)-1)*N_capas*N_secciones</f>
        <v>6</v>
      </c>
      <c r="CZ102" t="str">
        <f>COND_INTERSTICIAL[[#This Row],[Mes]]&amp;"-"&amp;COND_INTERSTICIAL[[#This Row],[Sección]]&amp;"-"&amp;COND_INTERSTICIAL[[#This Row],[Capa]]</f>
        <v>12-2-6</v>
      </c>
      <c r="DA102">
        <f ca="1">INDEX(SECCIONES_CAPAS[R''n],MATCH(COND_INTERSTICIAL[[#This Row],[Sección]]&amp;"-"&amp;COND_INTERSTICIAL[[#This Row],[Capa]],SECCIONES_CAPAS[llave],0))</f>
        <v>0.04</v>
      </c>
      <c r="DB102" s="172" t="e" cm="1">
        <f t="array" aca="1" ref="DB102" ca="1">INDEX(CLIMA[ϴe],COND_INTERSTICIAL[[#This Row],[Mes]])+COND_INTERSTICIAL[[#This Row],[Rn]]*(INDEX(CLIMA[ϴi],COND_INTERSTICIAL[[#This Row],[Mes]])-INDEX(CLIMA[ϴe],COND_INTERSTICIAL[[#This Row],[Mes]]))/(INDEX(SECCIONES[Rtsección_condensación],COND_INTERSTICIAL[[#This Row],[Sección]]))</f>
        <v>#N/A</v>
      </c>
      <c r="DC102">
        <f>INDEX(SECCIONES_CAPAS[Sd],MATCH(COND_INTERSTICIAL[[#This Row],[Sección]]&amp;"-"&amp;COND_INTERSTICIAL[[#This Row],[Capa]],SECCIONES_CAPAS[llave],0))</f>
        <v>0</v>
      </c>
      <c r="DD102">
        <f ca="1">INDEX(SECCIONES_CAPAS[S''d],MATCH(COND_INTERSTICIAL[[#This Row],[Sección]]&amp;"-"&amp;COND_INTERSTICIAL[[#This Row],[Capa]],SECCIONES_CAPAS[llave],0))</f>
        <v>0</v>
      </c>
      <c r="DE102" s="90" t="e">
        <f ca="1">IF(COND_INTERSTICIAL[[#This Row],[ϴn]]&gt;=0,610.5*EXP((17.269*COND_INTERSTICIAL[[#This Row],[ϴn]])/(237.3+COND_INTERSTICIAL[[#This Row],[ϴn]])),610.5*EXP((21.875*COND_INTERSTICIAL[[#This Row],[ϴn]])/(265.5+COND_INTERSTICIAL[[#This Row],[ϴn]])))</f>
        <v>#N/A</v>
      </c>
      <c r="DF102" s="90" t="e" cm="1">
        <f t="array" aca="1" ref="DF102" ca="1">COND_INTERSTICIAL[[#This Row],[S''d]]*((INDEX(CLIMA[Pi],COND_INTERSTICIAL[[#This Row],[Mes]])-INDEX(CLIMA[Pe],COND_INTERSTICIAL[[#This Row],[Mes]]))/INDEX(SECCIONES[SdT],COND_INTERSTICIAL[[#This Row],[Sección]]))+INDEX(CLIMA[Pe],COND_INTERSTICIAL[[#This Row],[Mes]])</f>
        <v>#N/A</v>
      </c>
      <c r="DG102" s="108" t="e">
        <f ca="1">IF((COND_INTERSTICIAL[[#This Row],[Pn]]&gt;=COND_INTERSTICIAL[[#This Row],[Psat]]),TRUE,FALSE)</f>
        <v>#N/A</v>
      </c>
      <c r="DH102" s="109" t="e" cm="1">
        <f t="array" aca="1" ref="DH102" ca="1">IF(COND_INTERSTICIAL[[#This Row],[Condensa]],COND_INTERSTICIAL[[#This Row],[Psat]],IF(COND_INTERSTICIAL[[#This Row],[Capa]]=N_capas,COND_INTERSTICIAL[[#This Row],[Pn]],""))</f>
        <v>#N/A</v>
      </c>
      <c r="DI102" s="109" t="e">
        <f ca="1">COND_INTERSTICIAL[[#This Row],[Mes]]&amp;"-"&amp;COND_INTERSTICIAL[[#This Row],[Sección]]&amp;"-"&amp;COND_INTERSTICIAL[[#This Row],[tramo cond]]</f>
        <v>#N/A</v>
      </c>
      <c r="DJ102" t="e" cm="1">
        <f t="array" aca="1" ref="DJ102" ca="1">IF(COND_INTERSTICIAL[[#This Row],[Capa]]=1,IF(COND_INTERSTICIAL[[#This Row],[Condensa]],2,1),IF(COND_INTERSTICIAL[[#This Row],[Condensa]],1,0)+INDIRECT(ADDRESS(ROW()-1,COLUMN(),4)))</f>
        <v>#N/A</v>
      </c>
      <c r="DK102" s="108" t="e" cm="1">
        <f t="array" aca="1" ref="DK102" ca="1">IF(COND_INTERSTICIAL[[#This Row],[tramo cond]]=1,0,IF((COND_INTERSTICIAL[[#This Row],[tramo cond]]&gt;INDIRECT(ADDRESS(ROW()-1,COLUMN(COND_INTERSTICIAL[[#This Row],[tramo cond]]),4)))+COND_INTERSTICIAL[[#This Row],[Condensa]],COND_INTERSTICIAL[[#This Row],[Capa]],INDIRECT(ADDRESS(ROW()-1,COLUMN(),4))))</f>
        <v>#N/A</v>
      </c>
      <c r="DL102" s="108" t="e" cm="1">
        <f t="array" aca="1" ref="DL102" ca="1">IF((COND_INTERSTICIAL[[#This Row],[Capa]]=N_capas)+(COND_INTERSTICIAL[[#This Row],[tramo cond]]=COUNTIFS(COND_INTERSTICIAL[Condensa],TRUE,COND_INTERSTICIAL[Mes],CW102,COND_INTERSTICIAL[Sección],CX102)+1),N_capas,INDEX(COND_INTERSTICIAL[capa lím inf cond],MATCH(COND_INTERSTICIAL[[#This Row],[Mes]]&amp;"-"&amp;COND_INTERSTICIAL[[#This Row],[Sección]]&amp;"-"&amp;(COND_INTERSTICIAL[[#This Row],[tramo cond]]+1),COND_INTERSTICIAL[llave tramo cond],0)))</f>
        <v>#N/A</v>
      </c>
      <c r="DM102" s="108" cm="1">
        <f t="array" aca="1" ref="DM10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2" s="110" t="e" cm="1">
        <f t="array" aca="1" ref="DN10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2" s="107" t="e">
        <f ca="1">COND_INTERSTICIAL[[#This Row],[gc]]+COND_INTERSTICIAL[[#This Row],[Ma_anterior cond]]</f>
        <v>#N/A</v>
      </c>
      <c r="DQ102" s="113" t="e">
        <f ca="1">IF((COND_INTERSTICIAL[[#This Row],[Ma_anterior cond]]&gt;0)*NOT(COND_INTERSTICIAL[[#This Row],[Condensa]]),TRUE,FALSE)</f>
        <v>#N/A</v>
      </c>
      <c r="DR102" s="112" t="e" cm="1">
        <f t="array" aca="1" ref="DR102" ca="1">IF(COND_INTERSTICIAL[[#This Row],[evapora]],COND_INTERSTICIAL[[#This Row],[Psat]],IF(COND_INTERSTICIAL[[#This Row],[Capa]]=N_capas,COND_INTERSTICIAL[[#This Row],[Pn]],""))</f>
        <v>#N/A</v>
      </c>
      <c r="DS102" s="112" t="e">
        <f ca="1">COND_INTERSTICIAL[[#This Row],[Mes]]&amp;"-"&amp;COND_INTERSTICIAL[[#This Row],[Sección]]&amp;"-"&amp;COND_INTERSTICIAL[[#This Row],[tramo ev]]</f>
        <v>#N/A</v>
      </c>
      <c r="DT102" s="111" t="e" cm="1">
        <f t="array" aca="1" ref="DT102" ca="1">IF(COND_INTERSTICIAL[[#This Row],[Capa]]=1,IF(COND_INTERSTICIAL[[#This Row],[evapora]],2,1),IF(COND_INTERSTICIAL[[#This Row],[evapora]],1,0)+INDIRECT(ADDRESS(ROW()-1,COLUMN(),4)))</f>
        <v>#N/A</v>
      </c>
      <c r="DU102" s="111" t="e" cm="1">
        <f t="array" aca="1" ref="DU102" ca="1">IF(COND_INTERSTICIAL[[#This Row],[tramo ev]]=1,0,IF((COND_INTERSTICIAL[[#This Row],[tramo ev]]&gt;INDIRECT(ADDRESS(ROW()-1,COLUMN(COND_INTERSTICIAL[[#This Row],[tramo ev]]),4)))+COND_INTERSTICIAL[[#This Row],[evapora]],COND_INTERSTICIAL[[#This Row],[Capa]],INDIRECT(ADDRESS(ROW()-1,COLUMN(),4))))</f>
        <v>#N/A</v>
      </c>
      <c r="DV102" s="111" t="e" cm="1">
        <f t="array" aca="1" ref="DV102" ca="1">IF((COND_INTERSTICIAL[[#This Row],[Capa]]=N_capas)+(COND_INTERSTICIAL[[#This Row],[tramo ev]]=COUNTIFS(COND_INTERSTICIAL[evapora],TRUE,COND_INTERSTICIAL[Mes],CW102,COND_INTERSTICIAL[Sección],CX102)+1),N_capas,INDEX(COND_INTERSTICIAL[capa lím inf ev],MATCH(COND_INTERSTICIAL[[#This Row],[Mes]]&amp;"-"&amp;COND_INTERSTICIAL[[#This Row],[Sección]]&amp;"-"&amp;(COND_INTERSTICIAL[[#This Row],[tramo ev]]+1),COND_INTERSTICIAL[llave tramo ev],0)))</f>
        <v>#N/A</v>
      </c>
      <c r="DW102" s="111" cm="1">
        <f t="array" aca="1" ref="DW10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2" s="113" t="e" cm="1">
        <f t="array" aca="1" ref="DX10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2" s="113" t="e">
        <f ca="1">COND_INTERSTICIAL[[#This Row],[gev]]+COND_INTERSTICIAL[[#This Row],[Ma anterior ev]]</f>
        <v>#N/A</v>
      </c>
      <c r="EA102" s="115" t="e">
        <f ca="1">IF(COND_INTERSTICIAL[[#This Row],[Ma cond]]+COND_INTERSTICIAL[[#This Row],[Ma ev]]&lt;=0,0,COND_INTERSTICIAL[[#This Row],[Ma cond]]+COND_INTERSTICIAL[[#This Row],[Ma ev]])</f>
        <v>#N/A</v>
      </c>
      <c r="EB102" s="115" t="e">
        <f ca="1">IF(COND_INTERSTICIAL[[#This Row],[Ma]]&gt;0,TRUE,FALSE)</f>
        <v>#N/A</v>
      </c>
      <c r="EC102" s="115" t="e" cm="1">
        <f t="array" aca="1" ref="EC102" ca="1">IF(COND_INTERSTICIAL[[#This Row],[agua líquida]],IF(COND_INTERSTICIAL[[#This Row],[Condensa]],COND_INTERSTICIAL[[#This Row],[P límite cond]],COND_INTERSTICIAL[[#This Row],[P límite ev]]),IF(COND_INTERSTICIAL[[#This Row],[Capa]]=N_capas,COND_INTERSTICIAL[[#This Row],[Pn]],""))</f>
        <v>#N/A</v>
      </c>
      <c r="ED102" s="115" t="e">
        <f ca="1">COND_INTERSTICIAL[[#This Row],[Mes]]&amp;"-"&amp;COND_INTERSTICIAL[[#This Row],[Sección]]&amp;"-"&amp;COND_INTERSTICIAL[[#This Row],[tramo gráf]]</f>
        <v>#N/A</v>
      </c>
      <c r="EE102" s="114" t="e" cm="1">
        <f t="array" aca="1" ref="EE102" ca="1">IF(COND_INTERSTICIAL[[#This Row],[Capa]]=1,IF(COND_INTERSTICIAL[[#This Row],[agua líquida]],2,1),IF(COND_INTERSTICIAL[[#This Row],[agua líquida]],1,0)+INDIRECT(ADDRESS(ROW()-1,COLUMN(),4)))</f>
        <v>#N/A</v>
      </c>
      <c r="EF102" s="114" t="e" cm="1">
        <f t="array" aca="1" ref="EF102" ca="1">IF(COND_INTERSTICIAL[[#This Row],[tramo gráf]]=1,0,IF((COND_INTERSTICIAL[[#This Row],[tramo gráf]]&gt;INDIRECT(ADDRESS(ROW()-1,COLUMN(COND_INTERSTICIAL[[#This Row],[tramo gráf]]),4)))+COND_INTERSTICIAL[[#This Row],[agua líquida]],COND_INTERSTICIAL[[#This Row],[Capa]],INDIRECT(ADDRESS(ROW()-1,COLUMN(),4))))</f>
        <v>#N/A</v>
      </c>
      <c r="EG102" s="114" t="e" cm="1">
        <f t="array" aca="1" ref="EG102" ca="1">IF((COND_INTERSTICIAL[[#This Row],[Capa]]=N_capas)+(COND_INTERSTICIAL[[#This Row],[tramo gráf]]=COUNTIFS(COND_INTERSTICIAL[agua líquida],TRUE,COND_INTERSTICIAL[Mes],CW102,COND_INTERSTICIAL[Sección],CX102)+1),N_capas,INDEX(COND_INTERSTICIAL[capa lím inf gráf],MATCH(COND_INTERSTICIAL[[#This Row],[Mes]]&amp;"-"&amp;COND_INTERSTICIAL[[#This Row],[Sección]]&amp;"-"&amp;(COND_INTERSTICIAL[[#This Row],[tramo gráf]]+1),COND_INTERSTICIAL[llave tramo gráf],0)))</f>
        <v>#N/A</v>
      </c>
      <c r="EH102" s="114" cm="1">
        <f t="array" aca="1" ref="EH10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2" s="116" t="e" cm="1">
        <f t="array" aca="1" ref="EI10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3" spans="101:139" x14ac:dyDescent="0.45">
      <c r="CW103" s="1" cm="1">
        <f t="array" ref="CW103">ROUNDUP((ROW()-$CN$18+(Mes_inicial_de_análisis-1)*N_capas*N_secciones)/(N_capas*N_secciones),0)-12*IF(ROW()-$CN$18&gt;(12-Mes_inicial_de_análisis+1)*N_capas*N_secciones,1,0)</f>
        <v>12</v>
      </c>
      <c r="CX103" cm="1">
        <f t="array" ref="CX103">ROUNDUP((ROW()-$CN$18)/N_capas-(ROUNDUP((ROW()-$CN$18)/(N_capas*N_secciones),0)-1)*N_secciones,0)</f>
        <v>2</v>
      </c>
      <c r="CY103" cm="1">
        <f t="array" ref="CY103">(ROW()-$CN$18)-(COND_INTERSTICIAL[[#This Row],[Sección]]-1)*N_capas-(ROUNDUP((ROW()-$CN$18)/(N_capas*N_secciones),0)-1)*N_capas*N_secciones</f>
        <v>7</v>
      </c>
      <c r="CZ103" t="str">
        <f>COND_INTERSTICIAL[[#This Row],[Mes]]&amp;"-"&amp;COND_INTERSTICIAL[[#This Row],[Sección]]&amp;"-"&amp;COND_INTERSTICIAL[[#This Row],[Capa]]</f>
        <v>12-2-7</v>
      </c>
      <c r="DA103">
        <f ca="1">INDEX(SECCIONES_CAPAS[R''n],MATCH(COND_INTERSTICIAL[[#This Row],[Sección]]&amp;"-"&amp;COND_INTERSTICIAL[[#This Row],[Capa]],SECCIONES_CAPAS[llave],0))</f>
        <v>0.04</v>
      </c>
      <c r="DB103" s="172" t="e" cm="1">
        <f t="array" aca="1" ref="DB103" ca="1">INDEX(CLIMA[ϴe],COND_INTERSTICIAL[[#This Row],[Mes]])+COND_INTERSTICIAL[[#This Row],[Rn]]*(INDEX(CLIMA[ϴi],COND_INTERSTICIAL[[#This Row],[Mes]])-INDEX(CLIMA[ϴe],COND_INTERSTICIAL[[#This Row],[Mes]]))/(INDEX(SECCIONES[Rtsección_condensación],COND_INTERSTICIAL[[#This Row],[Sección]]))</f>
        <v>#N/A</v>
      </c>
      <c r="DC103">
        <f>INDEX(SECCIONES_CAPAS[Sd],MATCH(COND_INTERSTICIAL[[#This Row],[Sección]]&amp;"-"&amp;COND_INTERSTICIAL[[#This Row],[Capa]],SECCIONES_CAPAS[llave],0))</f>
        <v>0</v>
      </c>
      <c r="DD103">
        <f ca="1">INDEX(SECCIONES_CAPAS[S''d],MATCH(COND_INTERSTICIAL[[#This Row],[Sección]]&amp;"-"&amp;COND_INTERSTICIAL[[#This Row],[Capa]],SECCIONES_CAPAS[llave],0))</f>
        <v>0</v>
      </c>
      <c r="DE103" s="90" t="e">
        <f ca="1">IF(COND_INTERSTICIAL[[#This Row],[ϴn]]&gt;=0,610.5*EXP((17.269*COND_INTERSTICIAL[[#This Row],[ϴn]])/(237.3+COND_INTERSTICIAL[[#This Row],[ϴn]])),610.5*EXP((21.875*COND_INTERSTICIAL[[#This Row],[ϴn]])/(265.5+COND_INTERSTICIAL[[#This Row],[ϴn]])))</f>
        <v>#N/A</v>
      </c>
      <c r="DF103" s="90" t="e" cm="1">
        <f t="array" aca="1" ref="DF103" ca="1">COND_INTERSTICIAL[[#This Row],[S''d]]*((INDEX(CLIMA[Pi],COND_INTERSTICIAL[[#This Row],[Mes]])-INDEX(CLIMA[Pe],COND_INTERSTICIAL[[#This Row],[Mes]]))/INDEX(SECCIONES[SdT],COND_INTERSTICIAL[[#This Row],[Sección]]))+INDEX(CLIMA[Pe],COND_INTERSTICIAL[[#This Row],[Mes]])</f>
        <v>#N/A</v>
      </c>
      <c r="DG103" s="108" t="e">
        <f ca="1">IF((COND_INTERSTICIAL[[#This Row],[Pn]]&gt;=COND_INTERSTICIAL[[#This Row],[Psat]]),TRUE,FALSE)</f>
        <v>#N/A</v>
      </c>
      <c r="DH103" s="109" t="e" cm="1">
        <f t="array" aca="1" ref="DH103" ca="1">IF(COND_INTERSTICIAL[[#This Row],[Condensa]],COND_INTERSTICIAL[[#This Row],[Psat]],IF(COND_INTERSTICIAL[[#This Row],[Capa]]=N_capas,COND_INTERSTICIAL[[#This Row],[Pn]],""))</f>
        <v>#N/A</v>
      </c>
      <c r="DI103" s="109" t="e">
        <f ca="1">COND_INTERSTICIAL[[#This Row],[Mes]]&amp;"-"&amp;COND_INTERSTICIAL[[#This Row],[Sección]]&amp;"-"&amp;COND_INTERSTICIAL[[#This Row],[tramo cond]]</f>
        <v>#N/A</v>
      </c>
      <c r="DJ103" t="e" cm="1">
        <f t="array" aca="1" ref="DJ103" ca="1">IF(COND_INTERSTICIAL[[#This Row],[Capa]]=1,IF(COND_INTERSTICIAL[[#This Row],[Condensa]],2,1),IF(COND_INTERSTICIAL[[#This Row],[Condensa]],1,0)+INDIRECT(ADDRESS(ROW()-1,COLUMN(),4)))</f>
        <v>#N/A</v>
      </c>
      <c r="DK103" s="108" t="e" cm="1">
        <f t="array" aca="1" ref="DK103" ca="1">IF(COND_INTERSTICIAL[[#This Row],[tramo cond]]=1,0,IF((COND_INTERSTICIAL[[#This Row],[tramo cond]]&gt;INDIRECT(ADDRESS(ROW()-1,COLUMN(COND_INTERSTICIAL[[#This Row],[tramo cond]]),4)))+COND_INTERSTICIAL[[#This Row],[Condensa]],COND_INTERSTICIAL[[#This Row],[Capa]],INDIRECT(ADDRESS(ROW()-1,COLUMN(),4))))</f>
        <v>#N/A</v>
      </c>
      <c r="DL103" s="108" t="e" cm="1">
        <f t="array" aca="1" ref="DL103" ca="1">IF((COND_INTERSTICIAL[[#This Row],[Capa]]=N_capas)+(COND_INTERSTICIAL[[#This Row],[tramo cond]]=COUNTIFS(COND_INTERSTICIAL[Condensa],TRUE,COND_INTERSTICIAL[Mes],CW103,COND_INTERSTICIAL[Sección],CX103)+1),N_capas,INDEX(COND_INTERSTICIAL[capa lím inf cond],MATCH(COND_INTERSTICIAL[[#This Row],[Mes]]&amp;"-"&amp;COND_INTERSTICIAL[[#This Row],[Sección]]&amp;"-"&amp;(COND_INTERSTICIAL[[#This Row],[tramo cond]]+1),COND_INTERSTICIAL[llave tramo cond],0)))</f>
        <v>#N/A</v>
      </c>
      <c r="DM103" s="108" cm="1">
        <f t="array" aca="1" ref="DM10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3" s="110" t="e" cm="1">
        <f t="array" aca="1" ref="DN10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3" s="107" t="e">
        <f ca="1">COND_INTERSTICIAL[[#This Row],[gc]]+COND_INTERSTICIAL[[#This Row],[Ma_anterior cond]]</f>
        <v>#N/A</v>
      </c>
      <c r="DQ103" s="113" t="e">
        <f ca="1">IF((COND_INTERSTICIAL[[#This Row],[Ma_anterior cond]]&gt;0)*NOT(COND_INTERSTICIAL[[#This Row],[Condensa]]),TRUE,FALSE)</f>
        <v>#N/A</v>
      </c>
      <c r="DR103" s="112" t="e" cm="1">
        <f t="array" aca="1" ref="DR103" ca="1">IF(COND_INTERSTICIAL[[#This Row],[evapora]],COND_INTERSTICIAL[[#This Row],[Psat]],IF(COND_INTERSTICIAL[[#This Row],[Capa]]=N_capas,COND_INTERSTICIAL[[#This Row],[Pn]],""))</f>
        <v>#N/A</v>
      </c>
      <c r="DS103" s="112" t="e">
        <f ca="1">COND_INTERSTICIAL[[#This Row],[Mes]]&amp;"-"&amp;COND_INTERSTICIAL[[#This Row],[Sección]]&amp;"-"&amp;COND_INTERSTICIAL[[#This Row],[tramo ev]]</f>
        <v>#N/A</v>
      </c>
      <c r="DT103" s="111" t="e" cm="1">
        <f t="array" aca="1" ref="DT103" ca="1">IF(COND_INTERSTICIAL[[#This Row],[Capa]]=1,IF(COND_INTERSTICIAL[[#This Row],[evapora]],2,1),IF(COND_INTERSTICIAL[[#This Row],[evapora]],1,0)+INDIRECT(ADDRESS(ROW()-1,COLUMN(),4)))</f>
        <v>#N/A</v>
      </c>
      <c r="DU103" s="111" t="e" cm="1">
        <f t="array" aca="1" ref="DU103" ca="1">IF(COND_INTERSTICIAL[[#This Row],[tramo ev]]=1,0,IF((COND_INTERSTICIAL[[#This Row],[tramo ev]]&gt;INDIRECT(ADDRESS(ROW()-1,COLUMN(COND_INTERSTICIAL[[#This Row],[tramo ev]]),4)))+COND_INTERSTICIAL[[#This Row],[evapora]],COND_INTERSTICIAL[[#This Row],[Capa]],INDIRECT(ADDRESS(ROW()-1,COLUMN(),4))))</f>
        <v>#N/A</v>
      </c>
      <c r="DV103" s="111" t="e" cm="1">
        <f t="array" aca="1" ref="DV103" ca="1">IF((COND_INTERSTICIAL[[#This Row],[Capa]]=N_capas)+(COND_INTERSTICIAL[[#This Row],[tramo ev]]=COUNTIFS(COND_INTERSTICIAL[evapora],TRUE,COND_INTERSTICIAL[Mes],CW103,COND_INTERSTICIAL[Sección],CX103)+1),N_capas,INDEX(COND_INTERSTICIAL[capa lím inf ev],MATCH(COND_INTERSTICIAL[[#This Row],[Mes]]&amp;"-"&amp;COND_INTERSTICIAL[[#This Row],[Sección]]&amp;"-"&amp;(COND_INTERSTICIAL[[#This Row],[tramo ev]]+1),COND_INTERSTICIAL[llave tramo ev],0)))</f>
        <v>#N/A</v>
      </c>
      <c r="DW103" s="111" cm="1">
        <f t="array" aca="1" ref="DW10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3" s="113" t="e" cm="1">
        <f t="array" aca="1" ref="DX10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3" s="113" t="e">
        <f ca="1">COND_INTERSTICIAL[[#This Row],[gev]]+COND_INTERSTICIAL[[#This Row],[Ma anterior ev]]</f>
        <v>#N/A</v>
      </c>
      <c r="EA103" s="115" t="e">
        <f ca="1">IF(COND_INTERSTICIAL[[#This Row],[Ma cond]]+COND_INTERSTICIAL[[#This Row],[Ma ev]]&lt;=0,0,COND_INTERSTICIAL[[#This Row],[Ma cond]]+COND_INTERSTICIAL[[#This Row],[Ma ev]])</f>
        <v>#N/A</v>
      </c>
      <c r="EB103" s="115" t="e">
        <f ca="1">IF(COND_INTERSTICIAL[[#This Row],[Ma]]&gt;0,TRUE,FALSE)</f>
        <v>#N/A</v>
      </c>
      <c r="EC103" s="115" t="e" cm="1">
        <f t="array" aca="1" ref="EC103" ca="1">IF(COND_INTERSTICIAL[[#This Row],[agua líquida]],IF(COND_INTERSTICIAL[[#This Row],[Condensa]],COND_INTERSTICIAL[[#This Row],[P límite cond]],COND_INTERSTICIAL[[#This Row],[P límite ev]]),IF(COND_INTERSTICIAL[[#This Row],[Capa]]=N_capas,COND_INTERSTICIAL[[#This Row],[Pn]],""))</f>
        <v>#N/A</v>
      </c>
      <c r="ED103" s="115" t="e">
        <f ca="1">COND_INTERSTICIAL[[#This Row],[Mes]]&amp;"-"&amp;COND_INTERSTICIAL[[#This Row],[Sección]]&amp;"-"&amp;COND_INTERSTICIAL[[#This Row],[tramo gráf]]</f>
        <v>#N/A</v>
      </c>
      <c r="EE103" s="114" t="e" cm="1">
        <f t="array" aca="1" ref="EE103" ca="1">IF(COND_INTERSTICIAL[[#This Row],[Capa]]=1,IF(COND_INTERSTICIAL[[#This Row],[agua líquida]],2,1),IF(COND_INTERSTICIAL[[#This Row],[agua líquida]],1,0)+INDIRECT(ADDRESS(ROW()-1,COLUMN(),4)))</f>
        <v>#N/A</v>
      </c>
      <c r="EF103" s="114" t="e" cm="1">
        <f t="array" aca="1" ref="EF103" ca="1">IF(COND_INTERSTICIAL[[#This Row],[tramo gráf]]=1,0,IF((COND_INTERSTICIAL[[#This Row],[tramo gráf]]&gt;INDIRECT(ADDRESS(ROW()-1,COLUMN(COND_INTERSTICIAL[[#This Row],[tramo gráf]]),4)))+COND_INTERSTICIAL[[#This Row],[agua líquida]],COND_INTERSTICIAL[[#This Row],[Capa]],INDIRECT(ADDRESS(ROW()-1,COLUMN(),4))))</f>
        <v>#N/A</v>
      </c>
      <c r="EG103" s="114" t="e" cm="1">
        <f t="array" aca="1" ref="EG103" ca="1">IF((COND_INTERSTICIAL[[#This Row],[Capa]]=N_capas)+(COND_INTERSTICIAL[[#This Row],[tramo gráf]]=COUNTIFS(COND_INTERSTICIAL[agua líquida],TRUE,COND_INTERSTICIAL[Mes],CW103,COND_INTERSTICIAL[Sección],CX103)+1),N_capas,INDEX(COND_INTERSTICIAL[capa lím inf gráf],MATCH(COND_INTERSTICIAL[[#This Row],[Mes]]&amp;"-"&amp;COND_INTERSTICIAL[[#This Row],[Sección]]&amp;"-"&amp;(COND_INTERSTICIAL[[#This Row],[tramo gráf]]+1),COND_INTERSTICIAL[llave tramo gráf],0)))</f>
        <v>#N/A</v>
      </c>
      <c r="EH103" s="114" cm="1">
        <f t="array" aca="1" ref="EH10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3" s="116" t="e" cm="1">
        <f t="array" aca="1" ref="EI10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4" spans="101:139" x14ac:dyDescent="0.45">
      <c r="CW104" s="1" cm="1">
        <f t="array" ref="CW104">ROUNDUP((ROW()-$CN$18+(Mes_inicial_de_análisis-1)*N_capas*N_secciones)/(N_capas*N_secciones),0)-12*IF(ROW()-$CN$18&gt;(12-Mes_inicial_de_análisis+1)*N_capas*N_secciones,1,0)</f>
        <v>1</v>
      </c>
      <c r="CX104" cm="1">
        <f t="array" ref="CX104">ROUNDUP((ROW()-$CN$18)/N_capas-(ROUNDUP((ROW()-$CN$18)/(N_capas*N_secciones),0)-1)*N_secciones,0)</f>
        <v>1</v>
      </c>
      <c r="CY104" cm="1">
        <f t="array" ref="CY104">(ROW()-$CN$18)-(COND_INTERSTICIAL[[#This Row],[Sección]]-1)*N_capas-(ROUNDUP((ROW()-$CN$18)/(N_capas*N_secciones),0)-1)*N_capas*N_secciones</f>
        <v>1</v>
      </c>
      <c r="CZ104" t="str">
        <f>COND_INTERSTICIAL[[#This Row],[Mes]]&amp;"-"&amp;COND_INTERSTICIAL[[#This Row],[Sección]]&amp;"-"&amp;COND_INTERSTICIAL[[#This Row],[Capa]]</f>
        <v>1-1-1</v>
      </c>
      <c r="DA104">
        <f ca="1">INDEX(SECCIONES_CAPAS[R''n],MATCH(COND_INTERSTICIAL[[#This Row],[Sección]]&amp;"-"&amp;COND_INTERSTICIAL[[#This Row],[Capa]],SECCIONES_CAPAS[llave],0))</f>
        <v>0.04</v>
      </c>
      <c r="DB104" s="172" t="e" cm="1">
        <f t="array" aca="1" ref="DB104" ca="1">INDEX(CLIMA[ϴe],COND_INTERSTICIAL[[#This Row],[Mes]])+COND_INTERSTICIAL[[#This Row],[Rn]]*(INDEX(CLIMA[ϴi],COND_INTERSTICIAL[[#This Row],[Mes]])-INDEX(CLIMA[ϴe],COND_INTERSTICIAL[[#This Row],[Mes]]))/(INDEX(SECCIONES[Rtsección_condensación],COND_INTERSTICIAL[[#This Row],[Sección]]))</f>
        <v>#N/A</v>
      </c>
      <c r="DC104">
        <f>INDEX(SECCIONES_CAPAS[Sd],MATCH(COND_INTERSTICIAL[[#This Row],[Sección]]&amp;"-"&amp;COND_INTERSTICIAL[[#This Row],[Capa]],SECCIONES_CAPAS[llave],0))</f>
        <v>0</v>
      </c>
      <c r="DD104">
        <f ca="1">INDEX(SECCIONES_CAPAS[S''d],MATCH(COND_INTERSTICIAL[[#This Row],[Sección]]&amp;"-"&amp;COND_INTERSTICIAL[[#This Row],[Capa]],SECCIONES_CAPAS[llave],0))</f>
        <v>0</v>
      </c>
      <c r="DE104" s="90" t="e">
        <f ca="1">IF(COND_INTERSTICIAL[[#This Row],[ϴn]]&gt;=0,610.5*EXP((17.269*COND_INTERSTICIAL[[#This Row],[ϴn]])/(237.3+COND_INTERSTICIAL[[#This Row],[ϴn]])),610.5*EXP((21.875*COND_INTERSTICIAL[[#This Row],[ϴn]])/(265.5+COND_INTERSTICIAL[[#This Row],[ϴn]])))</f>
        <v>#N/A</v>
      </c>
      <c r="DF104" s="90" t="e" cm="1">
        <f t="array" aca="1" ref="DF104" ca="1">COND_INTERSTICIAL[[#This Row],[S''d]]*((INDEX(CLIMA[Pi],COND_INTERSTICIAL[[#This Row],[Mes]])-INDEX(CLIMA[Pe],COND_INTERSTICIAL[[#This Row],[Mes]]))/INDEX(SECCIONES[SdT],COND_INTERSTICIAL[[#This Row],[Sección]]))+INDEX(CLIMA[Pe],COND_INTERSTICIAL[[#This Row],[Mes]])</f>
        <v>#N/A</v>
      </c>
      <c r="DG104" s="108" t="e">
        <f ca="1">IF((COND_INTERSTICIAL[[#This Row],[Pn]]&gt;=COND_INTERSTICIAL[[#This Row],[Psat]]),TRUE,FALSE)</f>
        <v>#N/A</v>
      </c>
      <c r="DH104" s="109" t="e" cm="1">
        <f t="array" aca="1" ref="DH104" ca="1">IF(COND_INTERSTICIAL[[#This Row],[Condensa]],COND_INTERSTICIAL[[#This Row],[Psat]],IF(COND_INTERSTICIAL[[#This Row],[Capa]]=N_capas,COND_INTERSTICIAL[[#This Row],[Pn]],""))</f>
        <v>#N/A</v>
      </c>
      <c r="DI104" s="109" t="e">
        <f ca="1">COND_INTERSTICIAL[[#This Row],[Mes]]&amp;"-"&amp;COND_INTERSTICIAL[[#This Row],[Sección]]&amp;"-"&amp;COND_INTERSTICIAL[[#This Row],[tramo cond]]</f>
        <v>#N/A</v>
      </c>
      <c r="DJ104" t="e" cm="1">
        <f t="array" aca="1" ref="DJ104" ca="1">IF(COND_INTERSTICIAL[[#This Row],[Capa]]=1,IF(COND_INTERSTICIAL[[#This Row],[Condensa]],2,1),IF(COND_INTERSTICIAL[[#This Row],[Condensa]],1,0)+INDIRECT(ADDRESS(ROW()-1,COLUMN(),4)))</f>
        <v>#N/A</v>
      </c>
      <c r="DK104" s="108" t="e" cm="1">
        <f t="array" aca="1" ref="DK104" ca="1">IF(COND_INTERSTICIAL[[#This Row],[tramo cond]]=1,0,IF((COND_INTERSTICIAL[[#This Row],[tramo cond]]&gt;INDIRECT(ADDRESS(ROW()-1,COLUMN(COND_INTERSTICIAL[[#This Row],[tramo cond]]),4)))+COND_INTERSTICIAL[[#This Row],[Condensa]],COND_INTERSTICIAL[[#This Row],[Capa]],INDIRECT(ADDRESS(ROW()-1,COLUMN(),4))))</f>
        <v>#N/A</v>
      </c>
      <c r="DL104" s="108" t="e" cm="1">
        <f t="array" aca="1" ref="DL104" ca="1">IF((COND_INTERSTICIAL[[#This Row],[Capa]]=N_capas)+(COND_INTERSTICIAL[[#This Row],[tramo cond]]=COUNTIFS(COND_INTERSTICIAL[Condensa],TRUE,COND_INTERSTICIAL[Mes],CW104,COND_INTERSTICIAL[Sección],CX104)+1),N_capas,INDEX(COND_INTERSTICIAL[capa lím inf cond],MATCH(COND_INTERSTICIAL[[#This Row],[Mes]]&amp;"-"&amp;COND_INTERSTICIAL[[#This Row],[Sección]]&amp;"-"&amp;(COND_INTERSTICIAL[[#This Row],[tramo cond]]+1),COND_INTERSTICIAL[llave tramo cond],0)))</f>
        <v>#N/A</v>
      </c>
      <c r="DM104" s="108" cm="1">
        <f t="array" aca="1" ref="DM10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4" s="110" t="e" cm="1">
        <f t="array" aca="1" ref="DN10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4" s="107" t="e">
        <f ca="1">COND_INTERSTICIAL[[#This Row],[gc]]+COND_INTERSTICIAL[[#This Row],[Ma_anterior cond]]</f>
        <v>#N/A</v>
      </c>
      <c r="DQ104" s="113" t="e">
        <f ca="1">IF((COND_INTERSTICIAL[[#This Row],[Ma_anterior cond]]&gt;0)*NOT(COND_INTERSTICIAL[[#This Row],[Condensa]]),TRUE,FALSE)</f>
        <v>#N/A</v>
      </c>
      <c r="DR104" s="112" t="e" cm="1">
        <f t="array" aca="1" ref="DR104" ca="1">IF(COND_INTERSTICIAL[[#This Row],[evapora]],COND_INTERSTICIAL[[#This Row],[Psat]],IF(COND_INTERSTICIAL[[#This Row],[Capa]]=N_capas,COND_INTERSTICIAL[[#This Row],[Pn]],""))</f>
        <v>#N/A</v>
      </c>
      <c r="DS104" s="112" t="e">
        <f ca="1">COND_INTERSTICIAL[[#This Row],[Mes]]&amp;"-"&amp;COND_INTERSTICIAL[[#This Row],[Sección]]&amp;"-"&amp;COND_INTERSTICIAL[[#This Row],[tramo ev]]</f>
        <v>#N/A</v>
      </c>
      <c r="DT104" s="111" t="e" cm="1">
        <f t="array" aca="1" ref="DT104" ca="1">IF(COND_INTERSTICIAL[[#This Row],[Capa]]=1,IF(COND_INTERSTICIAL[[#This Row],[evapora]],2,1),IF(COND_INTERSTICIAL[[#This Row],[evapora]],1,0)+INDIRECT(ADDRESS(ROW()-1,COLUMN(),4)))</f>
        <v>#N/A</v>
      </c>
      <c r="DU104" s="111" t="e" cm="1">
        <f t="array" aca="1" ref="DU104" ca="1">IF(COND_INTERSTICIAL[[#This Row],[tramo ev]]=1,0,IF((COND_INTERSTICIAL[[#This Row],[tramo ev]]&gt;INDIRECT(ADDRESS(ROW()-1,COLUMN(COND_INTERSTICIAL[[#This Row],[tramo ev]]),4)))+COND_INTERSTICIAL[[#This Row],[evapora]],COND_INTERSTICIAL[[#This Row],[Capa]],INDIRECT(ADDRESS(ROW()-1,COLUMN(),4))))</f>
        <v>#N/A</v>
      </c>
      <c r="DV104" s="111" t="e" cm="1">
        <f t="array" aca="1" ref="DV104" ca="1">IF((COND_INTERSTICIAL[[#This Row],[Capa]]=N_capas)+(COND_INTERSTICIAL[[#This Row],[tramo ev]]=COUNTIFS(COND_INTERSTICIAL[evapora],TRUE,COND_INTERSTICIAL[Mes],CW104,COND_INTERSTICIAL[Sección],CX104)+1),N_capas,INDEX(COND_INTERSTICIAL[capa lím inf ev],MATCH(COND_INTERSTICIAL[[#This Row],[Mes]]&amp;"-"&amp;COND_INTERSTICIAL[[#This Row],[Sección]]&amp;"-"&amp;(COND_INTERSTICIAL[[#This Row],[tramo ev]]+1),COND_INTERSTICIAL[llave tramo ev],0)))</f>
        <v>#N/A</v>
      </c>
      <c r="DW104" s="111" cm="1">
        <f t="array" aca="1" ref="DW10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4" s="113" t="e" cm="1">
        <f t="array" aca="1" ref="DX10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4" s="113" t="e">
        <f ca="1">COND_INTERSTICIAL[[#This Row],[gev]]+COND_INTERSTICIAL[[#This Row],[Ma anterior ev]]</f>
        <v>#N/A</v>
      </c>
      <c r="EA104" s="115" t="e">
        <f ca="1">IF(COND_INTERSTICIAL[[#This Row],[Ma cond]]+COND_INTERSTICIAL[[#This Row],[Ma ev]]&lt;=0,0,COND_INTERSTICIAL[[#This Row],[Ma cond]]+COND_INTERSTICIAL[[#This Row],[Ma ev]])</f>
        <v>#N/A</v>
      </c>
      <c r="EB104" s="115" t="e">
        <f ca="1">IF(COND_INTERSTICIAL[[#This Row],[Ma]]&gt;0,TRUE,FALSE)</f>
        <v>#N/A</v>
      </c>
      <c r="EC104" s="115" t="e" cm="1">
        <f t="array" aca="1" ref="EC104" ca="1">IF(COND_INTERSTICIAL[[#This Row],[agua líquida]],IF(COND_INTERSTICIAL[[#This Row],[Condensa]],COND_INTERSTICIAL[[#This Row],[P límite cond]],COND_INTERSTICIAL[[#This Row],[P límite ev]]),IF(COND_INTERSTICIAL[[#This Row],[Capa]]=N_capas,COND_INTERSTICIAL[[#This Row],[Pn]],""))</f>
        <v>#N/A</v>
      </c>
      <c r="ED104" s="115" t="e">
        <f ca="1">COND_INTERSTICIAL[[#This Row],[Mes]]&amp;"-"&amp;COND_INTERSTICIAL[[#This Row],[Sección]]&amp;"-"&amp;COND_INTERSTICIAL[[#This Row],[tramo gráf]]</f>
        <v>#N/A</v>
      </c>
      <c r="EE104" s="114" t="e" cm="1">
        <f t="array" aca="1" ref="EE104" ca="1">IF(COND_INTERSTICIAL[[#This Row],[Capa]]=1,IF(COND_INTERSTICIAL[[#This Row],[agua líquida]],2,1),IF(COND_INTERSTICIAL[[#This Row],[agua líquida]],1,0)+INDIRECT(ADDRESS(ROW()-1,COLUMN(),4)))</f>
        <v>#N/A</v>
      </c>
      <c r="EF104" s="114" t="e" cm="1">
        <f t="array" aca="1" ref="EF104" ca="1">IF(COND_INTERSTICIAL[[#This Row],[tramo gráf]]=1,0,IF((COND_INTERSTICIAL[[#This Row],[tramo gráf]]&gt;INDIRECT(ADDRESS(ROW()-1,COLUMN(COND_INTERSTICIAL[[#This Row],[tramo gráf]]),4)))+COND_INTERSTICIAL[[#This Row],[agua líquida]],COND_INTERSTICIAL[[#This Row],[Capa]],INDIRECT(ADDRESS(ROW()-1,COLUMN(),4))))</f>
        <v>#N/A</v>
      </c>
      <c r="EG104" s="114" t="e" cm="1">
        <f t="array" aca="1" ref="EG104" ca="1">IF((COND_INTERSTICIAL[[#This Row],[Capa]]=N_capas)+(COND_INTERSTICIAL[[#This Row],[tramo gráf]]=COUNTIFS(COND_INTERSTICIAL[agua líquida],TRUE,COND_INTERSTICIAL[Mes],CW104,COND_INTERSTICIAL[Sección],CX104)+1),N_capas,INDEX(COND_INTERSTICIAL[capa lím inf gráf],MATCH(COND_INTERSTICIAL[[#This Row],[Mes]]&amp;"-"&amp;COND_INTERSTICIAL[[#This Row],[Sección]]&amp;"-"&amp;(COND_INTERSTICIAL[[#This Row],[tramo gráf]]+1),COND_INTERSTICIAL[llave tramo gráf],0)))</f>
        <v>#N/A</v>
      </c>
      <c r="EH104" s="114" cm="1">
        <f t="array" aca="1" ref="EH10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4" s="116" t="e" cm="1">
        <f t="array" aca="1" ref="EI10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5" spans="101:139" x14ac:dyDescent="0.45">
      <c r="CW105" s="1" cm="1">
        <f t="array" ref="CW105">ROUNDUP((ROW()-$CN$18+(Mes_inicial_de_análisis-1)*N_capas*N_secciones)/(N_capas*N_secciones),0)-12*IF(ROW()-$CN$18&gt;(12-Mes_inicial_de_análisis+1)*N_capas*N_secciones,1,0)</f>
        <v>1</v>
      </c>
      <c r="CX105" cm="1">
        <f t="array" ref="CX105">ROUNDUP((ROW()-$CN$18)/N_capas-(ROUNDUP((ROW()-$CN$18)/(N_capas*N_secciones),0)-1)*N_secciones,0)</f>
        <v>1</v>
      </c>
      <c r="CY105" cm="1">
        <f t="array" ref="CY105">(ROW()-$CN$18)-(COND_INTERSTICIAL[[#This Row],[Sección]]-1)*N_capas-(ROUNDUP((ROW()-$CN$18)/(N_capas*N_secciones),0)-1)*N_capas*N_secciones</f>
        <v>2</v>
      </c>
      <c r="CZ105" t="str">
        <f>COND_INTERSTICIAL[[#This Row],[Mes]]&amp;"-"&amp;COND_INTERSTICIAL[[#This Row],[Sección]]&amp;"-"&amp;COND_INTERSTICIAL[[#This Row],[Capa]]</f>
        <v>1-1-2</v>
      </c>
      <c r="DA105">
        <f ca="1">INDEX(SECCIONES_CAPAS[R''n],MATCH(COND_INTERSTICIAL[[#This Row],[Sección]]&amp;"-"&amp;COND_INTERSTICIAL[[#This Row],[Capa]],SECCIONES_CAPAS[llave],0))</f>
        <v>0.04</v>
      </c>
      <c r="DB105" s="172" t="e" cm="1">
        <f t="array" aca="1" ref="DB105" ca="1">INDEX(CLIMA[ϴe],COND_INTERSTICIAL[[#This Row],[Mes]])+COND_INTERSTICIAL[[#This Row],[Rn]]*(INDEX(CLIMA[ϴi],COND_INTERSTICIAL[[#This Row],[Mes]])-INDEX(CLIMA[ϴe],COND_INTERSTICIAL[[#This Row],[Mes]]))/(INDEX(SECCIONES[Rtsección_condensación],COND_INTERSTICIAL[[#This Row],[Sección]]))</f>
        <v>#N/A</v>
      </c>
      <c r="DC105">
        <f>INDEX(SECCIONES_CAPAS[Sd],MATCH(COND_INTERSTICIAL[[#This Row],[Sección]]&amp;"-"&amp;COND_INTERSTICIAL[[#This Row],[Capa]],SECCIONES_CAPAS[llave],0))</f>
        <v>0</v>
      </c>
      <c r="DD105">
        <f ca="1">INDEX(SECCIONES_CAPAS[S''d],MATCH(COND_INTERSTICIAL[[#This Row],[Sección]]&amp;"-"&amp;COND_INTERSTICIAL[[#This Row],[Capa]],SECCIONES_CAPAS[llave],0))</f>
        <v>0</v>
      </c>
      <c r="DE105" s="90" t="e">
        <f ca="1">IF(COND_INTERSTICIAL[[#This Row],[ϴn]]&gt;=0,610.5*EXP((17.269*COND_INTERSTICIAL[[#This Row],[ϴn]])/(237.3+COND_INTERSTICIAL[[#This Row],[ϴn]])),610.5*EXP((21.875*COND_INTERSTICIAL[[#This Row],[ϴn]])/(265.5+COND_INTERSTICIAL[[#This Row],[ϴn]])))</f>
        <v>#N/A</v>
      </c>
      <c r="DF105" s="90" t="e" cm="1">
        <f t="array" aca="1" ref="DF105" ca="1">COND_INTERSTICIAL[[#This Row],[S''d]]*((INDEX(CLIMA[Pi],COND_INTERSTICIAL[[#This Row],[Mes]])-INDEX(CLIMA[Pe],COND_INTERSTICIAL[[#This Row],[Mes]]))/INDEX(SECCIONES[SdT],COND_INTERSTICIAL[[#This Row],[Sección]]))+INDEX(CLIMA[Pe],COND_INTERSTICIAL[[#This Row],[Mes]])</f>
        <v>#N/A</v>
      </c>
      <c r="DG105" s="108" t="e">
        <f ca="1">IF((COND_INTERSTICIAL[[#This Row],[Pn]]&gt;=COND_INTERSTICIAL[[#This Row],[Psat]]),TRUE,FALSE)</f>
        <v>#N/A</v>
      </c>
      <c r="DH105" s="109" t="e" cm="1">
        <f t="array" aca="1" ref="DH105" ca="1">IF(COND_INTERSTICIAL[[#This Row],[Condensa]],COND_INTERSTICIAL[[#This Row],[Psat]],IF(COND_INTERSTICIAL[[#This Row],[Capa]]=N_capas,COND_INTERSTICIAL[[#This Row],[Pn]],""))</f>
        <v>#N/A</v>
      </c>
      <c r="DI105" s="109" t="e">
        <f ca="1">COND_INTERSTICIAL[[#This Row],[Mes]]&amp;"-"&amp;COND_INTERSTICIAL[[#This Row],[Sección]]&amp;"-"&amp;COND_INTERSTICIAL[[#This Row],[tramo cond]]</f>
        <v>#N/A</v>
      </c>
      <c r="DJ105" t="e" cm="1">
        <f t="array" aca="1" ref="DJ105" ca="1">IF(COND_INTERSTICIAL[[#This Row],[Capa]]=1,IF(COND_INTERSTICIAL[[#This Row],[Condensa]],2,1),IF(COND_INTERSTICIAL[[#This Row],[Condensa]],1,0)+INDIRECT(ADDRESS(ROW()-1,COLUMN(),4)))</f>
        <v>#N/A</v>
      </c>
      <c r="DK105" s="108" t="e" cm="1">
        <f t="array" aca="1" ref="DK105" ca="1">IF(COND_INTERSTICIAL[[#This Row],[tramo cond]]=1,0,IF((COND_INTERSTICIAL[[#This Row],[tramo cond]]&gt;INDIRECT(ADDRESS(ROW()-1,COLUMN(COND_INTERSTICIAL[[#This Row],[tramo cond]]),4)))+COND_INTERSTICIAL[[#This Row],[Condensa]],COND_INTERSTICIAL[[#This Row],[Capa]],INDIRECT(ADDRESS(ROW()-1,COLUMN(),4))))</f>
        <v>#N/A</v>
      </c>
      <c r="DL105" s="108" t="e" cm="1">
        <f t="array" aca="1" ref="DL105" ca="1">IF((COND_INTERSTICIAL[[#This Row],[Capa]]=N_capas)+(COND_INTERSTICIAL[[#This Row],[tramo cond]]=COUNTIFS(COND_INTERSTICIAL[Condensa],TRUE,COND_INTERSTICIAL[Mes],CW105,COND_INTERSTICIAL[Sección],CX105)+1),N_capas,INDEX(COND_INTERSTICIAL[capa lím inf cond],MATCH(COND_INTERSTICIAL[[#This Row],[Mes]]&amp;"-"&amp;COND_INTERSTICIAL[[#This Row],[Sección]]&amp;"-"&amp;(COND_INTERSTICIAL[[#This Row],[tramo cond]]+1),COND_INTERSTICIAL[llave tramo cond],0)))</f>
        <v>#N/A</v>
      </c>
      <c r="DM105" s="108" cm="1">
        <f t="array" aca="1" ref="DM10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5" s="110" t="e" cm="1">
        <f t="array" aca="1" ref="DN10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5" s="107" t="e">
        <f ca="1">COND_INTERSTICIAL[[#This Row],[gc]]+COND_INTERSTICIAL[[#This Row],[Ma_anterior cond]]</f>
        <v>#N/A</v>
      </c>
      <c r="DQ105" s="113" t="e">
        <f ca="1">IF((COND_INTERSTICIAL[[#This Row],[Ma_anterior cond]]&gt;0)*NOT(COND_INTERSTICIAL[[#This Row],[Condensa]]),TRUE,FALSE)</f>
        <v>#N/A</v>
      </c>
      <c r="DR105" s="112" t="e" cm="1">
        <f t="array" aca="1" ref="DR105" ca="1">IF(COND_INTERSTICIAL[[#This Row],[evapora]],COND_INTERSTICIAL[[#This Row],[Psat]],IF(COND_INTERSTICIAL[[#This Row],[Capa]]=N_capas,COND_INTERSTICIAL[[#This Row],[Pn]],""))</f>
        <v>#N/A</v>
      </c>
      <c r="DS105" s="112" t="e">
        <f ca="1">COND_INTERSTICIAL[[#This Row],[Mes]]&amp;"-"&amp;COND_INTERSTICIAL[[#This Row],[Sección]]&amp;"-"&amp;COND_INTERSTICIAL[[#This Row],[tramo ev]]</f>
        <v>#N/A</v>
      </c>
      <c r="DT105" s="111" t="e" cm="1">
        <f t="array" aca="1" ref="DT105" ca="1">IF(COND_INTERSTICIAL[[#This Row],[Capa]]=1,IF(COND_INTERSTICIAL[[#This Row],[evapora]],2,1),IF(COND_INTERSTICIAL[[#This Row],[evapora]],1,0)+INDIRECT(ADDRESS(ROW()-1,COLUMN(),4)))</f>
        <v>#N/A</v>
      </c>
      <c r="DU105" s="111" t="e" cm="1">
        <f t="array" aca="1" ref="DU105" ca="1">IF(COND_INTERSTICIAL[[#This Row],[tramo ev]]=1,0,IF((COND_INTERSTICIAL[[#This Row],[tramo ev]]&gt;INDIRECT(ADDRESS(ROW()-1,COLUMN(COND_INTERSTICIAL[[#This Row],[tramo ev]]),4)))+COND_INTERSTICIAL[[#This Row],[evapora]],COND_INTERSTICIAL[[#This Row],[Capa]],INDIRECT(ADDRESS(ROW()-1,COLUMN(),4))))</f>
        <v>#N/A</v>
      </c>
      <c r="DV105" s="111" t="e" cm="1">
        <f t="array" aca="1" ref="DV105" ca="1">IF((COND_INTERSTICIAL[[#This Row],[Capa]]=N_capas)+(COND_INTERSTICIAL[[#This Row],[tramo ev]]=COUNTIFS(COND_INTERSTICIAL[evapora],TRUE,COND_INTERSTICIAL[Mes],CW105,COND_INTERSTICIAL[Sección],CX105)+1),N_capas,INDEX(COND_INTERSTICIAL[capa lím inf ev],MATCH(COND_INTERSTICIAL[[#This Row],[Mes]]&amp;"-"&amp;COND_INTERSTICIAL[[#This Row],[Sección]]&amp;"-"&amp;(COND_INTERSTICIAL[[#This Row],[tramo ev]]+1),COND_INTERSTICIAL[llave tramo ev],0)))</f>
        <v>#N/A</v>
      </c>
      <c r="DW105" s="111" cm="1">
        <f t="array" aca="1" ref="DW10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5" s="113" t="e" cm="1">
        <f t="array" aca="1" ref="DX10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5" s="113" t="e">
        <f ca="1">COND_INTERSTICIAL[[#This Row],[gev]]+COND_INTERSTICIAL[[#This Row],[Ma anterior ev]]</f>
        <v>#N/A</v>
      </c>
      <c r="EA105" s="115" t="e">
        <f ca="1">IF(COND_INTERSTICIAL[[#This Row],[Ma cond]]+COND_INTERSTICIAL[[#This Row],[Ma ev]]&lt;=0,0,COND_INTERSTICIAL[[#This Row],[Ma cond]]+COND_INTERSTICIAL[[#This Row],[Ma ev]])</f>
        <v>#N/A</v>
      </c>
      <c r="EB105" s="115" t="e">
        <f ca="1">IF(COND_INTERSTICIAL[[#This Row],[Ma]]&gt;0,TRUE,FALSE)</f>
        <v>#N/A</v>
      </c>
      <c r="EC105" s="115" t="e" cm="1">
        <f t="array" aca="1" ref="EC105" ca="1">IF(COND_INTERSTICIAL[[#This Row],[agua líquida]],IF(COND_INTERSTICIAL[[#This Row],[Condensa]],COND_INTERSTICIAL[[#This Row],[P límite cond]],COND_INTERSTICIAL[[#This Row],[P límite ev]]),IF(COND_INTERSTICIAL[[#This Row],[Capa]]=N_capas,COND_INTERSTICIAL[[#This Row],[Pn]],""))</f>
        <v>#N/A</v>
      </c>
      <c r="ED105" s="115" t="e">
        <f ca="1">COND_INTERSTICIAL[[#This Row],[Mes]]&amp;"-"&amp;COND_INTERSTICIAL[[#This Row],[Sección]]&amp;"-"&amp;COND_INTERSTICIAL[[#This Row],[tramo gráf]]</f>
        <v>#N/A</v>
      </c>
      <c r="EE105" s="114" t="e" cm="1">
        <f t="array" aca="1" ref="EE105" ca="1">IF(COND_INTERSTICIAL[[#This Row],[Capa]]=1,IF(COND_INTERSTICIAL[[#This Row],[agua líquida]],2,1),IF(COND_INTERSTICIAL[[#This Row],[agua líquida]],1,0)+INDIRECT(ADDRESS(ROW()-1,COLUMN(),4)))</f>
        <v>#N/A</v>
      </c>
      <c r="EF105" s="114" t="e" cm="1">
        <f t="array" aca="1" ref="EF105" ca="1">IF(COND_INTERSTICIAL[[#This Row],[tramo gráf]]=1,0,IF((COND_INTERSTICIAL[[#This Row],[tramo gráf]]&gt;INDIRECT(ADDRESS(ROW()-1,COLUMN(COND_INTERSTICIAL[[#This Row],[tramo gráf]]),4)))+COND_INTERSTICIAL[[#This Row],[agua líquida]],COND_INTERSTICIAL[[#This Row],[Capa]],INDIRECT(ADDRESS(ROW()-1,COLUMN(),4))))</f>
        <v>#N/A</v>
      </c>
      <c r="EG105" s="114" t="e" cm="1">
        <f t="array" aca="1" ref="EG105" ca="1">IF((COND_INTERSTICIAL[[#This Row],[Capa]]=N_capas)+(COND_INTERSTICIAL[[#This Row],[tramo gráf]]=COUNTIFS(COND_INTERSTICIAL[agua líquida],TRUE,COND_INTERSTICIAL[Mes],CW105,COND_INTERSTICIAL[Sección],CX105)+1),N_capas,INDEX(COND_INTERSTICIAL[capa lím inf gráf],MATCH(COND_INTERSTICIAL[[#This Row],[Mes]]&amp;"-"&amp;COND_INTERSTICIAL[[#This Row],[Sección]]&amp;"-"&amp;(COND_INTERSTICIAL[[#This Row],[tramo gráf]]+1),COND_INTERSTICIAL[llave tramo gráf],0)))</f>
        <v>#N/A</v>
      </c>
      <c r="EH105" s="114" cm="1">
        <f t="array" aca="1" ref="EH10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5" s="116" t="e" cm="1">
        <f t="array" aca="1" ref="EI10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6" spans="101:139" x14ac:dyDescent="0.45">
      <c r="CW106" s="1" cm="1">
        <f t="array" ref="CW106">ROUNDUP((ROW()-$CN$18+(Mes_inicial_de_análisis-1)*N_capas*N_secciones)/(N_capas*N_secciones),0)-12*IF(ROW()-$CN$18&gt;(12-Mes_inicial_de_análisis+1)*N_capas*N_secciones,1,0)</f>
        <v>1</v>
      </c>
      <c r="CX106" cm="1">
        <f t="array" ref="CX106">ROUNDUP((ROW()-$CN$18)/N_capas-(ROUNDUP((ROW()-$CN$18)/(N_capas*N_secciones),0)-1)*N_secciones,0)</f>
        <v>1</v>
      </c>
      <c r="CY106" cm="1">
        <f t="array" ref="CY106">(ROW()-$CN$18)-(COND_INTERSTICIAL[[#This Row],[Sección]]-1)*N_capas-(ROUNDUP((ROW()-$CN$18)/(N_capas*N_secciones),0)-1)*N_capas*N_secciones</f>
        <v>3</v>
      </c>
      <c r="CZ106" t="str">
        <f>COND_INTERSTICIAL[[#This Row],[Mes]]&amp;"-"&amp;COND_INTERSTICIAL[[#This Row],[Sección]]&amp;"-"&amp;COND_INTERSTICIAL[[#This Row],[Capa]]</f>
        <v>1-1-3</v>
      </c>
      <c r="DA106">
        <f ca="1">INDEX(SECCIONES_CAPAS[R''n],MATCH(COND_INTERSTICIAL[[#This Row],[Sección]]&amp;"-"&amp;COND_INTERSTICIAL[[#This Row],[Capa]],SECCIONES_CAPAS[llave],0))</f>
        <v>0.04</v>
      </c>
      <c r="DB106" s="172" t="e" cm="1">
        <f t="array" aca="1" ref="DB106" ca="1">INDEX(CLIMA[ϴe],COND_INTERSTICIAL[[#This Row],[Mes]])+COND_INTERSTICIAL[[#This Row],[Rn]]*(INDEX(CLIMA[ϴi],COND_INTERSTICIAL[[#This Row],[Mes]])-INDEX(CLIMA[ϴe],COND_INTERSTICIAL[[#This Row],[Mes]]))/(INDEX(SECCIONES[Rtsección_condensación],COND_INTERSTICIAL[[#This Row],[Sección]]))</f>
        <v>#N/A</v>
      </c>
      <c r="DC106">
        <f>INDEX(SECCIONES_CAPAS[Sd],MATCH(COND_INTERSTICIAL[[#This Row],[Sección]]&amp;"-"&amp;COND_INTERSTICIAL[[#This Row],[Capa]],SECCIONES_CAPAS[llave],0))</f>
        <v>0</v>
      </c>
      <c r="DD106">
        <f ca="1">INDEX(SECCIONES_CAPAS[S''d],MATCH(COND_INTERSTICIAL[[#This Row],[Sección]]&amp;"-"&amp;COND_INTERSTICIAL[[#This Row],[Capa]],SECCIONES_CAPAS[llave],0))</f>
        <v>0</v>
      </c>
      <c r="DE106" s="90" t="e">
        <f ca="1">IF(COND_INTERSTICIAL[[#This Row],[ϴn]]&gt;=0,610.5*EXP((17.269*COND_INTERSTICIAL[[#This Row],[ϴn]])/(237.3+COND_INTERSTICIAL[[#This Row],[ϴn]])),610.5*EXP((21.875*COND_INTERSTICIAL[[#This Row],[ϴn]])/(265.5+COND_INTERSTICIAL[[#This Row],[ϴn]])))</f>
        <v>#N/A</v>
      </c>
      <c r="DF106" s="90" t="e" cm="1">
        <f t="array" aca="1" ref="DF106" ca="1">COND_INTERSTICIAL[[#This Row],[S''d]]*((INDEX(CLIMA[Pi],COND_INTERSTICIAL[[#This Row],[Mes]])-INDEX(CLIMA[Pe],COND_INTERSTICIAL[[#This Row],[Mes]]))/INDEX(SECCIONES[SdT],COND_INTERSTICIAL[[#This Row],[Sección]]))+INDEX(CLIMA[Pe],COND_INTERSTICIAL[[#This Row],[Mes]])</f>
        <v>#N/A</v>
      </c>
      <c r="DG106" s="108" t="e">
        <f ca="1">IF((COND_INTERSTICIAL[[#This Row],[Pn]]&gt;=COND_INTERSTICIAL[[#This Row],[Psat]]),TRUE,FALSE)</f>
        <v>#N/A</v>
      </c>
      <c r="DH106" s="109" t="e" cm="1">
        <f t="array" aca="1" ref="DH106" ca="1">IF(COND_INTERSTICIAL[[#This Row],[Condensa]],COND_INTERSTICIAL[[#This Row],[Psat]],IF(COND_INTERSTICIAL[[#This Row],[Capa]]=N_capas,COND_INTERSTICIAL[[#This Row],[Pn]],""))</f>
        <v>#N/A</v>
      </c>
      <c r="DI106" s="109" t="e">
        <f ca="1">COND_INTERSTICIAL[[#This Row],[Mes]]&amp;"-"&amp;COND_INTERSTICIAL[[#This Row],[Sección]]&amp;"-"&amp;COND_INTERSTICIAL[[#This Row],[tramo cond]]</f>
        <v>#N/A</v>
      </c>
      <c r="DJ106" t="e" cm="1">
        <f t="array" aca="1" ref="DJ106" ca="1">IF(COND_INTERSTICIAL[[#This Row],[Capa]]=1,IF(COND_INTERSTICIAL[[#This Row],[Condensa]],2,1),IF(COND_INTERSTICIAL[[#This Row],[Condensa]],1,0)+INDIRECT(ADDRESS(ROW()-1,COLUMN(),4)))</f>
        <v>#N/A</v>
      </c>
      <c r="DK106" s="108" t="e" cm="1">
        <f t="array" aca="1" ref="DK106" ca="1">IF(COND_INTERSTICIAL[[#This Row],[tramo cond]]=1,0,IF((COND_INTERSTICIAL[[#This Row],[tramo cond]]&gt;INDIRECT(ADDRESS(ROW()-1,COLUMN(COND_INTERSTICIAL[[#This Row],[tramo cond]]),4)))+COND_INTERSTICIAL[[#This Row],[Condensa]],COND_INTERSTICIAL[[#This Row],[Capa]],INDIRECT(ADDRESS(ROW()-1,COLUMN(),4))))</f>
        <v>#N/A</v>
      </c>
      <c r="DL106" s="108" t="e" cm="1">
        <f t="array" aca="1" ref="DL106" ca="1">IF((COND_INTERSTICIAL[[#This Row],[Capa]]=N_capas)+(COND_INTERSTICIAL[[#This Row],[tramo cond]]=COUNTIFS(COND_INTERSTICIAL[Condensa],TRUE,COND_INTERSTICIAL[Mes],CW106,COND_INTERSTICIAL[Sección],CX106)+1),N_capas,INDEX(COND_INTERSTICIAL[capa lím inf cond],MATCH(COND_INTERSTICIAL[[#This Row],[Mes]]&amp;"-"&amp;COND_INTERSTICIAL[[#This Row],[Sección]]&amp;"-"&amp;(COND_INTERSTICIAL[[#This Row],[tramo cond]]+1),COND_INTERSTICIAL[llave tramo cond],0)))</f>
        <v>#N/A</v>
      </c>
      <c r="DM106" s="108" cm="1">
        <f t="array" aca="1" ref="DM10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6" s="110" t="e" cm="1">
        <f t="array" aca="1" ref="DN10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6" s="107" t="e">
        <f ca="1">COND_INTERSTICIAL[[#This Row],[gc]]+COND_INTERSTICIAL[[#This Row],[Ma_anterior cond]]</f>
        <v>#N/A</v>
      </c>
      <c r="DQ106" s="113" t="e">
        <f ca="1">IF((COND_INTERSTICIAL[[#This Row],[Ma_anterior cond]]&gt;0)*NOT(COND_INTERSTICIAL[[#This Row],[Condensa]]),TRUE,FALSE)</f>
        <v>#N/A</v>
      </c>
      <c r="DR106" s="112" t="e" cm="1">
        <f t="array" aca="1" ref="DR106" ca="1">IF(COND_INTERSTICIAL[[#This Row],[evapora]],COND_INTERSTICIAL[[#This Row],[Psat]],IF(COND_INTERSTICIAL[[#This Row],[Capa]]=N_capas,COND_INTERSTICIAL[[#This Row],[Pn]],""))</f>
        <v>#N/A</v>
      </c>
      <c r="DS106" s="112" t="e">
        <f ca="1">COND_INTERSTICIAL[[#This Row],[Mes]]&amp;"-"&amp;COND_INTERSTICIAL[[#This Row],[Sección]]&amp;"-"&amp;COND_INTERSTICIAL[[#This Row],[tramo ev]]</f>
        <v>#N/A</v>
      </c>
      <c r="DT106" s="111" t="e" cm="1">
        <f t="array" aca="1" ref="DT106" ca="1">IF(COND_INTERSTICIAL[[#This Row],[Capa]]=1,IF(COND_INTERSTICIAL[[#This Row],[evapora]],2,1),IF(COND_INTERSTICIAL[[#This Row],[evapora]],1,0)+INDIRECT(ADDRESS(ROW()-1,COLUMN(),4)))</f>
        <v>#N/A</v>
      </c>
      <c r="DU106" s="111" t="e" cm="1">
        <f t="array" aca="1" ref="DU106" ca="1">IF(COND_INTERSTICIAL[[#This Row],[tramo ev]]=1,0,IF((COND_INTERSTICIAL[[#This Row],[tramo ev]]&gt;INDIRECT(ADDRESS(ROW()-1,COLUMN(COND_INTERSTICIAL[[#This Row],[tramo ev]]),4)))+COND_INTERSTICIAL[[#This Row],[evapora]],COND_INTERSTICIAL[[#This Row],[Capa]],INDIRECT(ADDRESS(ROW()-1,COLUMN(),4))))</f>
        <v>#N/A</v>
      </c>
      <c r="DV106" s="111" t="e" cm="1">
        <f t="array" aca="1" ref="DV106" ca="1">IF((COND_INTERSTICIAL[[#This Row],[Capa]]=N_capas)+(COND_INTERSTICIAL[[#This Row],[tramo ev]]=COUNTIFS(COND_INTERSTICIAL[evapora],TRUE,COND_INTERSTICIAL[Mes],CW106,COND_INTERSTICIAL[Sección],CX106)+1),N_capas,INDEX(COND_INTERSTICIAL[capa lím inf ev],MATCH(COND_INTERSTICIAL[[#This Row],[Mes]]&amp;"-"&amp;COND_INTERSTICIAL[[#This Row],[Sección]]&amp;"-"&amp;(COND_INTERSTICIAL[[#This Row],[tramo ev]]+1),COND_INTERSTICIAL[llave tramo ev],0)))</f>
        <v>#N/A</v>
      </c>
      <c r="DW106" s="111" cm="1">
        <f t="array" aca="1" ref="DW10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6" s="113" t="e" cm="1">
        <f t="array" aca="1" ref="DX10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6" s="113" t="e">
        <f ca="1">COND_INTERSTICIAL[[#This Row],[gev]]+COND_INTERSTICIAL[[#This Row],[Ma anterior ev]]</f>
        <v>#N/A</v>
      </c>
      <c r="EA106" s="115" t="e">
        <f ca="1">IF(COND_INTERSTICIAL[[#This Row],[Ma cond]]+COND_INTERSTICIAL[[#This Row],[Ma ev]]&lt;=0,0,COND_INTERSTICIAL[[#This Row],[Ma cond]]+COND_INTERSTICIAL[[#This Row],[Ma ev]])</f>
        <v>#N/A</v>
      </c>
      <c r="EB106" s="115" t="e">
        <f ca="1">IF(COND_INTERSTICIAL[[#This Row],[Ma]]&gt;0,TRUE,FALSE)</f>
        <v>#N/A</v>
      </c>
      <c r="EC106" s="115" t="e" cm="1">
        <f t="array" aca="1" ref="EC106" ca="1">IF(COND_INTERSTICIAL[[#This Row],[agua líquida]],IF(COND_INTERSTICIAL[[#This Row],[Condensa]],COND_INTERSTICIAL[[#This Row],[P límite cond]],COND_INTERSTICIAL[[#This Row],[P límite ev]]),IF(COND_INTERSTICIAL[[#This Row],[Capa]]=N_capas,COND_INTERSTICIAL[[#This Row],[Pn]],""))</f>
        <v>#N/A</v>
      </c>
      <c r="ED106" s="115" t="e">
        <f ca="1">COND_INTERSTICIAL[[#This Row],[Mes]]&amp;"-"&amp;COND_INTERSTICIAL[[#This Row],[Sección]]&amp;"-"&amp;COND_INTERSTICIAL[[#This Row],[tramo gráf]]</f>
        <v>#N/A</v>
      </c>
      <c r="EE106" s="114" t="e" cm="1">
        <f t="array" aca="1" ref="EE106" ca="1">IF(COND_INTERSTICIAL[[#This Row],[Capa]]=1,IF(COND_INTERSTICIAL[[#This Row],[agua líquida]],2,1),IF(COND_INTERSTICIAL[[#This Row],[agua líquida]],1,0)+INDIRECT(ADDRESS(ROW()-1,COLUMN(),4)))</f>
        <v>#N/A</v>
      </c>
      <c r="EF106" s="114" t="e" cm="1">
        <f t="array" aca="1" ref="EF106" ca="1">IF(COND_INTERSTICIAL[[#This Row],[tramo gráf]]=1,0,IF((COND_INTERSTICIAL[[#This Row],[tramo gráf]]&gt;INDIRECT(ADDRESS(ROW()-1,COLUMN(COND_INTERSTICIAL[[#This Row],[tramo gráf]]),4)))+COND_INTERSTICIAL[[#This Row],[agua líquida]],COND_INTERSTICIAL[[#This Row],[Capa]],INDIRECT(ADDRESS(ROW()-1,COLUMN(),4))))</f>
        <v>#N/A</v>
      </c>
      <c r="EG106" s="114" t="e" cm="1">
        <f t="array" aca="1" ref="EG106" ca="1">IF((COND_INTERSTICIAL[[#This Row],[Capa]]=N_capas)+(COND_INTERSTICIAL[[#This Row],[tramo gráf]]=COUNTIFS(COND_INTERSTICIAL[agua líquida],TRUE,COND_INTERSTICIAL[Mes],CW106,COND_INTERSTICIAL[Sección],CX106)+1),N_capas,INDEX(COND_INTERSTICIAL[capa lím inf gráf],MATCH(COND_INTERSTICIAL[[#This Row],[Mes]]&amp;"-"&amp;COND_INTERSTICIAL[[#This Row],[Sección]]&amp;"-"&amp;(COND_INTERSTICIAL[[#This Row],[tramo gráf]]+1),COND_INTERSTICIAL[llave tramo gráf],0)))</f>
        <v>#N/A</v>
      </c>
      <c r="EH106" s="114" cm="1">
        <f t="array" aca="1" ref="EH10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6" s="116" t="e" cm="1">
        <f t="array" aca="1" ref="EI10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7" spans="101:139" x14ac:dyDescent="0.45">
      <c r="CW107" s="1" cm="1">
        <f t="array" ref="CW107">ROUNDUP((ROW()-$CN$18+(Mes_inicial_de_análisis-1)*N_capas*N_secciones)/(N_capas*N_secciones),0)-12*IF(ROW()-$CN$18&gt;(12-Mes_inicial_de_análisis+1)*N_capas*N_secciones,1,0)</f>
        <v>1</v>
      </c>
      <c r="CX107" cm="1">
        <f t="array" ref="CX107">ROUNDUP((ROW()-$CN$18)/N_capas-(ROUNDUP((ROW()-$CN$18)/(N_capas*N_secciones),0)-1)*N_secciones,0)</f>
        <v>1</v>
      </c>
      <c r="CY107" cm="1">
        <f t="array" ref="CY107">(ROW()-$CN$18)-(COND_INTERSTICIAL[[#This Row],[Sección]]-1)*N_capas-(ROUNDUP((ROW()-$CN$18)/(N_capas*N_secciones),0)-1)*N_capas*N_secciones</f>
        <v>4</v>
      </c>
      <c r="CZ107" t="str">
        <f>COND_INTERSTICIAL[[#This Row],[Mes]]&amp;"-"&amp;COND_INTERSTICIAL[[#This Row],[Sección]]&amp;"-"&amp;COND_INTERSTICIAL[[#This Row],[Capa]]</f>
        <v>1-1-4</v>
      </c>
      <c r="DA107">
        <f ca="1">INDEX(SECCIONES_CAPAS[R''n],MATCH(COND_INTERSTICIAL[[#This Row],[Sección]]&amp;"-"&amp;COND_INTERSTICIAL[[#This Row],[Capa]],SECCIONES_CAPAS[llave],0))</f>
        <v>0.04</v>
      </c>
      <c r="DB107" s="172" t="e" cm="1">
        <f t="array" aca="1" ref="DB107" ca="1">INDEX(CLIMA[ϴe],COND_INTERSTICIAL[[#This Row],[Mes]])+COND_INTERSTICIAL[[#This Row],[Rn]]*(INDEX(CLIMA[ϴi],COND_INTERSTICIAL[[#This Row],[Mes]])-INDEX(CLIMA[ϴe],COND_INTERSTICIAL[[#This Row],[Mes]]))/(INDEX(SECCIONES[Rtsección_condensación],COND_INTERSTICIAL[[#This Row],[Sección]]))</f>
        <v>#N/A</v>
      </c>
      <c r="DC107">
        <f>INDEX(SECCIONES_CAPAS[Sd],MATCH(COND_INTERSTICIAL[[#This Row],[Sección]]&amp;"-"&amp;COND_INTERSTICIAL[[#This Row],[Capa]],SECCIONES_CAPAS[llave],0))</f>
        <v>0</v>
      </c>
      <c r="DD107">
        <f ca="1">INDEX(SECCIONES_CAPAS[S''d],MATCH(COND_INTERSTICIAL[[#This Row],[Sección]]&amp;"-"&amp;COND_INTERSTICIAL[[#This Row],[Capa]],SECCIONES_CAPAS[llave],0))</f>
        <v>0</v>
      </c>
      <c r="DE107" s="90" t="e">
        <f ca="1">IF(COND_INTERSTICIAL[[#This Row],[ϴn]]&gt;=0,610.5*EXP((17.269*COND_INTERSTICIAL[[#This Row],[ϴn]])/(237.3+COND_INTERSTICIAL[[#This Row],[ϴn]])),610.5*EXP((21.875*COND_INTERSTICIAL[[#This Row],[ϴn]])/(265.5+COND_INTERSTICIAL[[#This Row],[ϴn]])))</f>
        <v>#N/A</v>
      </c>
      <c r="DF107" s="90" t="e" cm="1">
        <f t="array" aca="1" ref="DF107" ca="1">COND_INTERSTICIAL[[#This Row],[S''d]]*((INDEX(CLIMA[Pi],COND_INTERSTICIAL[[#This Row],[Mes]])-INDEX(CLIMA[Pe],COND_INTERSTICIAL[[#This Row],[Mes]]))/INDEX(SECCIONES[SdT],COND_INTERSTICIAL[[#This Row],[Sección]]))+INDEX(CLIMA[Pe],COND_INTERSTICIAL[[#This Row],[Mes]])</f>
        <v>#N/A</v>
      </c>
      <c r="DG107" s="108" t="e">
        <f ca="1">IF((COND_INTERSTICIAL[[#This Row],[Pn]]&gt;=COND_INTERSTICIAL[[#This Row],[Psat]]),TRUE,FALSE)</f>
        <v>#N/A</v>
      </c>
      <c r="DH107" s="109" t="e" cm="1">
        <f t="array" aca="1" ref="DH107" ca="1">IF(COND_INTERSTICIAL[[#This Row],[Condensa]],COND_INTERSTICIAL[[#This Row],[Psat]],IF(COND_INTERSTICIAL[[#This Row],[Capa]]=N_capas,COND_INTERSTICIAL[[#This Row],[Pn]],""))</f>
        <v>#N/A</v>
      </c>
      <c r="DI107" s="109" t="e">
        <f ca="1">COND_INTERSTICIAL[[#This Row],[Mes]]&amp;"-"&amp;COND_INTERSTICIAL[[#This Row],[Sección]]&amp;"-"&amp;COND_INTERSTICIAL[[#This Row],[tramo cond]]</f>
        <v>#N/A</v>
      </c>
      <c r="DJ107" t="e" cm="1">
        <f t="array" aca="1" ref="DJ107" ca="1">IF(COND_INTERSTICIAL[[#This Row],[Capa]]=1,IF(COND_INTERSTICIAL[[#This Row],[Condensa]],2,1),IF(COND_INTERSTICIAL[[#This Row],[Condensa]],1,0)+INDIRECT(ADDRESS(ROW()-1,COLUMN(),4)))</f>
        <v>#N/A</v>
      </c>
      <c r="DK107" s="108" t="e" cm="1">
        <f t="array" aca="1" ref="DK107" ca="1">IF(COND_INTERSTICIAL[[#This Row],[tramo cond]]=1,0,IF((COND_INTERSTICIAL[[#This Row],[tramo cond]]&gt;INDIRECT(ADDRESS(ROW()-1,COLUMN(COND_INTERSTICIAL[[#This Row],[tramo cond]]),4)))+COND_INTERSTICIAL[[#This Row],[Condensa]],COND_INTERSTICIAL[[#This Row],[Capa]],INDIRECT(ADDRESS(ROW()-1,COLUMN(),4))))</f>
        <v>#N/A</v>
      </c>
      <c r="DL107" s="108" t="e" cm="1">
        <f t="array" aca="1" ref="DL107" ca="1">IF((COND_INTERSTICIAL[[#This Row],[Capa]]=N_capas)+(COND_INTERSTICIAL[[#This Row],[tramo cond]]=COUNTIFS(COND_INTERSTICIAL[Condensa],TRUE,COND_INTERSTICIAL[Mes],CW107,COND_INTERSTICIAL[Sección],CX107)+1),N_capas,INDEX(COND_INTERSTICIAL[capa lím inf cond],MATCH(COND_INTERSTICIAL[[#This Row],[Mes]]&amp;"-"&amp;COND_INTERSTICIAL[[#This Row],[Sección]]&amp;"-"&amp;(COND_INTERSTICIAL[[#This Row],[tramo cond]]+1),COND_INTERSTICIAL[llave tramo cond],0)))</f>
        <v>#N/A</v>
      </c>
      <c r="DM107" s="108" cm="1">
        <f t="array" aca="1" ref="DM10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7" s="110" t="e" cm="1">
        <f t="array" aca="1" ref="DN10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7" s="107" t="e">
        <f ca="1">COND_INTERSTICIAL[[#This Row],[gc]]+COND_INTERSTICIAL[[#This Row],[Ma_anterior cond]]</f>
        <v>#N/A</v>
      </c>
      <c r="DQ107" s="113" t="e">
        <f ca="1">IF((COND_INTERSTICIAL[[#This Row],[Ma_anterior cond]]&gt;0)*NOT(COND_INTERSTICIAL[[#This Row],[Condensa]]),TRUE,FALSE)</f>
        <v>#N/A</v>
      </c>
      <c r="DR107" s="112" t="e" cm="1">
        <f t="array" aca="1" ref="DR107" ca="1">IF(COND_INTERSTICIAL[[#This Row],[evapora]],COND_INTERSTICIAL[[#This Row],[Psat]],IF(COND_INTERSTICIAL[[#This Row],[Capa]]=N_capas,COND_INTERSTICIAL[[#This Row],[Pn]],""))</f>
        <v>#N/A</v>
      </c>
      <c r="DS107" s="112" t="e">
        <f ca="1">COND_INTERSTICIAL[[#This Row],[Mes]]&amp;"-"&amp;COND_INTERSTICIAL[[#This Row],[Sección]]&amp;"-"&amp;COND_INTERSTICIAL[[#This Row],[tramo ev]]</f>
        <v>#N/A</v>
      </c>
      <c r="DT107" s="111" t="e" cm="1">
        <f t="array" aca="1" ref="DT107" ca="1">IF(COND_INTERSTICIAL[[#This Row],[Capa]]=1,IF(COND_INTERSTICIAL[[#This Row],[evapora]],2,1),IF(COND_INTERSTICIAL[[#This Row],[evapora]],1,0)+INDIRECT(ADDRESS(ROW()-1,COLUMN(),4)))</f>
        <v>#N/A</v>
      </c>
      <c r="DU107" s="111" t="e" cm="1">
        <f t="array" aca="1" ref="DU107" ca="1">IF(COND_INTERSTICIAL[[#This Row],[tramo ev]]=1,0,IF((COND_INTERSTICIAL[[#This Row],[tramo ev]]&gt;INDIRECT(ADDRESS(ROW()-1,COLUMN(COND_INTERSTICIAL[[#This Row],[tramo ev]]),4)))+COND_INTERSTICIAL[[#This Row],[evapora]],COND_INTERSTICIAL[[#This Row],[Capa]],INDIRECT(ADDRESS(ROW()-1,COLUMN(),4))))</f>
        <v>#N/A</v>
      </c>
      <c r="DV107" s="111" t="e" cm="1">
        <f t="array" aca="1" ref="DV107" ca="1">IF((COND_INTERSTICIAL[[#This Row],[Capa]]=N_capas)+(COND_INTERSTICIAL[[#This Row],[tramo ev]]=COUNTIFS(COND_INTERSTICIAL[evapora],TRUE,COND_INTERSTICIAL[Mes],CW107,COND_INTERSTICIAL[Sección],CX107)+1),N_capas,INDEX(COND_INTERSTICIAL[capa lím inf ev],MATCH(COND_INTERSTICIAL[[#This Row],[Mes]]&amp;"-"&amp;COND_INTERSTICIAL[[#This Row],[Sección]]&amp;"-"&amp;(COND_INTERSTICIAL[[#This Row],[tramo ev]]+1),COND_INTERSTICIAL[llave tramo ev],0)))</f>
        <v>#N/A</v>
      </c>
      <c r="DW107" s="111" cm="1">
        <f t="array" aca="1" ref="DW10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7" s="113" t="e" cm="1">
        <f t="array" aca="1" ref="DX10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7" s="113" t="e">
        <f ca="1">COND_INTERSTICIAL[[#This Row],[gev]]+COND_INTERSTICIAL[[#This Row],[Ma anterior ev]]</f>
        <v>#N/A</v>
      </c>
      <c r="EA107" s="115" t="e">
        <f ca="1">IF(COND_INTERSTICIAL[[#This Row],[Ma cond]]+COND_INTERSTICIAL[[#This Row],[Ma ev]]&lt;=0,0,COND_INTERSTICIAL[[#This Row],[Ma cond]]+COND_INTERSTICIAL[[#This Row],[Ma ev]])</f>
        <v>#N/A</v>
      </c>
      <c r="EB107" s="115" t="e">
        <f ca="1">IF(COND_INTERSTICIAL[[#This Row],[Ma]]&gt;0,TRUE,FALSE)</f>
        <v>#N/A</v>
      </c>
      <c r="EC107" s="115" t="e" cm="1">
        <f t="array" aca="1" ref="EC107" ca="1">IF(COND_INTERSTICIAL[[#This Row],[agua líquida]],IF(COND_INTERSTICIAL[[#This Row],[Condensa]],COND_INTERSTICIAL[[#This Row],[P límite cond]],COND_INTERSTICIAL[[#This Row],[P límite ev]]),IF(COND_INTERSTICIAL[[#This Row],[Capa]]=N_capas,COND_INTERSTICIAL[[#This Row],[Pn]],""))</f>
        <v>#N/A</v>
      </c>
      <c r="ED107" s="115" t="e">
        <f ca="1">COND_INTERSTICIAL[[#This Row],[Mes]]&amp;"-"&amp;COND_INTERSTICIAL[[#This Row],[Sección]]&amp;"-"&amp;COND_INTERSTICIAL[[#This Row],[tramo gráf]]</f>
        <v>#N/A</v>
      </c>
      <c r="EE107" s="114" t="e" cm="1">
        <f t="array" aca="1" ref="EE107" ca="1">IF(COND_INTERSTICIAL[[#This Row],[Capa]]=1,IF(COND_INTERSTICIAL[[#This Row],[agua líquida]],2,1),IF(COND_INTERSTICIAL[[#This Row],[agua líquida]],1,0)+INDIRECT(ADDRESS(ROW()-1,COLUMN(),4)))</f>
        <v>#N/A</v>
      </c>
      <c r="EF107" s="114" t="e" cm="1">
        <f t="array" aca="1" ref="EF107" ca="1">IF(COND_INTERSTICIAL[[#This Row],[tramo gráf]]=1,0,IF((COND_INTERSTICIAL[[#This Row],[tramo gráf]]&gt;INDIRECT(ADDRESS(ROW()-1,COLUMN(COND_INTERSTICIAL[[#This Row],[tramo gráf]]),4)))+COND_INTERSTICIAL[[#This Row],[agua líquida]],COND_INTERSTICIAL[[#This Row],[Capa]],INDIRECT(ADDRESS(ROW()-1,COLUMN(),4))))</f>
        <v>#N/A</v>
      </c>
      <c r="EG107" s="114" t="e" cm="1">
        <f t="array" aca="1" ref="EG107" ca="1">IF((COND_INTERSTICIAL[[#This Row],[Capa]]=N_capas)+(COND_INTERSTICIAL[[#This Row],[tramo gráf]]=COUNTIFS(COND_INTERSTICIAL[agua líquida],TRUE,COND_INTERSTICIAL[Mes],CW107,COND_INTERSTICIAL[Sección],CX107)+1),N_capas,INDEX(COND_INTERSTICIAL[capa lím inf gráf],MATCH(COND_INTERSTICIAL[[#This Row],[Mes]]&amp;"-"&amp;COND_INTERSTICIAL[[#This Row],[Sección]]&amp;"-"&amp;(COND_INTERSTICIAL[[#This Row],[tramo gráf]]+1),COND_INTERSTICIAL[llave tramo gráf],0)))</f>
        <v>#N/A</v>
      </c>
      <c r="EH107" s="114" cm="1">
        <f t="array" aca="1" ref="EH10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7" s="116" t="e" cm="1">
        <f t="array" aca="1" ref="EI10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8" spans="101:139" x14ac:dyDescent="0.45">
      <c r="CW108" s="1" cm="1">
        <f t="array" ref="CW108">ROUNDUP((ROW()-$CN$18+(Mes_inicial_de_análisis-1)*N_capas*N_secciones)/(N_capas*N_secciones),0)-12*IF(ROW()-$CN$18&gt;(12-Mes_inicial_de_análisis+1)*N_capas*N_secciones,1,0)</f>
        <v>1</v>
      </c>
      <c r="CX108" cm="1">
        <f t="array" ref="CX108">ROUNDUP((ROW()-$CN$18)/N_capas-(ROUNDUP((ROW()-$CN$18)/(N_capas*N_secciones),0)-1)*N_secciones,0)</f>
        <v>1</v>
      </c>
      <c r="CY108" cm="1">
        <f t="array" ref="CY108">(ROW()-$CN$18)-(COND_INTERSTICIAL[[#This Row],[Sección]]-1)*N_capas-(ROUNDUP((ROW()-$CN$18)/(N_capas*N_secciones),0)-1)*N_capas*N_secciones</f>
        <v>5</v>
      </c>
      <c r="CZ108" t="str">
        <f>COND_INTERSTICIAL[[#This Row],[Mes]]&amp;"-"&amp;COND_INTERSTICIAL[[#This Row],[Sección]]&amp;"-"&amp;COND_INTERSTICIAL[[#This Row],[Capa]]</f>
        <v>1-1-5</v>
      </c>
      <c r="DA108">
        <f ca="1">INDEX(SECCIONES_CAPAS[R''n],MATCH(COND_INTERSTICIAL[[#This Row],[Sección]]&amp;"-"&amp;COND_INTERSTICIAL[[#This Row],[Capa]],SECCIONES_CAPAS[llave],0))</f>
        <v>0.04</v>
      </c>
      <c r="DB108" s="172" t="e" cm="1">
        <f t="array" aca="1" ref="DB108" ca="1">INDEX(CLIMA[ϴe],COND_INTERSTICIAL[[#This Row],[Mes]])+COND_INTERSTICIAL[[#This Row],[Rn]]*(INDEX(CLIMA[ϴi],COND_INTERSTICIAL[[#This Row],[Mes]])-INDEX(CLIMA[ϴe],COND_INTERSTICIAL[[#This Row],[Mes]]))/(INDEX(SECCIONES[Rtsección_condensación],COND_INTERSTICIAL[[#This Row],[Sección]]))</f>
        <v>#N/A</v>
      </c>
      <c r="DC108">
        <f>INDEX(SECCIONES_CAPAS[Sd],MATCH(COND_INTERSTICIAL[[#This Row],[Sección]]&amp;"-"&amp;COND_INTERSTICIAL[[#This Row],[Capa]],SECCIONES_CAPAS[llave],0))</f>
        <v>0</v>
      </c>
      <c r="DD108">
        <f ca="1">INDEX(SECCIONES_CAPAS[S''d],MATCH(COND_INTERSTICIAL[[#This Row],[Sección]]&amp;"-"&amp;COND_INTERSTICIAL[[#This Row],[Capa]],SECCIONES_CAPAS[llave],0))</f>
        <v>0</v>
      </c>
      <c r="DE108" s="90" t="e">
        <f ca="1">IF(COND_INTERSTICIAL[[#This Row],[ϴn]]&gt;=0,610.5*EXP((17.269*COND_INTERSTICIAL[[#This Row],[ϴn]])/(237.3+COND_INTERSTICIAL[[#This Row],[ϴn]])),610.5*EXP((21.875*COND_INTERSTICIAL[[#This Row],[ϴn]])/(265.5+COND_INTERSTICIAL[[#This Row],[ϴn]])))</f>
        <v>#N/A</v>
      </c>
      <c r="DF108" s="90" t="e" cm="1">
        <f t="array" aca="1" ref="DF108" ca="1">COND_INTERSTICIAL[[#This Row],[S''d]]*((INDEX(CLIMA[Pi],COND_INTERSTICIAL[[#This Row],[Mes]])-INDEX(CLIMA[Pe],COND_INTERSTICIAL[[#This Row],[Mes]]))/INDEX(SECCIONES[SdT],COND_INTERSTICIAL[[#This Row],[Sección]]))+INDEX(CLIMA[Pe],COND_INTERSTICIAL[[#This Row],[Mes]])</f>
        <v>#N/A</v>
      </c>
      <c r="DG108" s="108" t="e">
        <f ca="1">IF((COND_INTERSTICIAL[[#This Row],[Pn]]&gt;=COND_INTERSTICIAL[[#This Row],[Psat]]),TRUE,FALSE)</f>
        <v>#N/A</v>
      </c>
      <c r="DH108" s="109" t="e" cm="1">
        <f t="array" aca="1" ref="DH108" ca="1">IF(COND_INTERSTICIAL[[#This Row],[Condensa]],COND_INTERSTICIAL[[#This Row],[Psat]],IF(COND_INTERSTICIAL[[#This Row],[Capa]]=N_capas,COND_INTERSTICIAL[[#This Row],[Pn]],""))</f>
        <v>#N/A</v>
      </c>
      <c r="DI108" s="109" t="e">
        <f ca="1">COND_INTERSTICIAL[[#This Row],[Mes]]&amp;"-"&amp;COND_INTERSTICIAL[[#This Row],[Sección]]&amp;"-"&amp;COND_INTERSTICIAL[[#This Row],[tramo cond]]</f>
        <v>#N/A</v>
      </c>
      <c r="DJ108" t="e" cm="1">
        <f t="array" aca="1" ref="DJ108" ca="1">IF(COND_INTERSTICIAL[[#This Row],[Capa]]=1,IF(COND_INTERSTICIAL[[#This Row],[Condensa]],2,1),IF(COND_INTERSTICIAL[[#This Row],[Condensa]],1,0)+INDIRECT(ADDRESS(ROW()-1,COLUMN(),4)))</f>
        <v>#N/A</v>
      </c>
      <c r="DK108" s="108" t="e" cm="1">
        <f t="array" aca="1" ref="DK108" ca="1">IF(COND_INTERSTICIAL[[#This Row],[tramo cond]]=1,0,IF((COND_INTERSTICIAL[[#This Row],[tramo cond]]&gt;INDIRECT(ADDRESS(ROW()-1,COLUMN(COND_INTERSTICIAL[[#This Row],[tramo cond]]),4)))+COND_INTERSTICIAL[[#This Row],[Condensa]],COND_INTERSTICIAL[[#This Row],[Capa]],INDIRECT(ADDRESS(ROW()-1,COLUMN(),4))))</f>
        <v>#N/A</v>
      </c>
      <c r="DL108" s="108" t="e" cm="1">
        <f t="array" aca="1" ref="DL108" ca="1">IF((COND_INTERSTICIAL[[#This Row],[Capa]]=N_capas)+(COND_INTERSTICIAL[[#This Row],[tramo cond]]=COUNTIFS(COND_INTERSTICIAL[Condensa],TRUE,COND_INTERSTICIAL[Mes],CW108,COND_INTERSTICIAL[Sección],CX108)+1),N_capas,INDEX(COND_INTERSTICIAL[capa lím inf cond],MATCH(COND_INTERSTICIAL[[#This Row],[Mes]]&amp;"-"&amp;COND_INTERSTICIAL[[#This Row],[Sección]]&amp;"-"&amp;(COND_INTERSTICIAL[[#This Row],[tramo cond]]+1),COND_INTERSTICIAL[llave tramo cond],0)))</f>
        <v>#N/A</v>
      </c>
      <c r="DM108" s="108" cm="1">
        <f t="array" aca="1" ref="DM10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8" s="110" t="e" cm="1">
        <f t="array" aca="1" ref="DN10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8" s="107" t="e">
        <f ca="1">COND_INTERSTICIAL[[#This Row],[gc]]+COND_INTERSTICIAL[[#This Row],[Ma_anterior cond]]</f>
        <v>#N/A</v>
      </c>
      <c r="DQ108" s="113" t="e">
        <f ca="1">IF((COND_INTERSTICIAL[[#This Row],[Ma_anterior cond]]&gt;0)*NOT(COND_INTERSTICIAL[[#This Row],[Condensa]]),TRUE,FALSE)</f>
        <v>#N/A</v>
      </c>
      <c r="DR108" s="112" t="e" cm="1">
        <f t="array" aca="1" ref="DR108" ca="1">IF(COND_INTERSTICIAL[[#This Row],[evapora]],COND_INTERSTICIAL[[#This Row],[Psat]],IF(COND_INTERSTICIAL[[#This Row],[Capa]]=N_capas,COND_INTERSTICIAL[[#This Row],[Pn]],""))</f>
        <v>#N/A</v>
      </c>
      <c r="DS108" s="112" t="e">
        <f ca="1">COND_INTERSTICIAL[[#This Row],[Mes]]&amp;"-"&amp;COND_INTERSTICIAL[[#This Row],[Sección]]&amp;"-"&amp;COND_INTERSTICIAL[[#This Row],[tramo ev]]</f>
        <v>#N/A</v>
      </c>
      <c r="DT108" s="111" t="e" cm="1">
        <f t="array" aca="1" ref="DT108" ca="1">IF(COND_INTERSTICIAL[[#This Row],[Capa]]=1,IF(COND_INTERSTICIAL[[#This Row],[evapora]],2,1),IF(COND_INTERSTICIAL[[#This Row],[evapora]],1,0)+INDIRECT(ADDRESS(ROW()-1,COLUMN(),4)))</f>
        <v>#N/A</v>
      </c>
      <c r="DU108" s="111" t="e" cm="1">
        <f t="array" aca="1" ref="DU108" ca="1">IF(COND_INTERSTICIAL[[#This Row],[tramo ev]]=1,0,IF((COND_INTERSTICIAL[[#This Row],[tramo ev]]&gt;INDIRECT(ADDRESS(ROW()-1,COLUMN(COND_INTERSTICIAL[[#This Row],[tramo ev]]),4)))+COND_INTERSTICIAL[[#This Row],[evapora]],COND_INTERSTICIAL[[#This Row],[Capa]],INDIRECT(ADDRESS(ROW()-1,COLUMN(),4))))</f>
        <v>#N/A</v>
      </c>
      <c r="DV108" s="111" t="e" cm="1">
        <f t="array" aca="1" ref="DV108" ca="1">IF((COND_INTERSTICIAL[[#This Row],[Capa]]=N_capas)+(COND_INTERSTICIAL[[#This Row],[tramo ev]]=COUNTIFS(COND_INTERSTICIAL[evapora],TRUE,COND_INTERSTICIAL[Mes],CW108,COND_INTERSTICIAL[Sección],CX108)+1),N_capas,INDEX(COND_INTERSTICIAL[capa lím inf ev],MATCH(COND_INTERSTICIAL[[#This Row],[Mes]]&amp;"-"&amp;COND_INTERSTICIAL[[#This Row],[Sección]]&amp;"-"&amp;(COND_INTERSTICIAL[[#This Row],[tramo ev]]+1),COND_INTERSTICIAL[llave tramo ev],0)))</f>
        <v>#N/A</v>
      </c>
      <c r="DW108" s="111" cm="1">
        <f t="array" aca="1" ref="DW10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8" s="113" t="e" cm="1">
        <f t="array" aca="1" ref="DX10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8" s="113" t="e">
        <f ca="1">COND_INTERSTICIAL[[#This Row],[gev]]+COND_INTERSTICIAL[[#This Row],[Ma anterior ev]]</f>
        <v>#N/A</v>
      </c>
      <c r="EA108" s="115" t="e">
        <f ca="1">IF(COND_INTERSTICIAL[[#This Row],[Ma cond]]+COND_INTERSTICIAL[[#This Row],[Ma ev]]&lt;=0,0,COND_INTERSTICIAL[[#This Row],[Ma cond]]+COND_INTERSTICIAL[[#This Row],[Ma ev]])</f>
        <v>#N/A</v>
      </c>
      <c r="EB108" s="115" t="e">
        <f ca="1">IF(COND_INTERSTICIAL[[#This Row],[Ma]]&gt;0,TRUE,FALSE)</f>
        <v>#N/A</v>
      </c>
      <c r="EC108" s="115" t="e" cm="1">
        <f t="array" aca="1" ref="EC108" ca="1">IF(COND_INTERSTICIAL[[#This Row],[agua líquida]],IF(COND_INTERSTICIAL[[#This Row],[Condensa]],COND_INTERSTICIAL[[#This Row],[P límite cond]],COND_INTERSTICIAL[[#This Row],[P límite ev]]),IF(COND_INTERSTICIAL[[#This Row],[Capa]]=N_capas,COND_INTERSTICIAL[[#This Row],[Pn]],""))</f>
        <v>#N/A</v>
      </c>
      <c r="ED108" s="115" t="e">
        <f ca="1">COND_INTERSTICIAL[[#This Row],[Mes]]&amp;"-"&amp;COND_INTERSTICIAL[[#This Row],[Sección]]&amp;"-"&amp;COND_INTERSTICIAL[[#This Row],[tramo gráf]]</f>
        <v>#N/A</v>
      </c>
      <c r="EE108" s="114" t="e" cm="1">
        <f t="array" aca="1" ref="EE108" ca="1">IF(COND_INTERSTICIAL[[#This Row],[Capa]]=1,IF(COND_INTERSTICIAL[[#This Row],[agua líquida]],2,1),IF(COND_INTERSTICIAL[[#This Row],[agua líquida]],1,0)+INDIRECT(ADDRESS(ROW()-1,COLUMN(),4)))</f>
        <v>#N/A</v>
      </c>
      <c r="EF108" s="114" t="e" cm="1">
        <f t="array" aca="1" ref="EF108" ca="1">IF(COND_INTERSTICIAL[[#This Row],[tramo gráf]]=1,0,IF((COND_INTERSTICIAL[[#This Row],[tramo gráf]]&gt;INDIRECT(ADDRESS(ROW()-1,COLUMN(COND_INTERSTICIAL[[#This Row],[tramo gráf]]),4)))+COND_INTERSTICIAL[[#This Row],[agua líquida]],COND_INTERSTICIAL[[#This Row],[Capa]],INDIRECT(ADDRESS(ROW()-1,COLUMN(),4))))</f>
        <v>#N/A</v>
      </c>
      <c r="EG108" s="114" t="e" cm="1">
        <f t="array" aca="1" ref="EG108" ca="1">IF((COND_INTERSTICIAL[[#This Row],[Capa]]=N_capas)+(COND_INTERSTICIAL[[#This Row],[tramo gráf]]=COUNTIFS(COND_INTERSTICIAL[agua líquida],TRUE,COND_INTERSTICIAL[Mes],CW108,COND_INTERSTICIAL[Sección],CX108)+1),N_capas,INDEX(COND_INTERSTICIAL[capa lím inf gráf],MATCH(COND_INTERSTICIAL[[#This Row],[Mes]]&amp;"-"&amp;COND_INTERSTICIAL[[#This Row],[Sección]]&amp;"-"&amp;(COND_INTERSTICIAL[[#This Row],[tramo gráf]]+1),COND_INTERSTICIAL[llave tramo gráf],0)))</f>
        <v>#N/A</v>
      </c>
      <c r="EH108" s="114" cm="1">
        <f t="array" aca="1" ref="EH10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8" s="116" t="e" cm="1">
        <f t="array" aca="1" ref="EI10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9" spans="101:139" x14ac:dyDescent="0.45">
      <c r="CW109" s="1" cm="1">
        <f t="array" ref="CW109">ROUNDUP((ROW()-$CN$18+(Mes_inicial_de_análisis-1)*N_capas*N_secciones)/(N_capas*N_secciones),0)-12*IF(ROW()-$CN$18&gt;(12-Mes_inicial_de_análisis+1)*N_capas*N_secciones,1,0)</f>
        <v>1</v>
      </c>
      <c r="CX109" cm="1">
        <f t="array" ref="CX109">ROUNDUP((ROW()-$CN$18)/N_capas-(ROUNDUP((ROW()-$CN$18)/(N_capas*N_secciones),0)-1)*N_secciones,0)</f>
        <v>1</v>
      </c>
      <c r="CY109" cm="1">
        <f t="array" ref="CY109">(ROW()-$CN$18)-(COND_INTERSTICIAL[[#This Row],[Sección]]-1)*N_capas-(ROUNDUP((ROW()-$CN$18)/(N_capas*N_secciones),0)-1)*N_capas*N_secciones</f>
        <v>6</v>
      </c>
      <c r="CZ109" t="str">
        <f>COND_INTERSTICIAL[[#This Row],[Mes]]&amp;"-"&amp;COND_INTERSTICIAL[[#This Row],[Sección]]&amp;"-"&amp;COND_INTERSTICIAL[[#This Row],[Capa]]</f>
        <v>1-1-6</v>
      </c>
      <c r="DA109">
        <f ca="1">INDEX(SECCIONES_CAPAS[R''n],MATCH(COND_INTERSTICIAL[[#This Row],[Sección]]&amp;"-"&amp;COND_INTERSTICIAL[[#This Row],[Capa]],SECCIONES_CAPAS[llave],0))</f>
        <v>0.04</v>
      </c>
      <c r="DB109" s="172" t="e" cm="1">
        <f t="array" aca="1" ref="DB109" ca="1">INDEX(CLIMA[ϴe],COND_INTERSTICIAL[[#This Row],[Mes]])+COND_INTERSTICIAL[[#This Row],[Rn]]*(INDEX(CLIMA[ϴi],COND_INTERSTICIAL[[#This Row],[Mes]])-INDEX(CLIMA[ϴe],COND_INTERSTICIAL[[#This Row],[Mes]]))/(INDEX(SECCIONES[Rtsección_condensación],COND_INTERSTICIAL[[#This Row],[Sección]]))</f>
        <v>#N/A</v>
      </c>
      <c r="DC109">
        <f>INDEX(SECCIONES_CAPAS[Sd],MATCH(COND_INTERSTICIAL[[#This Row],[Sección]]&amp;"-"&amp;COND_INTERSTICIAL[[#This Row],[Capa]],SECCIONES_CAPAS[llave],0))</f>
        <v>0</v>
      </c>
      <c r="DD109">
        <f ca="1">INDEX(SECCIONES_CAPAS[S''d],MATCH(COND_INTERSTICIAL[[#This Row],[Sección]]&amp;"-"&amp;COND_INTERSTICIAL[[#This Row],[Capa]],SECCIONES_CAPAS[llave],0))</f>
        <v>0</v>
      </c>
      <c r="DE109" s="90" t="e">
        <f ca="1">IF(COND_INTERSTICIAL[[#This Row],[ϴn]]&gt;=0,610.5*EXP((17.269*COND_INTERSTICIAL[[#This Row],[ϴn]])/(237.3+COND_INTERSTICIAL[[#This Row],[ϴn]])),610.5*EXP((21.875*COND_INTERSTICIAL[[#This Row],[ϴn]])/(265.5+COND_INTERSTICIAL[[#This Row],[ϴn]])))</f>
        <v>#N/A</v>
      </c>
      <c r="DF109" s="90" t="e" cm="1">
        <f t="array" aca="1" ref="DF109" ca="1">COND_INTERSTICIAL[[#This Row],[S''d]]*((INDEX(CLIMA[Pi],COND_INTERSTICIAL[[#This Row],[Mes]])-INDEX(CLIMA[Pe],COND_INTERSTICIAL[[#This Row],[Mes]]))/INDEX(SECCIONES[SdT],COND_INTERSTICIAL[[#This Row],[Sección]]))+INDEX(CLIMA[Pe],COND_INTERSTICIAL[[#This Row],[Mes]])</f>
        <v>#N/A</v>
      </c>
      <c r="DG109" s="108" t="e">
        <f ca="1">IF((COND_INTERSTICIAL[[#This Row],[Pn]]&gt;=COND_INTERSTICIAL[[#This Row],[Psat]]),TRUE,FALSE)</f>
        <v>#N/A</v>
      </c>
      <c r="DH109" s="109" t="e" cm="1">
        <f t="array" aca="1" ref="DH109" ca="1">IF(COND_INTERSTICIAL[[#This Row],[Condensa]],COND_INTERSTICIAL[[#This Row],[Psat]],IF(COND_INTERSTICIAL[[#This Row],[Capa]]=N_capas,COND_INTERSTICIAL[[#This Row],[Pn]],""))</f>
        <v>#N/A</v>
      </c>
      <c r="DI109" s="109" t="e">
        <f ca="1">COND_INTERSTICIAL[[#This Row],[Mes]]&amp;"-"&amp;COND_INTERSTICIAL[[#This Row],[Sección]]&amp;"-"&amp;COND_INTERSTICIAL[[#This Row],[tramo cond]]</f>
        <v>#N/A</v>
      </c>
      <c r="DJ109" t="e" cm="1">
        <f t="array" aca="1" ref="DJ109" ca="1">IF(COND_INTERSTICIAL[[#This Row],[Capa]]=1,IF(COND_INTERSTICIAL[[#This Row],[Condensa]],2,1),IF(COND_INTERSTICIAL[[#This Row],[Condensa]],1,0)+INDIRECT(ADDRESS(ROW()-1,COLUMN(),4)))</f>
        <v>#N/A</v>
      </c>
      <c r="DK109" s="108" t="e" cm="1">
        <f t="array" aca="1" ref="DK109" ca="1">IF(COND_INTERSTICIAL[[#This Row],[tramo cond]]=1,0,IF((COND_INTERSTICIAL[[#This Row],[tramo cond]]&gt;INDIRECT(ADDRESS(ROW()-1,COLUMN(COND_INTERSTICIAL[[#This Row],[tramo cond]]),4)))+COND_INTERSTICIAL[[#This Row],[Condensa]],COND_INTERSTICIAL[[#This Row],[Capa]],INDIRECT(ADDRESS(ROW()-1,COLUMN(),4))))</f>
        <v>#N/A</v>
      </c>
      <c r="DL109" s="108" t="e" cm="1">
        <f t="array" aca="1" ref="DL109" ca="1">IF((COND_INTERSTICIAL[[#This Row],[Capa]]=N_capas)+(COND_INTERSTICIAL[[#This Row],[tramo cond]]=COUNTIFS(COND_INTERSTICIAL[Condensa],TRUE,COND_INTERSTICIAL[Mes],CW109,COND_INTERSTICIAL[Sección],CX109)+1),N_capas,INDEX(COND_INTERSTICIAL[capa lím inf cond],MATCH(COND_INTERSTICIAL[[#This Row],[Mes]]&amp;"-"&amp;COND_INTERSTICIAL[[#This Row],[Sección]]&amp;"-"&amp;(COND_INTERSTICIAL[[#This Row],[tramo cond]]+1),COND_INTERSTICIAL[llave tramo cond],0)))</f>
        <v>#N/A</v>
      </c>
      <c r="DM109" s="108" cm="1">
        <f t="array" aca="1" ref="DM10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9" s="110" t="e" cm="1">
        <f t="array" aca="1" ref="DN10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9" s="107" t="e">
        <f ca="1">COND_INTERSTICIAL[[#This Row],[gc]]+COND_INTERSTICIAL[[#This Row],[Ma_anterior cond]]</f>
        <v>#N/A</v>
      </c>
      <c r="DQ109" s="113" t="e">
        <f ca="1">IF((COND_INTERSTICIAL[[#This Row],[Ma_anterior cond]]&gt;0)*NOT(COND_INTERSTICIAL[[#This Row],[Condensa]]),TRUE,FALSE)</f>
        <v>#N/A</v>
      </c>
      <c r="DR109" s="112" t="e" cm="1">
        <f t="array" aca="1" ref="DR109" ca="1">IF(COND_INTERSTICIAL[[#This Row],[evapora]],COND_INTERSTICIAL[[#This Row],[Psat]],IF(COND_INTERSTICIAL[[#This Row],[Capa]]=N_capas,COND_INTERSTICIAL[[#This Row],[Pn]],""))</f>
        <v>#N/A</v>
      </c>
      <c r="DS109" s="112" t="e">
        <f ca="1">COND_INTERSTICIAL[[#This Row],[Mes]]&amp;"-"&amp;COND_INTERSTICIAL[[#This Row],[Sección]]&amp;"-"&amp;COND_INTERSTICIAL[[#This Row],[tramo ev]]</f>
        <v>#N/A</v>
      </c>
      <c r="DT109" s="111" t="e" cm="1">
        <f t="array" aca="1" ref="DT109" ca="1">IF(COND_INTERSTICIAL[[#This Row],[Capa]]=1,IF(COND_INTERSTICIAL[[#This Row],[evapora]],2,1),IF(COND_INTERSTICIAL[[#This Row],[evapora]],1,0)+INDIRECT(ADDRESS(ROW()-1,COLUMN(),4)))</f>
        <v>#N/A</v>
      </c>
      <c r="DU109" s="111" t="e" cm="1">
        <f t="array" aca="1" ref="DU109" ca="1">IF(COND_INTERSTICIAL[[#This Row],[tramo ev]]=1,0,IF((COND_INTERSTICIAL[[#This Row],[tramo ev]]&gt;INDIRECT(ADDRESS(ROW()-1,COLUMN(COND_INTERSTICIAL[[#This Row],[tramo ev]]),4)))+COND_INTERSTICIAL[[#This Row],[evapora]],COND_INTERSTICIAL[[#This Row],[Capa]],INDIRECT(ADDRESS(ROW()-1,COLUMN(),4))))</f>
        <v>#N/A</v>
      </c>
      <c r="DV109" s="111" t="e" cm="1">
        <f t="array" aca="1" ref="DV109" ca="1">IF((COND_INTERSTICIAL[[#This Row],[Capa]]=N_capas)+(COND_INTERSTICIAL[[#This Row],[tramo ev]]=COUNTIFS(COND_INTERSTICIAL[evapora],TRUE,COND_INTERSTICIAL[Mes],CW109,COND_INTERSTICIAL[Sección],CX109)+1),N_capas,INDEX(COND_INTERSTICIAL[capa lím inf ev],MATCH(COND_INTERSTICIAL[[#This Row],[Mes]]&amp;"-"&amp;COND_INTERSTICIAL[[#This Row],[Sección]]&amp;"-"&amp;(COND_INTERSTICIAL[[#This Row],[tramo ev]]+1),COND_INTERSTICIAL[llave tramo ev],0)))</f>
        <v>#N/A</v>
      </c>
      <c r="DW109" s="111" cm="1">
        <f t="array" aca="1" ref="DW10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9" s="113" t="e" cm="1">
        <f t="array" aca="1" ref="DX10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9" s="113" t="e">
        <f ca="1">COND_INTERSTICIAL[[#This Row],[gev]]+COND_INTERSTICIAL[[#This Row],[Ma anterior ev]]</f>
        <v>#N/A</v>
      </c>
      <c r="EA109" s="115" t="e">
        <f ca="1">IF(COND_INTERSTICIAL[[#This Row],[Ma cond]]+COND_INTERSTICIAL[[#This Row],[Ma ev]]&lt;=0,0,COND_INTERSTICIAL[[#This Row],[Ma cond]]+COND_INTERSTICIAL[[#This Row],[Ma ev]])</f>
        <v>#N/A</v>
      </c>
      <c r="EB109" s="115" t="e">
        <f ca="1">IF(COND_INTERSTICIAL[[#This Row],[Ma]]&gt;0,TRUE,FALSE)</f>
        <v>#N/A</v>
      </c>
      <c r="EC109" s="115" t="e" cm="1">
        <f t="array" aca="1" ref="EC109" ca="1">IF(COND_INTERSTICIAL[[#This Row],[agua líquida]],IF(COND_INTERSTICIAL[[#This Row],[Condensa]],COND_INTERSTICIAL[[#This Row],[P límite cond]],COND_INTERSTICIAL[[#This Row],[P límite ev]]),IF(COND_INTERSTICIAL[[#This Row],[Capa]]=N_capas,COND_INTERSTICIAL[[#This Row],[Pn]],""))</f>
        <v>#N/A</v>
      </c>
      <c r="ED109" s="115" t="e">
        <f ca="1">COND_INTERSTICIAL[[#This Row],[Mes]]&amp;"-"&amp;COND_INTERSTICIAL[[#This Row],[Sección]]&amp;"-"&amp;COND_INTERSTICIAL[[#This Row],[tramo gráf]]</f>
        <v>#N/A</v>
      </c>
      <c r="EE109" s="114" t="e" cm="1">
        <f t="array" aca="1" ref="EE109" ca="1">IF(COND_INTERSTICIAL[[#This Row],[Capa]]=1,IF(COND_INTERSTICIAL[[#This Row],[agua líquida]],2,1),IF(COND_INTERSTICIAL[[#This Row],[agua líquida]],1,0)+INDIRECT(ADDRESS(ROW()-1,COLUMN(),4)))</f>
        <v>#N/A</v>
      </c>
      <c r="EF109" s="114" t="e" cm="1">
        <f t="array" aca="1" ref="EF109" ca="1">IF(COND_INTERSTICIAL[[#This Row],[tramo gráf]]=1,0,IF((COND_INTERSTICIAL[[#This Row],[tramo gráf]]&gt;INDIRECT(ADDRESS(ROW()-1,COLUMN(COND_INTERSTICIAL[[#This Row],[tramo gráf]]),4)))+COND_INTERSTICIAL[[#This Row],[agua líquida]],COND_INTERSTICIAL[[#This Row],[Capa]],INDIRECT(ADDRESS(ROW()-1,COLUMN(),4))))</f>
        <v>#N/A</v>
      </c>
      <c r="EG109" s="114" t="e" cm="1">
        <f t="array" aca="1" ref="EG109" ca="1">IF((COND_INTERSTICIAL[[#This Row],[Capa]]=N_capas)+(COND_INTERSTICIAL[[#This Row],[tramo gráf]]=COUNTIFS(COND_INTERSTICIAL[agua líquida],TRUE,COND_INTERSTICIAL[Mes],CW109,COND_INTERSTICIAL[Sección],CX109)+1),N_capas,INDEX(COND_INTERSTICIAL[capa lím inf gráf],MATCH(COND_INTERSTICIAL[[#This Row],[Mes]]&amp;"-"&amp;COND_INTERSTICIAL[[#This Row],[Sección]]&amp;"-"&amp;(COND_INTERSTICIAL[[#This Row],[tramo gráf]]+1),COND_INTERSTICIAL[llave tramo gráf],0)))</f>
        <v>#N/A</v>
      </c>
      <c r="EH109" s="114" cm="1">
        <f t="array" aca="1" ref="EH10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9" s="116" t="e" cm="1">
        <f t="array" aca="1" ref="EI10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0" spans="101:139" x14ac:dyDescent="0.45">
      <c r="CW110" s="1" cm="1">
        <f t="array" ref="CW110">ROUNDUP((ROW()-$CN$18+(Mes_inicial_de_análisis-1)*N_capas*N_secciones)/(N_capas*N_secciones),0)-12*IF(ROW()-$CN$18&gt;(12-Mes_inicial_de_análisis+1)*N_capas*N_secciones,1,0)</f>
        <v>1</v>
      </c>
      <c r="CX110" cm="1">
        <f t="array" ref="CX110">ROUNDUP((ROW()-$CN$18)/N_capas-(ROUNDUP((ROW()-$CN$18)/(N_capas*N_secciones),0)-1)*N_secciones,0)</f>
        <v>1</v>
      </c>
      <c r="CY110" cm="1">
        <f t="array" ref="CY110">(ROW()-$CN$18)-(COND_INTERSTICIAL[[#This Row],[Sección]]-1)*N_capas-(ROUNDUP((ROW()-$CN$18)/(N_capas*N_secciones),0)-1)*N_capas*N_secciones</f>
        <v>7</v>
      </c>
      <c r="CZ110" t="str">
        <f>COND_INTERSTICIAL[[#This Row],[Mes]]&amp;"-"&amp;COND_INTERSTICIAL[[#This Row],[Sección]]&amp;"-"&amp;COND_INTERSTICIAL[[#This Row],[Capa]]</f>
        <v>1-1-7</v>
      </c>
      <c r="DA110">
        <f ca="1">INDEX(SECCIONES_CAPAS[R''n],MATCH(COND_INTERSTICIAL[[#This Row],[Sección]]&amp;"-"&amp;COND_INTERSTICIAL[[#This Row],[Capa]],SECCIONES_CAPAS[llave],0))</f>
        <v>0.04</v>
      </c>
      <c r="DB110" s="172" t="e" cm="1">
        <f t="array" aca="1" ref="DB110" ca="1">INDEX(CLIMA[ϴe],COND_INTERSTICIAL[[#This Row],[Mes]])+COND_INTERSTICIAL[[#This Row],[Rn]]*(INDEX(CLIMA[ϴi],COND_INTERSTICIAL[[#This Row],[Mes]])-INDEX(CLIMA[ϴe],COND_INTERSTICIAL[[#This Row],[Mes]]))/(INDEX(SECCIONES[Rtsección_condensación],COND_INTERSTICIAL[[#This Row],[Sección]]))</f>
        <v>#N/A</v>
      </c>
      <c r="DC110">
        <f>INDEX(SECCIONES_CAPAS[Sd],MATCH(COND_INTERSTICIAL[[#This Row],[Sección]]&amp;"-"&amp;COND_INTERSTICIAL[[#This Row],[Capa]],SECCIONES_CAPAS[llave],0))</f>
        <v>0</v>
      </c>
      <c r="DD110">
        <f ca="1">INDEX(SECCIONES_CAPAS[S''d],MATCH(COND_INTERSTICIAL[[#This Row],[Sección]]&amp;"-"&amp;COND_INTERSTICIAL[[#This Row],[Capa]],SECCIONES_CAPAS[llave],0))</f>
        <v>0</v>
      </c>
      <c r="DE110" s="90" t="e">
        <f ca="1">IF(COND_INTERSTICIAL[[#This Row],[ϴn]]&gt;=0,610.5*EXP((17.269*COND_INTERSTICIAL[[#This Row],[ϴn]])/(237.3+COND_INTERSTICIAL[[#This Row],[ϴn]])),610.5*EXP((21.875*COND_INTERSTICIAL[[#This Row],[ϴn]])/(265.5+COND_INTERSTICIAL[[#This Row],[ϴn]])))</f>
        <v>#N/A</v>
      </c>
      <c r="DF110" s="90" t="e" cm="1">
        <f t="array" aca="1" ref="DF110" ca="1">COND_INTERSTICIAL[[#This Row],[S''d]]*((INDEX(CLIMA[Pi],COND_INTERSTICIAL[[#This Row],[Mes]])-INDEX(CLIMA[Pe],COND_INTERSTICIAL[[#This Row],[Mes]]))/INDEX(SECCIONES[SdT],COND_INTERSTICIAL[[#This Row],[Sección]]))+INDEX(CLIMA[Pe],COND_INTERSTICIAL[[#This Row],[Mes]])</f>
        <v>#N/A</v>
      </c>
      <c r="DG110" s="108" t="e">
        <f ca="1">IF((COND_INTERSTICIAL[[#This Row],[Pn]]&gt;=COND_INTERSTICIAL[[#This Row],[Psat]]),TRUE,FALSE)</f>
        <v>#N/A</v>
      </c>
      <c r="DH110" s="109" t="e" cm="1">
        <f t="array" aca="1" ref="DH110" ca="1">IF(COND_INTERSTICIAL[[#This Row],[Condensa]],COND_INTERSTICIAL[[#This Row],[Psat]],IF(COND_INTERSTICIAL[[#This Row],[Capa]]=N_capas,COND_INTERSTICIAL[[#This Row],[Pn]],""))</f>
        <v>#N/A</v>
      </c>
      <c r="DI110" s="109" t="e">
        <f ca="1">COND_INTERSTICIAL[[#This Row],[Mes]]&amp;"-"&amp;COND_INTERSTICIAL[[#This Row],[Sección]]&amp;"-"&amp;COND_INTERSTICIAL[[#This Row],[tramo cond]]</f>
        <v>#N/A</v>
      </c>
      <c r="DJ110" t="e" cm="1">
        <f t="array" aca="1" ref="DJ110" ca="1">IF(COND_INTERSTICIAL[[#This Row],[Capa]]=1,IF(COND_INTERSTICIAL[[#This Row],[Condensa]],2,1),IF(COND_INTERSTICIAL[[#This Row],[Condensa]],1,0)+INDIRECT(ADDRESS(ROW()-1,COLUMN(),4)))</f>
        <v>#N/A</v>
      </c>
      <c r="DK110" s="108" t="e" cm="1">
        <f t="array" aca="1" ref="DK110" ca="1">IF(COND_INTERSTICIAL[[#This Row],[tramo cond]]=1,0,IF((COND_INTERSTICIAL[[#This Row],[tramo cond]]&gt;INDIRECT(ADDRESS(ROW()-1,COLUMN(COND_INTERSTICIAL[[#This Row],[tramo cond]]),4)))+COND_INTERSTICIAL[[#This Row],[Condensa]],COND_INTERSTICIAL[[#This Row],[Capa]],INDIRECT(ADDRESS(ROW()-1,COLUMN(),4))))</f>
        <v>#N/A</v>
      </c>
      <c r="DL110" s="108" t="e" cm="1">
        <f t="array" aca="1" ref="DL110" ca="1">IF((COND_INTERSTICIAL[[#This Row],[Capa]]=N_capas)+(COND_INTERSTICIAL[[#This Row],[tramo cond]]=COUNTIFS(COND_INTERSTICIAL[Condensa],TRUE,COND_INTERSTICIAL[Mes],CW110,COND_INTERSTICIAL[Sección],CX110)+1),N_capas,INDEX(COND_INTERSTICIAL[capa lím inf cond],MATCH(COND_INTERSTICIAL[[#This Row],[Mes]]&amp;"-"&amp;COND_INTERSTICIAL[[#This Row],[Sección]]&amp;"-"&amp;(COND_INTERSTICIAL[[#This Row],[tramo cond]]+1),COND_INTERSTICIAL[llave tramo cond],0)))</f>
        <v>#N/A</v>
      </c>
      <c r="DM110" s="108" cm="1">
        <f t="array" aca="1" ref="DM11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0" s="110" t="e" cm="1">
        <f t="array" aca="1" ref="DN11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0" s="107" t="e">
        <f ca="1">COND_INTERSTICIAL[[#This Row],[gc]]+COND_INTERSTICIAL[[#This Row],[Ma_anterior cond]]</f>
        <v>#N/A</v>
      </c>
      <c r="DQ110" s="113" t="e">
        <f ca="1">IF((COND_INTERSTICIAL[[#This Row],[Ma_anterior cond]]&gt;0)*NOT(COND_INTERSTICIAL[[#This Row],[Condensa]]),TRUE,FALSE)</f>
        <v>#N/A</v>
      </c>
      <c r="DR110" s="112" t="e" cm="1">
        <f t="array" aca="1" ref="DR110" ca="1">IF(COND_INTERSTICIAL[[#This Row],[evapora]],COND_INTERSTICIAL[[#This Row],[Psat]],IF(COND_INTERSTICIAL[[#This Row],[Capa]]=N_capas,COND_INTERSTICIAL[[#This Row],[Pn]],""))</f>
        <v>#N/A</v>
      </c>
      <c r="DS110" s="112" t="e">
        <f ca="1">COND_INTERSTICIAL[[#This Row],[Mes]]&amp;"-"&amp;COND_INTERSTICIAL[[#This Row],[Sección]]&amp;"-"&amp;COND_INTERSTICIAL[[#This Row],[tramo ev]]</f>
        <v>#N/A</v>
      </c>
      <c r="DT110" s="111" t="e" cm="1">
        <f t="array" aca="1" ref="DT110" ca="1">IF(COND_INTERSTICIAL[[#This Row],[Capa]]=1,IF(COND_INTERSTICIAL[[#This Row],[evapora]],2,1),IF(COND_INTERSTICIAL[[#This Row],[evapora]],1,0)+INDIRECT(ADDRESS(ROW()-1,COLUMN(),4)))</f>
        <v>#N/A</v>
      </c>
      <c r="DU110" s="111" t="e" cm="1">
        <f t="array" aca="1" ref="DU110" ca="1">IF(COND_INTERSTICIAL[[#This Row],[tramo ev]]=1,0,IF((COND_INTERSTICIAL[[#This Row],[tramo ev]]&gt;INDIRECT(ADDRESS(ROW()-1,COLUMN(COND_INTERSTICIAL[[#This Row],[tramo ev]]),4)))+COND_INTERSTICIAL[[#This Row],[evapora]],COND_INTERSTICIAL[[#This Row],[Capa]],INDIRECT(ADDRESS(ROW()-1,COLUMN(),4))))</f>
        <v>#N/A</v>
      </c>
      <c r="DV110" s="111" t="e" cm="1">
        <f t="array" aca="1" ref="DV110" ca="1">IF((COND_INTERSTICIAL[[#This Row],[Capa]]=N_capas)+(COND_INTERSTICIAL[[#This Row],[tramo ev]]=COUNTIFS(COND_INTERSTICIAL[evapora],TRUE,COND_INTERSTICIAL[Mes],CW110,COND_INTERSTICIAL[Sección],CX110)+1),N_capas,INDEX(COND_INTERSTICIAL[capa lím inf ev],MATCH(COND_INTERSTICIAL[[#This Row],[Mes]]&amp;"-"&amp;COND_INTERSTICIAL[[#This Row],[Sección]]&amp;"-"&amp;(COND_INTERSTICIAL[[#This Row],[tramo ev]]+1),COND_INTERSTICIAL[llave tramo ev],0)))</f>
        <v>#N/A</v>
      </c>
      <c r="DW110" s="111" cm="1">
        <f t="array" aca="1" ref="DW11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0" s="113" t="e" cm="1">
        <f t="array" aca="1" ref="DX11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0" s="113" t="e">
        <f ca="1">COND_INTERSTICIAL[[#This Row],[gev]]+COND_INTERSTICIAL[[#This Row],[Ma anterior ev]]</f>
        <v>#N/A</v>
      </c>
      <c r="EA110" s="115" t="e">
        <f ca="1">IF(COND_INTERSTICIAL[[#This Row],[Ma cond]]+COND_INTERSTICIAL[[#This Row],[Ma ev]]&lt;=0,0,COND_INTERSTICIAL[[#This Row],[Ma cond]]+COND_INTERSTICIAL[[#This Row],[Ma ev]])</f>
        <v>#N/A</v>
      </c>
      <c r="EB110" s="115" t="e">
        <f ca="1">IF(COND_INTERSTICIAL[[#This Row],[Ma]]&gt;0,TRUE,FALSE)</f>
        <v>#N/A</v>
      </c>
      <c r="EC110" s="115" t="e" cm="1">
        <f t="array" aca="1" ref="EC110" ca="1">IF(COND_INTERSTICIAL[[#This Row],[agua líquida]],IF(COND_INTERSTICIAL[[#This Row],[Condensa]],COND_INTERSTICIAL[[#This Row],[P límite cond]],COND_INTERSTICIAL[[#This Row],[P límite ev]]),IF(COND_INTERSTICIAL[[#This Row],[Capa]]=N_capas,COND_INTERSTICIAL[[#This Row],[Pn]],""))</f>
        <v>#N/A</v>
      </c>
      <c r="ED110" s="115" t="e">
        <f ca="1">COND_INTERSTICIAL[[#This Row],[Mes]]&amp;"-"&amp;COND_INTERSTICIAL[[#This Row],[Sección]]&amp;"-"&amp;COND_INTERSTICIAL[[#This Row],[tramo gráf]]</f>
        <v>#N/A</v>
      </c>
      <c r="EE110" s="114" t="e" cm="1">
        <f t="array" aca="1" ref="EE110" ca="1">IF(COND_INTERSTICIAL[[#This Row],[Capa]]=1,IF(COND_INTERSTICIAL[[#This Row],[agua líquida]],2,1),IF(COND_INTERSTICIAL[[#This Row],[agua líquida]],1,0)+INDIRECT(ADDRESS(ROW()-1,COLUMN(),4)))</f>
        <v>#N/A</v>
      </c>
      <c r="EF110" s="114" t="e" cm="1">
        <f t="array" aca="1" ref="EF110" ca="1">IF(COND_INTERSTICIAL[[#This Row],[tramo gráf]]=1,0,IF((COND_INTERSTICIAL[[#This Row],[tramo gráf]]&gt;INDIRECT(ADDRESS(ROW()-1,COLUMN(COND_INTERSTICIAL[[#This Row],[tramo gráf]]),4)))+COND_INTERSTICIAL[[#This Row],[agua líquida]],COND_INTERSTICIAL[[#This Row],[Capa]],INDIRECT(ADDRESS(ROW()-1,COLUMN(),4))))</f>
        <v>#N/A</v>
      </c>
      <c r="EG110" s="114" t="e" cm="1">
        <f t="array" aca="1" ref="EG110" ca="1">IF((COND_INTERSTICIAL[[#This Row],[Capa]]=N_capas)+(COND_INTERSTICIAL[[#This Row],[tramo gráf]]=COUNTIFS(COND_INTERSTICIAL[agua líquida],TRUE,COND_INTERSTICIAL[Mes],CW110,COND_INTERSTICIAL[Sección],CX110)+1),N_capas,INDEX(COND_INTERSTICIAL[capa lím inf gráf],MATCH(COND_INTERSTICIAL[[#This Row],[Mes]]&amp;"-"&amp;COND_INTERSTICIAL[[#This Row],[Sección]]&amp;"-"&amp;(COND_INTERSTICIAL[[#This Row],[tramo gráf]]+1),COND_INTERSTICIAL[llave tramo gráf],0)))</f>
        <v>#N/A</v>
      </c>
      <c r="EH110" s="114" cm="1">
        <f t="array" aca="1" ref="EH11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0" s="116" t="e" cm="1">
        <f t="array" aca="1" ref="EI11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1" spans="101:139" x14ac:dyDescent="0.45">
      <c r="CW111" s="1" cm="1">
        <f t="array" ref="CW111">ROUNDUP((ROW()-$CN$18+(Mes_inicial_de_análisis-1)*N_capas*N_secciones)/(N_capas*N_secciones),0)-12*IF(ROW()-$CN$18&gt;(12-Mes_inicial_de_análisis+1)*N_capas*N_secciones,1,0)</f>
        <v>1</v>
      </c>
      <c r="CX111" cm="1">
        <f t="array" ref="CX111">ROUNDUP((ROW()-$CN$18)/N_capas-(ROUNDUP((ROW()-$CN$18)/(N_capas*N_secciones),0)-1)*N_secciones,0)</f>
        <v>2</v>
      </c>
      <c r="CY111" cm="1">
        <f t="array" ref="CY111">(ROW()-$CN$18)-(COND_INTERSTICIAL[[#This Row],[Sección]]-1)*N_capas-(ROUNDUP((ROW()-$CN$18)/(N_capas*N_secciones),0)-1)*N_capas*N_secciones</f>
        <v>1</v>
      </c>
      <c r="CZ111" t="str">
        <f>COND_INTERSTICIAL[[#This Row],[Mes]]&amp;"-"&amp;COND_INTERSTICIAL[[#This Row],[Sección]]&amp;"-"&amp;COND_INTERSTICIAL[[#This Row],[Capa]]</f>
        <v>1-2-1</v>
      </c>
      <c r="DA111">
        <f ca="1">INDEX(SECCIONES_CAPAS[R''n],MATCH(COND_INTERSTICIAL[[#This Row],[Sección]]&amp;"-"&amp;COND_INTERSTICIAL[[#This Row],[Capa]],SECCIONES_CAPAS[llave],0))</f>
        <v>0.04</v>
      </c>
      <c r="DB111" s="172" t="e" cm="1">
        <f t="array" aca="1" ref="DB111" ca="1">INDEX(CLIMA[ϴe],COND_INTERSTICIAL[[#This Row],[Mes]])+COND_INTERSTICIAL[[#This Row],[Rn]]*(INDEX(CLIMA[ϴi],COND_INTERSTICIAL[[#This Row],[Mes]])-INDEX(CLIMA[ϴe],COND_INTERSTICIAL[[#This Row],[Mes]]))/(INDEX(SECCIONES[Rtsección_condensación],COND_INTERSTICIAL[[#This Row],[Sección]]))</f>
        <v>#N/A</v>
      </c>
      <c r="DC111">
        <f>INDEX(SECCIONES_CAPAS[Sd],MATCH(COND_INTERSTICIAL[[#This Row],[Sección]]&amp;"-"&amp;COND_INTERSTICIAL[[#This Row],[Capa]],SECCIONES_CAPAS[llave],0))</f>
        <v>0</v>
      </c>
      <c r="DD111">
        <f ca="1">INDEX(SECCIONES_CAPAS[S''d],MATCH(COND_INTERSTICIAL[[#This Row],[Sección]]&amp;"-"&amp;COND_INTERSTICIAL[[#This Row],[Capa]],SECCIONES_CAPAS[llave],0))</f>
        <v>0</v>
      </c>
      <c r="DE111" s="90" t="e">
        <f ca="1">IF(COND_INTERSTICIAL[[#This Row],[ϴn]]&gt;=0,610.5*EXP((17.269*COND_INTERSTICIAL[[#This Row],[ϴn]])/(237.3+COND_INTERSTICIAL[[#This Row],[ϴn]])),610.5*EXP((21.875*COND_INTERSTICIAL[[#This Row],[ϴn]])/(265.5+COND_INTERSTICIAL[[#This Row],[ϴn]])))</f>
        <v>#N/A</v>
      </c>
      <c r="DF111" s="90" t="e" cm="1">
        <f t="array" aca="1" ref="DF111" ca="1">COND_INTERSTICIAL[[#This Row],[S''d]]*((INDEX(CLIMA[Pi],COND_INTERSTICIAL[[#This Row],[Mes]])-INDEX(CLIMA[Pe],COND_INTERSTICIAL[[#This Row],[Mes]]))/INDEX(SECCIONES[SdT],COND_INTERSTICIAL[[#This Row],[Sección]]))+INDEX(CLIMA[Pe],COND_INTERSTICIAL[[#This Row],[Mes]])</f>
        <v>#N/A</v>
      </c>
      <c r="DG111" s="108" t="e">
        <f ca="1">IF((COND_INTERSTICIAL[[#This Row],[Pn]]&gt;=COND_INTERSTICIAL[[#This Row],[Psat]]),TRUE,FALSE)</f>
        <v>#N/A</v>
      </c>
      <c r="DH111" s="109" t="e" cm="1">
        <f t="array" aca="1" ref="DH111" ca="1">IF(COND_INTERSTICIAL[[#This Row],[Condensa]],COND_INTERSTICIAL[[#This Row],[Psat]],IF(COND_INTERSTICIAL[[#This Row],[Capa]]=N_capas,COND_INTERSTICIAL[[#This Row],[Pn]],""))</f>
        <v>#N/A</v>
      </c>
      <c r="DI111" s="109" t="e">
        <f ca="1">COND_INTERSTICIAL[[#This Row],[Mes]]&amp;"-"&amp;COND_INTERSTICIAL[[#This Row],[Sección]]&amp;"-"&amp;COND_INTERSTICIAL[[#This Row],[tramo cond]]</f>
        <v>#N/A</v>
      </c>
      <c r="DJ111" t="e" cm="1">
        <f t="array" aca="1" ref="DJ111" ca="1">IF(COND_INTERSTICIAL[[#This Row],[Capa]]=1,IF(COND_INTERSTICIAL[[#This Row],[Condensa]],2,1),IF(COND_INTERSTICIAL[[#This Row],[Condensa]],1,0)+INDIRECT(ADDRESS(ROW()-1,COLUMN(),4)))</f>
        <v>#N/A</v>
      </c>
      <c r="DK111" s="108" t="e" cm="1">
        <f t="array" aca="1" ref="DK111" ca="1">IF(COND_INTERSTICIAL[[#This Row],[tramo cond]]=1,0,IF((COND_INTERSTICIAL[[#This Row],[tramo cond]]&gt;INDIRECT(ADDRESS(ROW()-1,COLUMN(COND_INTERSTICIAL[[#This Row],[tramo cond]]),4)))+COND_INTERSTICIAL[[#This Row],[Condensa]],COND_INTERSTICIAL[[#This Row],[Capa]],INDIRECT(ADDRESS(ROW()-1,COLUMN(),4))))</f>
        <v>#N/A</v>
      </c>
      <c r="DL111" s="108" t="e" cm="1">
        <f t="array" aca="1" ref="DL111" ca="1">IF((COND_INTERSTICIAL[[#This Row],[Capa]]=N_capas)+(COND_INTERSTICIAL[[#This Row],[tramo cond]]=COUNTIFS(COND_INTERSTICIAL[Condensa],TRUE,COND_INTERSTICIAL[Mes],CW111,COND_INTERSTICIAL[Sección],CX111)+1),N_capas,INDEX(COND_INTERSTICIAL[capa lím inf cond],MATCH(COND_INTERSTICIAL[[#This Row],[Mes]]&amp;"-"&amp;COND_INTERSTICIAL[[#This Row],[Sección]]&amp;"-"&amp;(COND_INTERSTICIAL[[#This Row],[tramo cond]]+1),COND_INTERSTICIAL[llave tramo cond],0)))</f>
        <v>#N/A</v>
      </c>
      <c r="DM111" s="108" cm="1">
        <f t="array" aca="1" ref="DM11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1" s="110" t="e" cm="1">
        <f t="array" aca="1" ref="DN11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1" s="107" t="e">
        <f ca="1">COND_INTERSTICIAL[[#This Row],[gc]]+COND_INTERSTICIAL[[#This Row],[Ma_anterior cond]]</f>
        <v>#N/A</v>
      </c>
      <c r="DQ111" s="113" t="e">
        <f ca="1">IF((COND_INTERSTICIAL[[#This Row],[Ma_anterior cond]]&gt;0)*NOT(COND_INTERSTICIAL[[#This Row],[Condensa]]),TRUE,FALSE)</f>
        <v>#N/A</v>
      </c>
      <c r="DR111" s="112" t="e" cm="1">
        <f t="array" aca="1" ref="DR111" ca="1">IF(COND_INTERSTICIAL[[#This Row],[evapora]],COND_INTERSTICIAL[[#This Row],[Psat]],IF(COND_INTERSTICIAL[[#This Row],[Capa]]=N_capas,COND_INTERSTICIAL[[#This Row],[Pn]],""))</f>
        <v>#N/A</v>
      </c>
      <c r="DS111" s="112" t="e">
        <f ca="1">COND_INTERSTICIAL[[#This Row],[Mes]]&amp;"-"&amp;COND_INTERSTICIAL[[#This Row],[Sección]]&amp;"-"&amp;COND_INTERSTICIAL[[#This Row],[tramo ev]]</f>
        <v>#N/A</v>
      </c>
      <c r="DT111" s="111" t="e" cm="1">
        <f t="array" aca="1" ref="DT111" ca="1">IF(COND_INTERSTICIAL[[#This Row],[Capa]]=1,IF(COND_INTERSTICIAL[[#This Row],[evapora]],2,1),IF(COND_INTERSTICIAL[[#This Row],[evapora]],1,0)+INDIRECT(ADDRESS(ROW()-1,COLUMN(),4)))</f>
        <v>#N/A</v>
      </c>
      <c r="DU111" s="111" t="e" cm="1">
        <f t="array" aca="1" ref="DU111" ca="1">IF(COND_INTERSTICIAL[[#This Row],[tramo ev]]=1,0,IF((COND_INTERSTICIAL[[#This Row],[tramo ev]]&gt;INDIRECT(ADDRESS(ROW()-1,COLUMN(COND_INTERSTICIAL[[#This Row],[tramo ev]]),4)))+COND_INTERSTICIAL[[#This Row],[evapora]],COND_INTERSTICIAL[[#This Row],[Capa]],INDIRECT(ADDRESS(ROW()-1,COLUMN(),4))))</f>
        <v>#N/A</v>
      </c>
      <c r="DV111" s="111" t="e" cm="1">
        <f t="array" aca="1" ref="DV111" ca="1">IF((COND_INTERSTICIAL[[#This Row],[Capa]]=N_capas)+(COND_INTERSTICIAL[[#This Row],[tramo ev]]=COUNTIFS(COND_INTERSTICIAL[evapora],TRUE,COND_INTERSTICIAL[Mes],CW111,COND_INTERSTICIAL[Sección],CX111)+1),N_capas,INDEX(COND_INTERSTICIAL[capa lím inf ev],MATCH(COND_INTERSTICIAL[[#This Row],[Mes]]&amp;"-"&amp;COND_INTERSTICIAL[[#This Row],[Sección]]&amp;"-"&amp;(COND_INTERSTICIAL[[#This Row],[tramo ev]]+1),COND_INTERSTICIAL[llave tramo ev],0)))</f>
        <v>#N/A</v>
      </c>
      <c r="DW111" s="111" cm="1">
        <f t="array" aca="1" ref="DW11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1" s="113" t="e" cm="1">
        <f t="array" aca="1" ref="DX11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1" s="113" t="e">
        <f ca="1">COND_INTERSTICIAL[[#This Row],[gev]]+COND_INTERSTICIAL[[#This Row],[Ma anterior ev]]</f>
        <v>#N/A</v>
      </c>
      <c r="EA111" s="115" t="e">
        <f ca="1">IF(COND_INTERSTICIAL[[#This Row],[Ma cond]]+COND_INTERSTICIAL[[#This Row],[Ma ev]]&lt;=0,0,COND_INTERSTICIAL[[#This Row],[Ma cond]]+COND_INTERSTICIAL[[#This Row],[Ma ev]])</f>
        <v>#N/A</v>
      </c>
      <c r="EB111" s="115" t="e">
        <f ca="1">IF(COND_INTERSTICIAL[[#This Row],[Ma]]&gt;0,TRUE,FALSE)</f>
        <v>#N/A</v>
      </c>
      <c r="EC111" s="115" t="e" cm="1">
        <f t="array" aca="1" ref="EC111" ca="1">IF(COND_INTERSTICIAL[[#This Row],[agua líquida]],IF(COND_INTERSTICIAL[[#This Row],[Condensa]],COND_INTERSTICIAL[[#This Row],[P límite cond]],COND_INTERSTICIAL[[#This Row],[P límite ev]]),IF(COND_INTERSTICIAL[[#This Row],[Capa]]=N_capas,COND_INTERSTICIAL[[#This Row],[Pn]],""))</f>
        <v>#N/A</v>
      </c>
      <c r="ED111" s="115" t="e">
        <f ca="1">COND_INTERSTICIAL[[#This Row],[Mes]]&amp;"-"&amp;COND_INTERSTICIAL[[#This Row],[Sección]]&amp;"-"&amp;COND_INTERSTICIAL[[#This Row],[tramo gráf]]</f>
        <v>#N/A</v>
      </c>
      <c r="EE111" s="114" t="e" cm="1">
        <f t="array" aca="1" ref="EE111" ca="1">IF(COND_INTERSTICIAL[[#This Row],[Capa]]=1,IF(COND_INTERSTICIAL[[#This Row],[agua líquida]],2,1),IF(COND_INTERSTICIAL[[#This Row],[agua líquida]],1,0)+INDIRECT(ADDRESS(ROW()-1,COLUMN(),4)))</f>
        <v>#N/A</v>
      </c>
      <c r="EF111" s="114" t="e" cm="1">
        <f t="array" aca="1" ref="EF111" ca="1">IF(COND_INTERSTICIAL[[#This Row],[tramo gráf]]=1,0,IF((COND_INTERSTICIAL[[#This Row],[tramo gráf]]&gt;INDIRECT(ADDRESS(ROW()-1,COLUMN(COND_INTERSTICIAL[[#This Row],[tramo gráf]]),4)))+COND_INTERSTICIAL[[#This Row],[agua líquida]],COND_INTERSTICIAL[[#This Row],[Capa]],INDIRECT(ADDRESS(ROW()-1,COLUMN(),4))))</f>
        <v>#N/A</v>
      </c>
      <c r="EG111" s="114" t="e" cm="1">
        <f t="array" aca="1" ref="EG111" ca="1">IF((COND_INTERSTICIAL[[#This Row],[Capa]]=N_capas)+(COND_INTERSTICIAL[[#This Row],[tramo gráf]]=COUNTIFS(COND_INTERSTICIAL[agua líquida],TRUE,COND_INTERSTICIAL[Mes],CW111,COND_INTERSTICIAL[Sección],CX111)+1),N_capas,INDEX(COND_INTERSTICIAL[capa lím inf gráf],MATCH(COND_INTERSTICIAL[[#This Row],[Mes]]&amp;"-"&amp;COND_INTERSTICIAL[[#This Row],[Sección]]&amp;"-"&amp;(COND_INTERSTICIAL[[#This Row],[tramo gráf]]+1),COND_INTERSTICIAL[llave tramo gráf],0)))</f>
        <v>#N/A</v>
      </c>
      <c r="EH111" s="114" cm="1">
        <f t="array" aca="1" ref="EH11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1" s="116" t="e" cm="1">
        <f t="array" aca="1" ref="EI11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2" spans="101:139" x14ac:dyDescent="0.45">
      <c r="CW112" s="1" cm="1">
        <f t="array" ref="CW112">ROUNDUP((ROW()-$CN$18+(Mes_inicial_de_análisis-1)*N_capas*N_secciones)/(N_capas*N_secciones),0)-12*IF(ROW()-$CN$18&gt;(12-Mes_inicial_de_análisis+1)*N_capas*N_secciones,1,0)</f>
        <v>1</v>
      </c>
      <c r="CX112" cm="1">
        <f t="array" ref="CX112">ROUNDUP((ROW()-$CN$18)/N_capas-(ROUNDUP((ROW()-$CN$18)/(N_capas*N_secciones),0)-1)*N_secciones,0)</f>
        <v>2</v>
      </c>
      <c r="CY112" cm="1">
        <f t="array" ref="CY112">(ROW()-$CN$18)-(COND_INTERSTICIAL[[#This Row],[Sección]]-1)*N_capas-(ROUNDUP((ROW()-$CN$18)/(N_capas*N_secciones),0)-1)*N_capas*N_secciones</f>
        <v>2</v>
      </c>
      <c r="CZ112" t="str">
        <f>COND_INTERSTICIAL[[#This Row],[Mes]]&amp;"-"&amp;COND_INTERSTICIAL[[#This Row],[Sección]]&amp;"-"&amp;COND_INTERSTICIAL[[#This Row],[Capa]]</f>
        <v>1-2-2</v>
      </c>
      <c r="DA112">
        <f ca="1">INDEX(SECCIONES_CAPAS[R''n],MATCH(COND_INTERSTICIAL[[#This Row],[Sección]]&amp;"-"&amp;COND_INTERSTICIAL[[#This Row],[Capa]],SECCIONES_CAPAS[llave],0))</f>
        <v>0.04</v>
      </c>
      <c r="DB112" s="172" t="e" cm="1">
        <f t="array" aca="1" ref="DB112" ca="1">INDEX(CLIMA[ϴe],COND_INTERSTICIAL[[#This Row],[Mes]])+COND_INTERSTICIAL[[#This Row],[Rn]]*(INDEX(CLIMA[ϴi],COND_INTERSTICIAL[[#This Row],[Mes]])-INDEX(CLIMA[ϴe],COND_INTERSTICIAL[[#This Row],[Mes]]))/(INDEX(SECCIONES[Rtsección_condensación],COND_INTERSTICIAL[[#This Row],[Sección]]))</f>
        <v>#N/A</v>
      </c>
      <c r="DC112">
        <f>INDEX(SECCIONES_CAPAS[Sd],MATCH(COND_INTERSTICIAL[[#This Row],[Sección]]&amp;"-"&amp;COND_INTERSTICIAL[[#This Row],[Capa]],SECCIONES_CAPAS[llave],0))</f>
        <v>0</v>
      </c>
      <c r="DD112">
        <f ca="1">INDEX(SECCIONES_CAPAS[S''d],MATCH(COND_INTERSTICIAL[[#This Row],[Sección]]&amp;"-"&amp;COND_INTERSTICIAL[[#This Row],[Capa]],SECCIONES_CAPAS[llave],0))</f>
        <v>0</v>
      </c>
      <c r="DE112" s="90" t="e">
        <f ca="1">IF(COND_INTERSTICIAL[[#This Row],[ϴn]]&gt;=0,610.5*EXP((17.269*COND_INTERSTICIAL[[#This Row],[ϴn]])/(237.3+COND_INTERSTICIAL[[#This Row],[ϴn]])),610.5*EXP((21.875*COND_INTERSTICIAL[[#This Row],[ϴn]])/(265.5+COND_INTERSTICIAL[[#This Row],[ϴn]])))</f>
        <v>#N/A</v>
      </c>
      <c r="DF112" s="90" t="e" cm="1">
        <f t="array" aca="1" ref="DF112" ca="1">COND_INTERSTICIAL[[#This Row],[S''d]]*((INDEX(CLIMA[Pi],COND_INTERSTICIAL[[#This Row],[Mes]])-INDEX(CLIMA[Pe],COND_INTERSTICIAL[[#This Row],[Mes]]))/INDEX(SECCIONES[SdT],COND_INTERSTICIAL[[#This Row],[Sección]]))+INDEX(CLIMA[Pe],COND_INTERSTICIAL[[#This Row],[Mes]])</f>
        <v>#N/A</v>
      </c>
      <c r="DG112" s="108" t="e">
        <f ca="1">IF((COND_INTERSTICIAL[[#This Row],[Pn]]&gt;=COND_INTERSTICIAL[[#This Row],[Psat]]),TRUE,FALSE)</f>
        <v>#N/A</v>
      </c>
      <c r="DH112" s="109" t="e" cm="1">
        <f t="array" aca="1" ref="DH112" ca="1">IF(COND_INTERSTICIAL[[#This Row],[Condensa]],COND_INTERSTICIAL[[#This Row],[Psat]],IF(COND_INTERSTICIAL[[#This Row],[Capa]]=N_capas,COND_INTERSTICIAL[[#This Row],[Pn]],""))</f>
        <v>#N/A</v>
      </c>
      <c r="DI112" s="109" t="e">
        <f ca="1">COND_INTERSTICIAL[[#This Row],[Mes]]&amp;"-"&amp;COND_INTERSTICIAL[[#This Row],[Sección]]&amp;"-"&amp;COND_INTERSTICIAL[[#This Row],[tramo cond]]</f>
        <v>#N/A</v>
      </c>
      <c r="DJ112" t="e" cm="1">
        <f t="array" aca="1" ref="DJ112" ca="1">IF(COND_INTERSTICIAL[[#This Row],[Capa]]=1,IF(COND_INTERSTICIAL[[#This Row],[Condensa]],2,1),IF(COND_INTERSTICIAL[[#This Row],[Condensa]],1,0)+INDIRECT(ADDRESS(ROW()-1,COLUMN(),4)))</f>
        <v>#N/A</v>
      </c>
      <c r="DK112" s="108" t="e" cm="1">
        <f t="array" aca="1" ref="DK112" ca="1">IF(COND_INTERSTICIAL[[#This Row],[tramo cond]]=1,0,IF((COND_INTERSTICIAL[[#This Row],[tramo cond]]&gt;INDIRECT(ADDRESS(ROW()-1,COLUMN(COND_INTERSTICIAL[[#This Row],[tramo cond]]),4)))+COND_INTERSTICIAL[[#This Row],[Condensa]],COND_INTERSTICIAL[[#This Row],[Capa]],INDIRECT(ADDRESS(ROW()-1,COLUMN(),4))))</f>
        <v>#N/A</v>
      </c>
      <c r="DL112" s="108" t="e" cm="1">
        <f t="array" aca="1" ref="DL112" ca="1">IF((COND_INTERSTICIAL[[#This Row],[Capa]]=N_capas)+(COND_INTERSTICIAL[[#This Row],[tramo cond]]=COUNTIFS(COND_INTERSTICIAL[Condensa],TRUE,COND_INTERSTICIAL[Mes],CW112,COND_INTERSTICIAL[Sección],CX112)+1),N_capas,INDEX(COND_INTERSTICIAL[capa lím inf cond],MATCH(COND_INTERSTICIAL[[#This Row],[Mes]]&amp;"-"&amp;COND_INTERSTICIAL[[#This Row],[Sección]]&amp;"-"&amp;(COND_INTERSTICIAL[[#This Row],[tramo cond]]+1),COND_INTERSTICIAL[llave tramo cond],0)))</f>
        <v>#N/A</v>
      </c>
      <c r="DM112" s="108" cm="1">
        <f t="array" aca="1" ref="DM11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2" s="110" t="e" cm="1">
        <f t="array" aca="1" ref="DN11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2" s="107" t="e">
        <f ca="1">COND_INTERSTICIAL[[#This Row],[gc]]+COND_INTERSTICIAL[[#This Row],[Ma_anterior cond]]</f>
        <v>#N/A</v>
      </c>
      <c r="DQ112" s="113" t="e">
        <f ca="1">IF((COND_INTERSTICIAL[[#This Row],[Ma_anterior cond]]&gt;0)*NOT(COND_INTERSTICIAL[[#This Row],[Condensa]]),TRUE,FALSE)</f>
        <v>#N/A</v>
      </c>
      <c r="DR112" s="112" t="e" cm="1">
        <f t="array" aca="1" ref="DR112" ca="1">IF(COND_INTERSTICIAL[[#This Row],[evapora]],COND_INTERSTICIAL[[#This Row],[Psat]],IF(COND_INTERSTICIAL[[#This Row],[Capa]]=N_capas,COND_INTERSTICIAL[[#This Row],[Pn]],""))</f>
        <v>#N/A</v>
      </c>
      <c r="DS112" s="112" t="e">
        <f ca="1">COND_INTERSTICIAL[[#This Row],[Mes]]&amp;"-"&amp;COND_INTERSTICIAL[[#This Row],[Sección]]&amp;"-"&amp;COND_INTERSTICIAL[[#This Row],[tramo ev]]</f>
        <v>#N/A</v>
      </c>
      <c r="DT112" s="111" t="e" cm="1">
        <f t="array" aca="1" ref="DT112" ca="1">IF(COND_INTERSTICIAL[[#This Row],[Capa]]=1,IF(COND_INTERSTICIAL[[#This Row],[evapora]],2,1),IF(COND_INTERSTICIAL[[#This Row],[evapora]],1,0)+INDIRECT(ADDRESS(ROW()-1,COLUMN(),4)))</f>
        <v>#N/A</v>
      </c>
      <c r="DU112" s="111" t="e" cm="1">
        <f t="array" aca="1" ref="DU112" ca="1">IF(COND_INTERSTICIAL[[#This Row],[tramo ev]]=1,0,IF((COND_INTERSTICIAL[[#This Row],[tramo ev]]&gt;INDIRECT(ADDRESS(ROW()-1,COLUMN(COND_INTERSTICIAL[[#This Row],[tramo ev]]),4)))+COND_INTERSTICIAL[[#This Row],[evapora]],COND_INTERSTICIAL[[#This Row],[Capa]],INDIRECT(ADDRESS(ROW()-1,COLUMN(),4))))</f>
        <v>#N/A</v>
      </c>
      <c r="DV112" s="111" t="e" cm="1">
        <f t="array" aca="1" ref="DV112" ca="1">IF((COND_INTERSTICIAL[[#This Row],[Capa]]=N_capas)+(COND_INTERSTICIAL[[#This Row],[tramo ev]]=COUNTIFS(COND_INTERSTICIAL[evapora],TRUE,COND_INTERSTICIAL[Mes],CW112,COND_INTERSTICIAL[Sección],CX112)+1),N_capas,INDEX(COND_INTERSTICIAL[capa lím inf ev],MATCH(COND_INTERSTICIAL[[#This Row],[Mes]]&amp;"-"&amp;COND_INTERSTICIAL[[#This Row],[Sección]]&amp;"-"&amp;(COND_INTERSTICIAL[[#This Row],[tramo ev]]+1),COND_INTERSTICIAL[llave tramo ev],0)))</f>
        <v>#N/A</v>
      </c>
      <c r="DW112" s="111" cm="1">
        <f t="array" aca="1" ref="DW11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2" s="113" t="e" cm="1">
        <f t="array" aca="1" ref="DX11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2" s="113" t="e">
        <f ca="1">COND_INTERSTICIAL[[#This Row],[gev]]+COND_INTERSTICIAL[[#This Row],[Ma anterior ev]]</f>
        <v>#N/A</v>
      </c>
      <c r="EA112" s="115" t="e">
        <f ca="1">IF(COND_INTERSTICIAL[[#This Row],[Ma cond]]+COND_INTERSTICIAL[[#This Row],[Ma ev]]&lt;=0,0,COND_INTERSTICIAL[[#This Row],[Ma cond]]+COND_INTERSTICIAL[[#This Row],[Ma ev]])</f>
        <v>#N/A</v>
      </c>
      <c r="EB112" s="115" t="e">
        <f ca="1">IF(COND_INTERSTICIAL[[#This Row],[Ma]]&gt;0,TRUE,FALSE)</f>
        <v>#N/A</v>
      </c>
      <c r="EC112" s="115" t="e" cm="1">
        <f t="array" aca="1" ref="EC112" ca="1">IF(COND_INTERSTICIAL[[#This Row],[agua líquida]],IF(COND_INTERSTICIAL[[#This Row],[Condensa]],COND_INTERSTICIAL[[#This Row],[P límite cond]],COND_INTERSTICIAL[[#This Row],[P límite ev]]),IF(COND_INTERSTICIAL[[#This Row],[Capa]]=N_capas,COND_INTERSTICIAL[[#This Row],[Pn]],""))</f>
        <v>#N/A</v>
      </c>
      <c r="ED112" s="115" t="e">
        <f ca="1">COND_INTERSTICIAL[[#This Row],[Mes]]&amp;"-"&amp;COND_INTERSTICIAL[[#This Row],[Sección]]&amp;"-"&amp;COND_INTERSTICIAL[[#This Row],[tramo gráf]]</f>
        <v>#N/A</v>
      </c>
      <c r="EE112" s="114" t="e" cm="1">
        <f t="array" aca="1" ref="EE112" ca="1">IF(COND_INTERSTICIAL[[#This Row],[Capa]]=1,IF(COND_INTERSTICIAL[[#This Row],[agua líquida]],2,1),IF(COND_INTERSTICIAL[[#This Row],[agua líquida]],1,0)+INDIRECT(ADDRESS(ROW()-1,COLUMN(),4)))</f>
        <v>#N/A</v>
      </c>
      <c r="EF112" s="114" t="e" cm="1">
        <f t="array" aca="1" ref="EF112" ca="1">IF(COND_INTERSTICIAL[[#This Row],[tramo gráf]]=1,0,IF((COND_INTERSTICIAL[[#This Row],[tramo gráf]]&gt;INDIRECT(ADDRESS(ROW()-1,COLUMN(COND_INTERSTICIAL[[#This Row],[tramo gráf]]),4)))+COND_INTERSTICIAL[[#This Row],[agua líquida]],COND_INTERSTICIAL[[#This Row],[Capa]],INDIRECT(ADDRESS(ROW()-1,COLUMN(),4))))</f>
        <v>#N/A</v>
      </c>
      <c r="EG112" s="114" t="e" cm="1">
        <f t="array" aca="1" ref="EG112" ca="1">IF((COND_INTERSTICIAL[[#This Row],[Capa]]=N_capas)+(COND_INTERSTICIAL[[#This Row],[tramo gráf]]=COUNTIFS(COND_INTERSTICIAL[agua líquida],TRUE,COND_INTERSTICIAL[Mes],CW112,COND_INTERSTICIAL[Sección],CX112)+1),N_capas,INDEX(COND_INTERSTICIAL[capa lím inf gráf],MATCH(COND_INTERSTICIAL[[#This Row],[Mes]]&amp;"-"&amp;COND_INTERSTICIAL[[#This Row],[Sección]]&amp;"-"&amp;(COND_INTERSTICIAL[[#This Row],[tramo gráf]]+1),COND_INTERSTICIAL[llave tramo gráf],0)))</f>
        <v>#N/A</v>
      </c>
      <c r="EH112" s="114" cm="1">
        <f t="array" aca="1" ref="EH11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2" s="116" t="e" cm="1">
        <f t="array" aca="1" ref="EI11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3" spans="101:139" x14ac:dyDescent="0.45">
      <c r="CW113" s="1" cm="1">
        <f t="array" ref="CW113">ROUNDUP((ROW()-$CN$18+(Mes_inicial_de_análisis-1)*N_capas*N_secciones)/(N_capas*N_secciones),0)-12*IF(ROW()-$CN$18&gt;(12-Mes_inicial_de_análisis+1)*N_capas*N_secciones,1,0)</f>
        <v>1</v>
      </c>
      <c r="CX113" cm="1">
        <f t="array" ref="CX113">ROUNDUP((ROW()-$CN$18)/N_capas-(ROUNDUP((ROW()-$CN$18)/(N_capas*N_secciones),0)-1)*N_secciones,0)</f>
        <v>2</v>
      </c>
      <c r="CY113" cm="1">
        <f t="array" ref="CY113">(ROW()-$CN$18)-(COND_INTERSTICIAL[[#This Row],[Sección]]-1)*N_capas-(ROUNDUP((ROW()-$CN$18)/(N_capas*N_secciones),0)-1)*N_capas*N_secciones</f>
        <v>3</v>
      </c>
      <c r="CZ113" t="str">
        <f>COND_INTERSTICIAL[[#This Row],[Mes]]&amp;"-"&amp;COND_INTERSTICIAL[[#This Row],[Sección]]&amp;"-"&amp;COND_INTERSTICIAL[[#This Row],[Capa]]</f>
        <v>1-2-3</v>
      </c>
      <c r="DA113">
        <f ca="1">INDEX(SECCIONES_CAPAS[R''n],MATCH(COND_INTERSTICIAL[[#This Row],[Sección]]&amp;"-"&amp;COND_INTERSTICIAL[[#This Row],[Capa]],SECCIONES_CAPAS[llave],0))</f>
        <v>0.04</v>
      </c>
      <c r="DB113" s="172" t="e" cm="1">
        <f t="array" aca="1" ref="DB113" ca="1">INDEX(CLIMA[ϴe],COND_INTERSTICIAL[[#This Row],[Mes]])+COND_INTERSTICIAL[[#This Row],[Rn]]*(INDEX(CLIMA[ϴi],COND_INTERSTICIAL[[#This Row],[Mes]])-INDEX(CLIMA[ϴe],COND_INTERSTICIAL[[#This Row],[Mes]]))/(INDEX(SECCIONES[Rtsección_condensación],COND_INTERSTICIAL[[#This Row],[Sección]]))</f>
        <v>#N/A</v>
      </c>
      <c r="DC113">
        <f>INDEX(SECCIONES_CAPAS[Sd],MATCH(COND_INTERSTICIAL[[#This Row],[Sección]]&amp;"-"&amp;COND_INTERSTICIAL[[#This Row],[Capa]],SECCIONES_CAPAS[llave],0))</f>
        <v>0</v>
      </c>
      <c r="DD113">
        <f ca="1">INDEX(SECCIONES_CAPAS[S''d],MATCH(COND_INTERSTICIAL[[#This Row],[Sección]]&amp;"-"&amp;COND_INTERSTICIAL[[#This Row],[Capa]],SECCIONES_CAPAS[llave],0))</f>
        <v>0</v>
      </c>
      <c r="DE113" s="90" t="e">
        <f ca="1">IF(COND_INTERSTICIAL[[#This Row],[ϴn]]&gt;=0,610.5*EXP((17.269*COND_INTERSTICIAL[[#This Row],[ϴn]])/(237.3+COND_INTERSTICIAL[[#This Row],[ϴn]])),610.5*EXP((21.875*COND_INTERSTICIAL[[#This Row],[ϴn]])/(265.5+COND_INTERSTICIAL[[#This Row],[ϴn]])))</f>
        <v>#N/A</v>
      </c>
      <c r="DF113" s="90" t="e" cm="1">
        <f t="array" aca="1" ref="DF113" ca="1">COND_INTERSTICIAL[[#This Row],[S''d]]*((INDEX(CLIMA[Pi],COND_INTERSTICIAL[[#This Row],[Mes]])-INDEX(CLIMA[Pe],COND_INTERSTICIAL[[#This Row],[Mes]]))/INDEX(SECCIONES[SdT],COND_INTERSTICIAL[[#This Row],[Sección]]))+INDEX(CLIMA[Pe],COND_INTERSTICIAL[[#This Row],[Mes]])</f>
        <v>#N/A</v>
      </c>
      <c r="DG113" s="108" t="e">
        <f ca="1">IF((COND_INTERSTICIAL[[#This Row],[Pn]]&gt;=COND_INTERSTICIAL[[#This Row],[Psat]]),TRUE,FALSE)</f>
        <v>#N/A</v>
      </c>
      <c r="DH113" s="109" t="e" cm="1">
        <f t="array" aca="1" ref="DH113" ca="1">IF(COND_INTERSTICIAL[[#This Row],[Condensa]],COND_INTERSTICIAL[[#This Row],[Psat]],IF(COND_INTERSTICIAL[[#This Row],[Capa]]=N_capas,COND_INTERSTICIAL[[#This Row],[Pn]],""))</f>
        <v>#N/A</v>
      </c>
      <c r="DI113" s="109" t="e">
        <f ca="1">COND_INTERSTICIAL[[#This Row],[Mes]]&amp;"-"&amp;COND_INTERSTICIAL[[#This Row],[Sección]]&amp;"-"&amp;COND_INTERSTICIAL[[#This Row],[tramo cond]]</f>
        <v>#N/A</v>
      </c>
      <c r="DJ113" t="e" cm="1">
        <f t="array" aca="1" ref="DJ113" ca="1">IF(COND_INTERSTICIAL[[#This Row],[Capa]]=1,IF(COND_INTERSTICIAL[[#This Row],[Condensa]],2,1),IF(COND_INTERSTICIAL[[#This Row],[Condensa]],1,0)+INDIRECT(ADDRESS(ROW()-1,COLUMN(),4)))</f>
        <v>#N/A</v>
      </c>
      <c r="DK113" s="108" t="e" cm="1">
        <f t="array" aca="1" ref="DK113" ca="1">IF(COND_INTERSTICIAL[[#This Row],[tramo cond]]=1,0,IF((COND_INTERSTICIAL[[#This Row],[tramo cond]]&gt;INDIRECT(ADDRESS(ROW()-1,COLUMN(COND_INTERSTICIAL[[#This Row],[tramo cond]]),4)))+COND_INTERSTICIAL[[#This Row],[Condensa]],COND_INTERSTICIAL[[#This Row],[Capa]],INDIRECT(ADDRESS(ROW()-1,COLUMN(),4))))</f>
        <v>#N/A</v>
      </c>
      <c r="DL113" s="108" t="e" cm="1">
        <f t="array" aca="1" ref="DL113" ca="1">IF((COND_INTERSTICIAL[[#This Row],[Capa]]=N_capas)+(COND_INTERSTICIAL[[#This Row],[tramo cond]]=COUNTIFS(COND_INTERSTICIAL[Condensa],TRUE,COND_INTERSTICIAL[Mes],CW113,COND_INTERSTICIAL[Sección],CX113)+1),N_capas,INDEX(COND_INTERSTICIAL[capa lím inf cond],MATCH(COND_INTERSTICIAL[[#This Row],[Mes]]&amp;"-"&amp;COND_INTERSTICIAL[[#This Row],[Sección]]&amp;"-"&amp;(COND_INTERSTICIAL[[#This Row],[tramo cond]]+1),COND_INTERSTICIAL[llave tramo cond],0)))</f>
        <v>#N/A</v>
      </c>
      <c r="DM113" s="108" cm="1">
        <f t="array" aca="1" ref="DM11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3" s="110" t="e" cm="1">
        <f t="array" aca="1" ref="DN11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3" s="107" t="e">
        <f ca="1">COND_INTERSTICIAL[[#This Row],[gc]]+COND_INTERSTICIAL[[#This Row],[Ma_anterior cond]]</f>
        <v>#N/A</v>
      </c>
      <c r="DQ113" s="113" t="e">
        <f ca="1">IF((COND_INTERSTICIAL[[#This Row],[Ma_anterior cond]]&gt;0)*NOT(COND_INTERSTICIAL[[#This Row],[Condensa]]),TRUE,FALSE)</f>
        <v>#N/A</v>
      </c>
      <c r="DR113" s="112" t="e" cm="1">
        <f t="array" aca="1" ref="DR113" ca="1">IF(COND_INTERSTICIAL[[#This Row],[evapora]],COND_INTERSTICIAL[[#This Row],[Psat]],IF(COND_INTERSTICIAL[[#This Row],[Capa]]=N_capas,COND_INTERSTICIAL[[#This Row],[Pn]],""))</f>
        <v>#N/A</v>
      </c>
      <c r="DS113" s="112" t="e">
        <f ca="1">COND_INTERSTICIAL[[#This Row],[Mes]]&amp;"-"&amp;COND_INTERSTICIAL[[#This Row],[Sección]]&amp;"-"&amp;COND_INTERSTICIAL[[#This Row],[tramo ev]]</f>
        <v>#N/A</v>
      </c>
      <c r="DT113" s="111" t="e" cm="1">
        <f t="array" aca="1" ref="DT113" ca="1">IF(COND_INTERSTICIAL[[#This Row],[Capa]]=1,IF(COND_INTERSTICIAL[[#This Row],[evapora]],2,1),IF(COND_INTERSTICIAL[[#This Row],[evapora]],1,0)+INDIRECT(ADDRESS(ROW()-1,COLUMN(),4)))</f>
        <v>#N/A</v>
      </c>
      <c r="DU113" s="111" t="e" cm="1">
        <f t="array" aca="1" ref="DU113" ca="1">IF(COND_INTERSTICIAL[[#This Row],[tramo ev]]=1,0,IF((COND_INTERSTICIAL[[#This Row],[tramo ev]]&gt;INDIRECT(ADDRESS(ROW()-1,COLUMN(COND_INTERSTICIAL[[#This Row],[tramo ev]]),4)))+COND_INTERSTICIAL[[#This Row],[evapora]],COND_INTERSTICIAL[[#This Row],[Capa]],INDIRECT(ADDRESS(ROW()-1,COLUMN(),4))))</f>
        <v>#N/A</v>
      </c>
      <c r="DV113" s="111" t="e" cm="1">
        <f t="array" aca="1" ref="DV113" ca="1">IF((COND_INTERSTICIAL[[#This Row],[Capa]]=N_capas)+(COND_INTERSTICIAL[[#This Row],[tramo ev]]=COUNTIFS(COND_INTERSTICIAL[evapora],TRUE,COND_INTERSTICIAL[Mes],CW113,COND_INTERSTICIAL[Sección],CX113)+1),N_capas,INDEX(COND_INTERSTICIAL[capa lím inf ev],MATCH(COND_INTERSTICIAL[[#This Row],[Mes]]&amp;"-"&amp;COND_INTERSTICIAL[[#This Row],[Sección]]&amp;"-"&amp;(COND_INTERSTICIAL[[#This Row],[tramo ev]]+1),COND_INTERSTICIAL[llave tramo ev],0)))</f>
        <v>#N/A</v>
      </c>
      <c r="DW113" s="111" cm="1">
        <f t="array" aca="1" ref="DW11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3" s="113" t="e" cm="1">
        <f t="array" aca="1" ref="DX11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3" s="113" t="e">
        <f ca="1">COND_INTERSTICIAL[[#This Row],[gev]]+COND_INTERSTICIAL[[#This Row],[Ma anterior ev]]</f>
        <v>#N/A</v>
      </c>
      <c r="EA113" s="115" t="e">
        <f ca="1">IF(COND_INTERSTICIAL[[#This Row],[Ma cond]]+COND_INTERSTICIAL[[#This Row],[Ma ev]]&lt;=0,0,COND_INTERSTICIAL[[#This Row],[Ma cond]]+COND_INTERSTICIAL[[#This Row],[Ma ev]])</f>
        <v>#N/A</v>
      </c>
      <c r="EB113" s="115" t="e">
        <f ca="1">IF(COND_INTERSTICIAL[[#This Row],[Ma]]&gt;0,TRUE,FALSE)</f>
        <v>#N/A</v>
      </c>
      <c r="EC113" s="115" t="e" cm="1">
        <f t="array" aca="1" ref="EC113" ca="1">IF(COND_INTERSTICIAL[[#This Row],[agua líquida]],IF(COND_INTERSTICIAL[[#This Row],[Condensa]],COND_INTERSTICIAL[[#This Row],[P límite cond]],COND_INTERSTICIAL[[#This Row],[P límite ev]]),IF(COND_INTERSTICIAL[[#This Row],[Capa]]=N_capas,COND_INTERSTICIAL[[#This Row],[Pn]],""))</f>
        <v>#N/A</v>
      </c>
      <c r="ED113" s="115" t="e">
        <f ca="1">COND_INTERSTICIAL[[#This Row],[Mes]]&amp;"-"&amp;COND_INTERSTICIAL[[#This Row],[Sección]]&amp;"-"&amp;COND_INTERSTICIAL[[#This Row],[tramo gráf]]</f>
        <v>#N/A</v>
      </c>
      <c r="EE113" s="114" t="e" cm="1">
        <f t="array" aca="1" ref="EE113" ca="1">IF(COND_INTERSTICIAL[[#This Row],[Capa]]=1,IF(COND_INTERSTICIAL[[#This Row],[agua líquida]],2,1),IF(COND_INTERSTICIAL[[#This Row],[agua líquida]],1,0)+INDIRECT(ADDRESS(ROW()-1,COLUMN(),4)))</f>
        <v>#N/A</v>
      </c>
      <c r="EF113" s="114" t="e" cm="1">
        <f t="array" aca="1" ref="EF113" ca="1">IF(COND_INTERSTICIAL[[#This Row],[tramo gráf]]=1,0,IF((COND_INTERSTICIAL[[#This Row],[tramo gráf]]&gt;INDIRECT(ADDRESS(ROW()-1,COLUMN(COND_INTERSTICIAL[[#This Row],[tramo gráf]]),4)))+COND_INTERSTICIAL[[#This Row],[agua líquida]],COND_INTERSTICIAL[[#This Row],[Capa]],INDIRECT(ADDRESS(ROW()-1,COLUMN(),4))))</f>
        <v>#N/A</v>
      </c>
      <c r="EG113" s="114" t="e" cm="1">
        <f t="array" aca="1" ref="EG113" ca="1">IF((COND_INTERSTICIAL[[#This Row],[Capa]]=N_capas)+(COND_INTERSTICIAL[[#This Row],[tramo gráf]]=COUNTIFS(COND_INTERSTICIAL[agua líquida],TRUE,COND_INTERSTICIAL[Mes],CW113,COND_INTERSTICIAL[Sección],CX113)+1),N_capas,INDEX(COND_INTERSTICIAL[capa lím inf gráf],MATCH(COND_INTERSTICIAL[[#This Row],[Mes]]&amp;"-"&amp;COND_INTERSTICIAL[[#This Row],[Sección]]&amp;"-"&amp;(COND_INTERSTICIAL[[#This Row],[tramo gráf]]+1),COND_INTERSTICIAL[llave tramo gráf],0)))</f>
        <v>#N/A</v>
      </c>
      <c r="EH113" s="114" cm="1">
        <f t="array" aca="1" ref="EH11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3" s="116" t="e" cm="1">
        <f t="array" aca="1" ref="EI11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4" spans="101:139" x14ac:dyDescent="0.45">
      <c r="CW114" s="1" cm="1">
        <f t="array" ref="CW114">ROUNDUP((ROW()-$CN$18+(Mes_inicial_de_análisis-1)*N_capas*N_secciones)/(N_capas*N_secciones),0)-12*IF(ROW()-$CN$18&gt;(12-Mes_inicial_de_análisis+1)*N_capas*N_secciones,1,0)</f>
        <v>1</v>
      </c>
      <c r="CX114" cm="1">
        <f t="array" ref="CX114">ROUNDUP((ROW()-$CN$18)/N_capas-(ROUNDUP((ROW()-$CN$18)/(N_capas*N_secciones),0)-1)*N_secciones,0)</f>
        <v>2</v>
      </c>
      <c r="CY114" cm="1">
        <f t="array" ref="CY114">(ROW()-$CN$18)-(COND_INTERSTICIAL[[#This Row],[Sección]]-1)*N_capas-(ROUNDUP((ROW()-$CN$18)/(N_capas*N_secciones),0)-1)*N_capas*N_secciones</f>
        <v>4</v>
      </c>
      <c r="CZ114" t="str">
        <f>COND_INTERSTICIAL[[#This Row],[Mes]]&amp;"-"&amp;COND_INTERSTICIAL[[#This Row],[Sección]]&amp;"-"&amp;COND_INTERSTICIAL[[#This Row],[Capa]]</f>
        <v>1-2-4</v>
      </c>
      <c r="DA114">
        <f ca="1">INDEX(SECCIONES_CAPAS[R''n],MATCH(COND_INTERSTICIAL[[#This Row],[Sección]]&amp;"-"&amp;COND_INTERSTICIAL[[#This Row],[Capa]],SECCIONES_CAPAS[llave],0))</f>
        <v>0.04</v>
      </c>
      <c r="DB114" s="172" t="e" cm="1">
        <f t="array" aca="1" ref="DB114" ca="1">INDEX(CLIMA[ϴe],COND_INTERSTICIAL[[#This Row],[Mes]])+COND_INTERSTICIAL[[#This Row],[Rn]]*(INDEX(CLIMA[ϴi],COND_INTERSTICIAL[[#This Row],[Mes]])-INDEX(CLIMA[ϴe],COND_INTERSTICIAL[[#This Row],[Mes]]))/(INDEX(SECCIONES[Rtsección_condensación],COND_INTERSTICIAL[[#This Row],[Sección]]))</f>
        <v>#N/A</v>
      </c>
      <c r="DC114">
        <f>INDEX(SECCIONES_CAPAS[Sd],MATCH(COND_INTERSTICIAL[[#This Row],[Sección]]&amp;"-"&amp;COND_INTERSTICIAL[[#This Row],[Capa]],SECCIONES_CAPAS[llave],0))</f>
        <v>0</v>
      </c>
      <c r="DD114">
        <f ca="1">INDEX(SECCIONES_CAPAS[S''d],MATCH(COND_INTERSTICIAL[[#This Row],[Sección]]&amp;"-"&amp;COND_INTERSTICIAL[[#This Row],[Capa]],SECCIONES_CAPAS[llave],0))</f>
        <v>0</v>
      </c>
      <c r="DE114" s="90" t="e">
        <f ca="1">IF(COND_INTERSTICIAL[[#This Row],[ϴn]]&gt;=0,610.5*EXP((17.269*COND_INTERSTICIAL[[#This Row],[ϴn]])/(237.3+COND_INTERSTICIAL[[#This Row],[ϴn]])),610.5*EXP((21.875*COND_INTERSTICIAL[[#This Row],[ϴn]])/(265.5+COND_INTERSTICIAL[[#This Row],[ϴn]])))</f>
        <v>#N/A</v>
      </c>
      <c r="DF114" s="90" t="e" cm="1">
        <f t="array" aca="1" ref="DF114" ca="1">COND_INTERSTICIAL[[#This Row],[S''d]]*((INDEX(CLIMA[Pi],COND_INTERSTICIAL[[#This Row],[Mes]])-INDEX(CLIMA[Pe],COND_INTERSTICIAL[[#This Row],[Mes]]))/INDEX(SECCIONES[SdT],COND_INTERSTICIAL[[#This Row],[Sección]]))+INDEX(CLIMA[Pe],COND_INTERSTICIAL[[#This Row],[Mes]])</f>
        <v>#N/A</v>
      </c>
      <c r="DG114" s="108" t="e">
        <f ca="1">IF((COND_INTERSTICIAL[[#This Row],[Pn]]&gt;=COND_INTERSTICIAL[[#This Row],[Psat]]),TRUE,FALSE)</f>
        <v>#N/A</v>
      </c>
      <c r="DH114" s="109" t="e" cm="1">
        <f t="array" aca="1" ref="DH114" ca="1">IF(COND_INTERSTICIAL[[#This Row],[Condensa]],COND_INTERSTICIAL[[#This Row],[Psat]],IF(COND_INTERSTICIAL[[#This Row],[Capa]]=N_capas,COND_INTERSTICIAL[[#This Row],[Pn]],""))</f>
        <v>#N/A</v>
      </c>
      <c r="DI114" s="109" t="e">
        <f ca="1">COND_INTERSTICIAL[[#This Row],[Mes]]&amp;"-"&amp;COND_INTERSTICIAL[[#This Row],[Sección]]&amp;"-"&amp;COND_INTERSTICIAL[[#This Row],[tramo cond]]</f>
        <v>#N/A</v>
      </c>
      <c r="DJ114" t="e" cm="1">
        <f t="array" aca="1" ref="DJ114" ca="1">IF(COND_INTERSTICIAL[[#This Row],[Capa]]=1,IF(COND_INTERSTICIAL[[#This Row],[Condensa]],2,1),IF(COND_INTERSTICIAL[[#This Row],[Condensa]],1,0)+INDIRECT(ADDRESS(ROW()-1,COLUMN(),4)))</f>
        <v>#N/A</v>
      </c>
      <c r="DK114" s="108" t="e" cm="1">
        <f t="array" aca="1" ref="DK114" ca="1">IF(COND_INTERSTICIAL[[#This Row],[tramo cond]]=1,0,IF((COND_INTERSTICIAL[[#This Row],[tramo cond]]&gt;INDIRECT(ADDRESS(ROW()-1,COLUMN(COND_INTERSTICIAL[[#This Row],[tramo cond]]),4)))+COND_INTERSTICIAL[[#This Row],[Condensa]],COND_INTERSTICIAL[[#This Row],[Capa]],INDIRECT(ADDRESS(ROW()-1,COLUMN(),4))))</f>
        <v>#N/A</v>
      </c>
      <c r="DL114" s="108" t="e" cm="1">
        <f t="array" aca="1" ref="DL114" ca="1">IF((COND_INTERSTICIAL[[#This Row],[Capa]]=N_capas)+(COND_INTERSTICIAL[[#This Row],[tramo cond]]=COUNTIFS(COND_INTERSTICIAL[Condensa],TRUE,COND_INTERSTICIAL[Mes],CW114,COND_INTERSTICIAL[Sección],CX114)+1),N_capas,INDEX(COND_INTERSTICIAL[capa lím inf cond],MATCH(COND_INTERSTICIAL[[#This Row],[Mes]]&amp;"-"&amp;COND_INTERSTICIAL[[#This Row],[Sección]]&amp;"-"&amp;(COND_INTERSTICIAL[[#This Row],[tramo cond]]+1),COND_INTERSTICIAL[llave tramo cond],0)))</f>
        <v>#N/A</v>
      </c>
      <c r="DM114" s="108" cm="1">
        <f t="array" aca="1" ref="DM11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4" s="110" t="e" cm="1">
        <f t="array" aca="1" ref="DN11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4" s="107" t="e">
        <f ca="1">COND_INTERSTICIAL[[#This Row],[gc]]+COND_INTERSTICIAL[[#This Row],[Ma_anterior cond]]</f>
        <v>#N/A</v>
      </c>
      <c r="DQ114" s="113" t="e">
        <f ca="1">IF((COND_INTERSTICIAL[[#This Row],[Ma_anterior cond]]&gt;0)*NOT(COND_INTERSTICIAL[[#This Row],[Condensa]]),TRUE,FALSE)</f>
        <v>#N/A</v>
      </c>
      <c r="DR114" s="112" t="e" cm="1">
        <f t="array" aca="1" ref="DR114" ca="1">IF(COND_INTERSTICIAL[[#This Row],[evapora]],COND_INTERSTICIAL[[#This Row],[Psat]],IF(COND_INTERSTICIAL[[#This Row],[Capa]]=N_capas,COND_INTERSTICIAL[[#This Row],[Pn]],""))</f>
        <v>#N/A</v>
      </c>
      <c r="DS114" s="112" t="e">
        <f ca="1">COND_INTERSTICIAL[[#This Row],[Mes]]&amp;"-"&amp;COND_INTERSTICIAL[[#This Row],[Sección]]&amp;"-"&amp;COND_INTERSTICIAL[[#This Row],[tramo ev]]</f>
        <v>#N/A</v>
      </c>
      <c r="DT114" s="111" t="e" cm="1">
        <f t="array" aca="1" ref="DT114" ca="1">IF(COND_INTERSTICIAL[[#This Row],[Capa]]=1,IF(COND_INTERSTICIAL[[#This Row],[evapora]],2,1),IF(COND_INTERSTICIAL[[#This Row],[evapora]],1,0)+INDIRECT(ADDRESS(ROW()-1,COLUMN(),4)))</f>
        <v>#N/A</v>
      </c>
      <c r="DU114" s="111" t="e" cm="1">
        <f t="array" aca="1" ref="DU114" ca="1">IF(COND_INTERSTICIAL[[#This Row],[tramo ev]]=1,0,IF((COND_INTERSTICIAL[[#This Row],[tramo ev]]&gt;INDIRECT(ADDRESS(ROW()-1,COLUMN(COND_INTERSTICIAL[[#This Row],[tramo ev]]),4)))+COND_INTERSTICIAL[[#This Row],[evapora]],COND_INTERSTICIAL[[#This Row],[Capa]],INDIRECT(ADDRESS(ROW()-1,COLUMN(),4))))</f>
        <v>#N/A</v>
      </c>
      <c r="DV114" s="111" t="e" cm="1">
        <f t="array" aca="1" ref="DV114" ca="1">IF((COND_INTERSTICIAL[[#This Row],[Capa]]=N_capas)+(COND_INTERSTICIAL[[#This Row],[tramo ev]]=COUNTIFS(COND_INTERSTICIAL[evapora],TRUE,COND_INTERSTICIAL[Mes],CW114,COND_INTERSTICIAL[Sección],CX114)+1),N_capas,INDEX(COND_INTERSTICIAL[capa lím inf ev],MATCH(COND_INTERSTICIAL[[#This Row],[Mes]]&amp;"-"&amp;COND_INTERSTICIAL[[#This Row],[Sección]]&amp;"-"&amp;(COND_INTERSTICIAL[[#This Row],[tramo ev]]+1),COND_INTERSTICIAL[llave tramo ev],0)))</f>
        <v>#N/A</v>
      </c>
      <c r="DW114" s="111" cm="1">
        <f t="array" aca="1" ref="DW11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4" s="113" t="e" cm="1">
        <f t="array" aca="1" ref="DX11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4" s="113" t="e">
        <f ca="1">COND_INTERSTICIAL[[#This Row],[gev]]+COND_INTERSTICIAL[[#This Row],[Ma anterior ev]]</f>
        <v>#N/A</v>
      </c>
      <c r="EA114" s="115" t="e">
        <f ca="1">IF(COND_INTERSTICIAL[[#This Row],[Ma cond]]+COND_INTERSTICIAL[[#This Row],[Ma ev]]&lt;=0,0,COND_INTERSTICIAL[[#This Row],[Ma cond]]+COND_INTERSTICIAL[[#This Row],[Ma ev]])</f>
        <v>#N/A</v>
      </c>
      <c r="EB114" s="115" t="e">
        <f ca="1">IF(COND_INTERSTICIAL[[#This Row],[Ma]]&gt;0,TRUE,FALSE)</f>
        <v>#N/A</v>
      </c>
      <c r="EC114" s="115" t="e" cm="1">
        <f t="array" aca="1" ref="EC114" ca="1">IF(COND_INTERSTICIAL[[#This Row],[agua líquida]],IF(COND_INTERSTICIAL[[#This Row],[Condensa]],COND_INTERSTICIAL[[#This Row],[P límite cond]],COND_INTERSTICIAL[[#This Row],[P límite ev]]),IF(COND_INTERSTICIAL[[#This Row],[Capa]]=N_capas,COND_INTERSTICIAL[[#This Row],[Pn]],""))</f>
        <v>#N/A</v>
      </c>
      <c r="ED114" s="115" t="e">
        <f ca="1">COND_INTERSTICIAL[[#This Row],[Mes]]&amp;"-"&amp;COND_INTERSTICIAL[[#This Row],[Sección]]&amp;"-"&amp;COND_INTERSTICIAL[[#This Row],[tramo gráf]]</f>
        <v>#N/A</v>
      </c>
      <c r="EE114" s="114" t="e" cm="1">
        <f t="array" aca="1" ref="EE114" ca="1">IF(COND_INTERSTICIAL[[#This Row],[Capa]]=1,IF(COND_INTERSTICIAL[[#This Row],[agua líquida]],2,1),IF(COND_INTERSTICIAL[[#This Row],[agua líquida]],1,0)+INDIRECT(ADDRESS(ROW()-1,COLUMN(),4)))</f>
        <v>#N/A</v>
      </c>
      <c r="EF114" s="114" t="e" cm="1">
        <f t="array" aca="1" ref="EF114" ca="1">IF(COND_INTERSTICIAL[[#This Row],[tramo gráf]]=1,0,IF((COND_INTERSTICIAL[[#This Row],[tramo gráf]]&gt;INDIRECT(ADDRESS(ROW()-1,COLUMN(COND_INTERSTICIAL[[#This Row],[tramo gráf]]),4)))+COND_INTERSTICIAL[[#This Row],[agua líquida]],COND_INTERSTICIAL[[#This Row],[Capa]],INDIRECT(ADDRESS(ROW()-1,COLUMN(),4))))</f>
        <v>#N/A</v>
      </c>
      <c r="EG114" s="114" t="e" cm="1">
        <f t="array" aca="1" ref="EG114" ca="1">IF((COND_INTERSTICIAL[[#This Row],[Capa]]=N_capas)+(COND_INTERSTICIAL[[#This Row],[tramo gráf]]=COUNTIFS(COND_INTERSTICIAL[agua líquida],TRUE,COND_INTERSTICIAL[Mes],CW114,COND_INTERSTICIAL[Sección],CX114)+1),N_capas,INDEX(COND_INTERSTICIAL[capa lím inf gráf],MATCH(COND_INTERSTICIAL[[#This Row],[Mes]]&amp;"-"&amp;COND_INTERSTICIAL[[#This Row],[Sección]]&amp;"-"&amp;(COND_INTERSTICIAL[[#This Row],[tramo gráf]]+1),COND_INTERSTICIAL[llave tramo gráf],0)))</f>
        <v>#N/A</v>
      </c>
      <c r="EH114" s="114" cm="1">
        <f t="array" aca="1" ref="EH11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4" s="116" t="e" cm="1">
        <f t="array" aca="1" ref="EI11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5" spans="101:139" x14ac:dyDescent="0.45">
      <c r="CW115" s="1" cm="1">
        <f t="array" ref="CW115">ROUNDUP((ROW()-$CN$18+(Mes_inicial_de_análisis-1)*N_capas*N_secciones)/(N_capas*N_secciones),0)-12*IF(ROW()-$CN$18&gt;(12-Mes_inicial_de_análisis+1)*N_capas*N_secciones,1,0)</f>
        <v>1</v>
      </c>
      <c r="CX115" cm="1">
        <f t="array" ref="CX115">ROUNDUP((ROW()-$CN$18)/N_capas-(ROUNDUP((ROW()-$CN$18)/(N_capas*N_secciones),0)-1)*N_secciones,0)</f>
        <v>2</v>
      </c>
      <c r="CY115" cm="1">
        <f t="array" ref="CY115">(ROW()-$CN$18)-(COND_INTERSTICIAL[[#This Row],[Sección]]-1)*N_capas-(ROUNDUP((ROW()-$CN$18)/(N_capas*N_secciones),0)-1)*N_capas*N_secciones</f>
        <v>5</v>
      </c>
      <c r="CZ115" t="str">
        <f>COND_INTERSTICIAL[[#This Row],[Mes]]&amp;"-"&amp;COND_INTERSTICIAL[[#This Row],[Sección]]&amp;"-"&amp;COND_INTERSTICIAL[[#This Row],[Capa]]</f>
        <v>1-2-5</v>
      </c>
      <c r="DA115">
        <f ca="1">INDEX(SECCIONES_CAPAS[R''n],MATCH(COND_INTERSTICIAL[[#This Row],[Sección]]&amp;"-"&amp;COND_INTERSTICIAL[[#This Row],[Capa]],SECCIONES_CAPAS[llave],0))</f>
        <v>0.04</v>
      </c>
      <c r="DB115" s="172" t="e" cm="1">
        <f t="array" aca="1" ref="DB115" ca="1">INDEX(CLIMA[ϴe],COND_INTERSTICIAL[[#This Row],[Mes]])+COND_INTERSTICIAL[[#This Row],[Rn]]*(INDEX(CLIMA[ϴi],COND_INTERSTICIAL[[#This Row],[Mes]])-INDEX(CLIMA[ϴe],COND_INTERSTICIAL[[#This Row],[Mes]]))/(INDEX(SECCIONES[Rtsección_condensación],COND_INTERSTICIAL[[#This Row],[Sección]]))</f>
        <v>#N/A</v>
      </c>
      <c r="DC115">
        <f>INDEX(SECCIONES_CAPAS[Sd],MATCH(COND_INTERSTICIAL[[#This Row],[Sección]]&amp;"-"&amp;COND_INTERSTICIAL[[#This Row],[Capa]],SECCIONES_CAPAS[llave],0))</f>
        <v>0</v>
      </c>
      <c r="DD115">
        <f ca="1">INDEX(SECCIONES_CAPAS[S''d],MATCH(COND_INTERSTICIAL[[#This Row],[Sección]]&amp;"-"&amp;COND_INTERSTICIAL[[#This Row],[Capa]],SECCIONES_CAPAS[llave],0))</f>
        <v>0</v>
      </c>
      <c r="DE115" s="90" t="e">
        <f ca="1">IF(COND_INTERSTICIAL[[#This Row],[ϴn]]&gt;=0,610.5*EXP((17.269*COND_INTERSTICIAL[[#This Row],[ϴn]])/(237.3+COND_INTERSTICIAL[[#This Row],[ϴn]])),610.5*EXP((21.875*COND_INTERSTICIAL[[#This Row],[ϴn]])/(265.5+COND_INTERSTICIAL[[#This Row],[ϴn]])))</f>
        <v>#N/A</v>
      </c>
      <c r="DF115" s="90" t="e" cm="1">
        <f t="array" aca="1" ref="DF115" ca="1">COND_INTERSTICIAL[[#This Row],[S''d]]*((INDEX(CLIMA[Pi],COND_INTERSTICIAL[[#This Row],[Mes]])-INDEX(CLIMA[Pe],COND_INTERSTICIAL[[#This Row],[Mes]]))/INDEX(SECCIONES[SdT],COND_INTERSTICIAL[[#This Row],[Sección]]))+INDEX(CLIMA[Pe],COND_INTERSTICIAL[[#This Row],[Mes]])</f>
        <v>#N/A</v>
      </c>
      <c r="DG115" s="108" t="e">
        <f ca="1">IF((COND_INTERSTICIAL[[#This Row],[Pn]]&gt;=COND_INTERSTICIAL[[#This Row],[Psat]]),TRUE,FALSE)</f>
        <v>#N/A</v>
      </c>
      <c r="DH115" s="109" t="e" cm="1">
        <f t="array" aca="1" ref="DH115" ca="1">IF(COND_INTERSTICIAL[[#This Row],[Condensa]],COND_INTERSTICIAL[[#This Row],[Psat]],IF(COND_INTERSTICIAL[[#This Row],[Capa]]=N_capas,COND_INTERSTICIAL[[#This Row],[Pn]],""))</f>
        <v>#N/A</v>
      </c>
      <c r="DI115" s="109" t="e">
        <f ca="1">COND_INTERSTICIAL[[#This Row],[Mes]]&amp;"-"&amp;COND_INTERSTICIAL[[#This Row],[Sección]]&amp;"-"&amp;COND_INTERSTICIAL[[#This Row],[tramo cond]]</f>
        <v>#N/A</v>
      </c>
      <c r="DJ115" t="e" cm="1">
        <f t="array" aca="1" ref="DJ115" ca="1">IF(COND_INTERSTICIAL[[#This Row],[Capa]]=1,IF(COND_INTERSTICIAL[[#This Row],[Condensa]],2,1),IF(COND_INTERSTICIAL[[#This Row],[Condensa]],1,0)+INDIRECT(ADDRESS(ROW()-1,COLUMN(),4)))</f>
        <v>#N/A</v>
      </c>
      <c r="DK115" s="108" t="e" cm="1">
        <f t="array" aca="1" ref="DK115" ca="1">IF(COND_INTERSTICIAL[[#This Row],[tramo cond]]=1,0,IF((COND_INTERSTICIAL[[#This Row],[tramo cond]]&gt;INDIRECT(ADDRESS(ROW()-1,COLUMN(COND_INTERSTICIAL[[#This Row],[tramo cond]]),4)))+COND_INTERSTICIAL[[#This Row],[Condensa]],COND_INTERSTICIAL[[#This Row],[Capa]],INDIRECT(ADDRESS(ROW()-1,COLUMN(),4))))</f>
        <v>#N/A</v>
      </c>
      <c r="DL115" s="108" t="e" cm="1">
        <f t="array" aca="1" ref="DL115" ca="1">IF((COND_INTERSTICIAL[[#This Row],[Capa]]=N_capas)+(COND_INTERSTICIAL[[#This Row],[tramo cond]]=COUNTIFS(COND_INTERSTICIAL[Condensa],TRUE,COND_INTERSTICIAL[Mes],CW115,COND_INTERSTICIAL[Sección],CX115)+1),N_capas,INDEX(COND_INTERSTICIAL[capa lím inf cond],MATCH(COND_INTERSTICIAL[[#This Row],[Mes]]&amp;"-"&amp;COND_INTERSTICIAL[[#This Row],[Sección]]&amp;"-"&amp;(COND_INTERSTICIAL[[#This Row],[tramo cond]]+1),COND_INTERSTICIAL[llave tramo cond],0)))</f>
        <v>#N/A</v>
      </c>
      <c r="DM115" s="108" cm="1">
        <f t="array" aca="1" ref="DM11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5" s="110" t="e" cm="1">
        <f t="array" aca="1" ref="DN11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5" s="107" t="e">
        <f ca="1">COND_INTERSTICIAL[[#This Row],[gc]]+COND_INTERSTICIAL[[#This Row],[Ma_anterior cond]]</f>
        <v>#N/A</v>
      </c>
      <c r="DQ115" s="113" t="e">
        <f ca="1">IF((COND_INTERSTICIAL[[#This Row],[Ma_anterior cond]]&gt;0)*NOT(COND_INTERSTICIAL[[#This Row],[Condensa]]),TRUE,FALSE)</f>
        <v>#N/A</v>
      </c>
      <c r="DR115" s="112" t="e" cm="1">
        <f t="array" aca="1" ref="DR115" ca="1">IF(COND_INTERSTICIAL[[#This Row],[evapora]],COND_INTERSTICIAL[[#This Row],[Psat]],IF(COND_INTERSTICIAL[[#This Row],[Capa]]=N_capas,COND_INTERSTICIAL[[#This Row],[Pn]],""))</f>
        <v>#N/A</v>
      </c>
      <c r="DS115" s="112" t="e">
        <f ca="1">COND_INTERSTICIAL[[#This Row],[Mes]]&amp;"-"&amp;COND_INTERSTICIAL[[#This Row],[Sección]]&amp;"-"&amp;COND_INTERSTICIAL[[#This Row],[tramo ev]]</f>
        <v>#N/A</v>
      </c>
      <c r="DT115" s="111" t="e" cm="1">
        <f t="array" aca="1" ref="DT115" ca="1">IF(COND_INTERSTICIAL[[#This Row],[Capa]]=1,IF(COND_INTERSTICIAL[[#This Row],[evapora]],2,1),IF(COND_INTERSTICIAL[[#This Row],[evapora]],1,0)+INDIRECT(ADDRESS(ROW()-1,COLUMN(),4)))</f>
        <v>#N/A</v>
      </c>
      <c r="DU115" s="111" t="e" cm="1">
        <f t="array" aca="1" ref="DU115" ca="1">IF(COND_INTERSTICIAL[[#This Row],[tramo ev]]=1,0,IF((COND_INTERSTICIAL[[#This Row],[tramo ev]]&gt;INDIRECT(ADDRESS(ROW()-1,COLUMN(COND_INTERSTICIAL[[#This Row],[tramo ev]]),4)))+COND_INTERSTICIAL[[#This Row],[evapora]],COND_INTERSTICIAL[[#This Row],[Capa]],INDIRECT(ADDRESS(ROW()-1,COLUMN(),4))))</f>
        <v>#N/A</v>
      </c>
      <c r="DV115" s="111" t="e" cm="1">
        <f t="array" aca="1" ref="DV115" ca="1">IF((COND_INTERSTICIAL[[#This Row],[Capa]]=N_capas)+(COND_INTERSTICIAL[[#This Row],[tramo ev]]=COUNTIFS(COND_INTERSTICIAL[evapora],TRUE,COND_INTERSTICIAL[Mes],CW115,COND_INTERSTICIAL[Sección],CX115)+1),N_capas,INDEX(COND_INTERSTICIAL[capa lím inf ev],MATCH(COND_INTERSTICIAL[[#This Row],[Mes]]&amp;"-"&amp;COND_INTERSTICIAL[[#This Row],[Sección]]&amp;"-"&amp;(COND_INTERSTICIAL[[#This Row],[tramo ev]]+1),COND_INTERSTICIAL[llave tramo ev],0)))</f>
        <v>#N/A</v>
      </c>
      <c r="DW115" s="111" cm="1">
        <f t="array" aca="1" ref="DW11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5" s="113" t="e" cm="1">
        <f t="array" aca="1" ref="DX11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5" s="113" t="e">
        <f ca="1">COND_INTERSTICIAL[[#This Row],[gev]]+COND_INTERSTICIAL[[#This Row],[Ma anterior ev]]</f>
        <v>#N/A</v>
      </c>
      <c r="EA115" s="115" t="e">
        <f ca="1">IF(COND_INTERSTICIAL[[#This Row],[Ma cond]]+COND_INTERSTICIAL[[#This Row],[Ma ev]]&lt;=0,0,COND_INTERSTICIAL[[#This Row],[Ma cond]]+COND_INTERSTICIAL[[#This Row],[Ma ev]])</f>
        <v>#N/A</v>
      </c>
      <c r="EB115" s="115" t="e">
        <f ca="1">IF(COND_INTERSTICIAL[[#This Row],[Ma]]&gt;0,TRUE,FALSE)</f>
        <v>#N/A</v>
      </c>
      <c r="EC115" s="115" t="e" cm="1">
        <f t="array" aca="1" ref="EC115" ca="1">IF(COND_INTERSTICIAL[[#This Row],[agua líquida]],IF(COND_INTERSTICIAL[[#This Row],[Condensa]],COND_INTERSTICIAL[[#This Row],[P límite cond]],COND_INTERSTICIAL[[#This Row],[P límite ev]]),IF(COND_INTERSTICIAL[[#This Row],[Capa]]=N_capas,COND_INTERSTICIAL[[#This Row],[Pn]],""))</f>
        <v>#N/A</v>
      </c>
      <c r="ED115" s="115" t="e">
        <f ca="1">COND_INTERSTICIAL[[#This Row],[Mes]]&amp;"-"&amp;COND_INTERSTICIAL[[#This Row],[Sección]]&amp;"-"&amp;COND_INTERSTICIAL[[#This Row],[tramo gráf]]</f>
        <v>#N/A</v>
      </c>
      <c r="EE115" s="114" t="e" cm="1">
        <f t="array" aca="1" ref="EE115" ca="1">IF(COND_INTERSTICIAL[[#This Row],[Capa]]=1,IF(COND_INTERSTICIAL[[#This Row],[agua líquida]],2,1),IF(COND_INTERSTICIAL[[#This Row],[agua líquida]],1,0)+INDIRECT(ADDRESS(ROW()-1,COLUMN(),4)))</f>
        <v>#N/A</v>
      </c>
      <c r="EF115" s="114" t="e" cm="1">
        <f t="array" aca="1" ref="EF115" ca="1">IF(COND_INTERSTICIAL[[#This Row],[tramo gráf]]=1,0,IF((COND_INTERSTICIAL[[#This Row],[tramo gráf]]&gt;INDIRECT(ADDRESS(ROW()-1,COLUMN(COND_INTERSTICIAL[[#This Row],[tramo gráf]]),4)))+COND_INTERSTICIAL[[#This Row],[agua líquida]],COND_INTERSTICIAL[[#This Row],[Capa]],INDIRECT(ADDRESS(ROW()-1,COLUMN(),4))))</f>
        <v>#N/A</v>
      </c>
      <c r="EG115" s="114" t="e" cm="1">
        <f t="array" aca="1" ref="EG115" ca="1">IF((COND_INTERSTICIAL[[#This Row],[Capa]]=N_capas)+(COND_INTERSTICIAL[[#This Row],[tramo gráf]]=COUNTIFS(COND_INTERSTICIAL[agua líquida],TRUE,COND_INTERSTICIAL[Mes],CW115,COND_INTERSTICIAL[Sección],CX115)+1),N_capas,INDEX(COND_INTERSTICIAL[capa lím inf gráf],MATCH(COND_INTERSTICIAL[[#This Row],[Mes]]&amp;"-"&amp;COND_INTERSTICIAL[[#This Row],[Sección]]&amp;"-"&amp;(COND_INTERSTICIAL[[#This Row],[tramo gráf]]+1),COND_INTERSTICIAL[llave tramo gráf],0)))</f>
        <v>#N/A</v>
      </c>
      <c r="EH115" s="114" cm="1">
        <f t="array" aca="1" ref="EH11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5" s="116" t="e" cm="1">
        <f t="array" aca="1" ref="EI11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6" spans="101:139" x14ac:dyDescent="0.45">
      <c r="CW116" s="1" cm="1">
        <f t="array" ref="CW116">ROUNDUP((ROW()-$CN$18+(Mes_inicial_de_análisis-1)*N_capas*N_secciones)/(N_capas*N_secciones),0)-12*IF(ROW()-$CN$18&gt;(12-Mes_inicial_de_análisis+1)*N_capas*N_secciones,1,0)</f>
        <v>1</v>
      </c>
      <c r="CX116" cm="1">
        <f t="array" ref="CX116">ROUNDUP((ROW()-$CN$18)/N_capas-(ROUNDUP((ROW()-$CN$18)/(N_capas*N_secciones),0)-1)*N_secciones,0)</f>
        <v>2</v>
      </c>
      <c r="CY116" cm="1">
        <f t="array" ref="CY116">(ROW()-$CN$18)-(COND_INTERSTICIAL[[#This Row],[Sección]]-1)*N_capas-(ROUNDUP((ROW()-$CN$18)/(N_capas*N_secciones),0)-1)*N_capas*N_secciones</f>
        <v>6</v>
      </c>
      <c r="CZ116" t="str">
        <f>COND_INTERSTICIAL[[#This Row],[Mes]]&amp;"-"&amp;COND_INTERSTICIAL[[#This Row],[Sección]]&amp;"-"&amp;COND_INTERSTICIAL[[#This Row],[Capa]]</f>
        <v>1-2-6</v>
      </c>
      <c r="DA116">
        <f ca="1">INDEX(SECCIONES_CAPAS[R''n],MATCH(COND_INTERSTICIAL[[#This Row],[Sección]]&amp;"-"&amp;COND_INTERSTICIAL[[#This Row],[Capa]],SECCIONES_CAPAS[llave],0))</f>
        <v>0.04</v>
      </c>
      <c r="DB116" s="172" t="e" cm="1">
        <f t="array" aca="1" ref="DB116" ca="1">INDEX(CLIMA[ϴe],COND_INTERSTICIAL[[#This Row],[Mes]])+COND_INTERSTICIAL[[#This Row],[Rn]]*(INDEX(CLIMA[ϴi],COND_INTERSTICIAL[[#This Row],[Mes]])-INDEX(CLIMA[ϴe],COND_INTERSTICIAL[[#This Row],[Mes]]))/(INDEX(SECCIONES[Rtsección_condensación],COND_INTERSTICIAL[[#This Row],[Sección]]))</f>
        <v>#N/A</v>
      </c>
      <c r="DC116">
        <f>INDEX(SECCIONES_CAPAS[Sd],MATCH(COND_INTERSTICIAL[[#This Row],[Sección]]&amp;"-"&amp;COND_INTERSTICIAL[[#This Row],[Capa]],SECCIONES_CAPAS[llave],0))</f>
        <v>0</v>
      </c>
      <c r="DD116">
        <f ca="1">INDEX(SECCIONES_CAPAS[S''d],MATCH(COND_INTERSTICIAL[[#This Row],[Sección]]&amp;"-"&amp;COND_INTERSTICIAL[[#This Row],[Capa]],SECCIONES_CAPAS[llave],0))</f>
        <v>0</v>
      </c>
      <c r="DE116" s="90" t="e">
        <f ca="1">IF(COND_INTERSTICIAL[[#This Row],[ϴn]]&gt;=0,610.5*EXP((17.269*COND_INTERSTICIAL[[#This Row],[ϴn]])/(237.3+COND_INTERSTICIAL[[#This Row],[ϴn]])),610.5*EXP((21.875*COND_INTERSTICIAL[[#This Row],[ϴn]])/(265.5+COND_INTERSTICIAL[[#This Row],[ϴn]])))</f>
        <v>#N/A</v>
      </c>
      <c r="DF116" s="90" t="e" cm="1">
        <f t="array" aca="1" ref="DF116" ca="1">COND_INTERSTICIAL[[#This Row],[S''d]]*((INDEX(CLIMA[Pi],COND_INTERSTICIAL[[#This Row],[Mes]])-INDEX(CLIMA[Pe],COND_INTERSTICIAL[[#This Row],[Mes]]))/INDEX(SECCIONES[SdT],COND_INTERSTICIAL[[#This Row],[Sección]]))+INDEX(CLIMA[Pe],COND_INTERSTICIAL[[#This Row],[Mes]])</f>
        <v>#N/A</v>
      </c>
      <c r="DG116" s="108" t="e">
        <f ca="1">IF((COND_INTERSTICIAL[[#This Row],[Pn]]&gt;=COND_INTERSTICIAL[[#This Row],[Psat]]),TRUE,FALSE)</f>
        <v>#N/A</v>
      </c>
      <c r="DH116" s="109" t="e" cm="1">
        <f t="array" aca="1" ref="DH116" ca="1">IF(COND_INTERSTICIAL[[#This Row],[Condensa]],COND_INTERSTICIAL[[#This Row],[Psat]],IF(COND_INTERSTICIAL[[#This Row],[Capa]]=N_capas,COND_INTERSTICIAL[[#This Row],[Pn]],""))</f>
        <v>#N/A</v>
      </c>
      <c r="DI116" s="109" t="e">
        <f ca="1">COND_INTERSTICIAL[[#This Row],[Mes]]&amp;"-"&amp;COND_INTERSTICIAL[[#This Row],[Sección]]&amp;"-"&amp;COND_INTERSTICIAL[[#This Row],[tramo cond]]</f>
        <v>#N/A</v>
      </c>
      <c r="DJ116" t="e" cm="1">
        <f t="array" aca="1" ref="DJ116" ca="1">IF(COND_INTERSTICIAL[[#This Row],[Capa]]=1,IF(COND_INTERSTICIAL[[#This Row],[Condensa]],2,1),IF(COND_INTERSTICIAL[[#This Row],[Condensa]],1,0)+INDIRECT(ADDRESS(ROW()-1,COLUMN(),4)))</f>
        <v>#N/A</v>
      </c>
      <c r="DK116" s="108" t="e" cm="1">
        <f t="array" aca="1" ref="DK116" ca="1">IF(COND_INTERSTICIAL[[#This Row],[tramo cond]]=1,0,IF((COND_INTERSTICIAL[[#This Row],[tramo cond]]&gt;INDIRECT(ADDRESS(ROW()-1,COLUMN(COND_INTERSTICIAL[[#This Row],[tramo cond]]),4)))+COND_INTERSTICIAL[[#This Row],[Condensa]],COND_INTERSTICIAL[[#This Row],[Capa]],INDIRECT(ADDRESS(ROW()-1,COLUMN(),4))))</f>
        <v>#N/A</v>
      </c>
      <c r="DL116" s="108" t="e" cm="1">
        <f t="array" aca="1" ref="DL116" ca="1">IF((COND_INTERSTICIAL[[#This Row],[Capa]]=N_capas)+(COND_INTERSTICIAL[[#This Row],[tramo cond]]=COUNTIFS(COND_INTERSTICIAL[Condensa],TRUE,COND_INTERSTICIAL[Mes],CW116,COND_INTERSTICIAL[Sección],CX116)+1),N_capas,INDEX(COND_INTERSTICIAL[capa lím inf cond],MATCH(COND_INTERSTICIAL[[#This Row],[Mes]]&amp;"-"&amp;COND_INTERSTICIAL[[#This Row],[Sección]]&amp;"-"&amp;(COND_INTERSTICIAL[[#This Row],[tramo cond]]+1),COND_INTERSTICIAL[llave tramo cond],0)))</f>
        <v>#N/A</v>
      </c>
      <c r="DM116" s="108" cm="1">
        <f t="array" aca="1" ref="DM11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6" s="110" t="e" cm="1">
        <f t="array" aca="1" ref="DN11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6" s="107" t="e">
        <f ca="1">COND_INTERSTICIAL[[#This Row],[gc]]+COND_INTERSTICIAL[[#This Row],[Ma_anterior cond]]</f>
        <v>#N/A</v>
      </c>
      <c r="DQ116" s="113" t="e">
        <f ca="1">IF((COND_INTERSTICIAL[[#This Row],[Ma_anterior cond]]&gt;0)*NOT(COND_INTERSTICIAL[[#This Row],[Condensa]]),TRUE,FALSE)</f>
        <v>#N/A</v>
      </c>
      <c r="DR116" s="112" t="e" cm="1">
        <f t="array" aca="1" ref="DR116" ca="1">IF(COND_INTERSTICIAL[[#This Row],[evapora]],COND_INTERSTICIAL[[#This Row],[Psat]],IF(COND_INTERSTICIAL[[#This Row],[Capa]]=N_capas,COND_INTERSTICIAL[[#This Row],[Pn]],""))</f>
        <v>#N/A</v>
      </c>
      <c r="DS116" s="112" t="e">
        <f ca="1">COND_INTERSTICIAL[[#This Row],[Mes]]&amp;"-"&amp;COND_INTERSTICIAL[[#This Row],[Sección]]&amp;"-"&amp;COND_INTERSTICIAL[[#This Row],[tramo ev]]</f>
        <v>#N/A</v>
      </c>
      <c r="DT116" s="111" t="e" cm="1">
        <f t="array" aca="1" ref="DT116" ca="1">IF(COND_INTERSTICIAL[[#This Row],[Capa]]=1,IF(COND_INTERSTICIAL[[#This Row],[evapora]],2,1),IF(COND_INTERSTICIAL[[#This Row],[evapora]],1,0)+INDIRECT(ADDRESS(ROW()-1,COLUMN(),4)))</f>
        <v>#N/A</v>
      </c>
      <c r="DU116" s="111" t="e" cm="1">
        <f t="array" aca="1" ref="DU116" ca="1">IF(COND_INTERSTICIAL[[#This Row],[tramo ev]]=1,0,IF((COND_INTERSTICIAL[[#This Row],[tramo ev]]&gt;INDIRECT(ADDRESS(ROW()-1,COLUMN(COND_INTERSTICIAL[[#This Row],[tramo ev]]),4)))+COND_INTERSTICIAL[[#This Row],[evapora]],COND_INTERSTICIAL[[#This Row],[Capa]],INDIRECT(ADDRESS(ROW()-1,COLUMN(),4))))</f>
        <v>#N/A</v>
      </c>
      <c r="DV116" s="111" t="e" cm="1">
        <f t="array" aca="1" ref="DV116" ca="1">IF((COND_INTERSTICIAL[[#This Row],[Capa]]=N_capas)+(COND_INTERSTICIAL[[#This Row],[tramo ev]]=COUNTIFS(COND_INTERSTICIAL[evapora],TRUE,COND_INTERSTICIAL[Mes],CW116,COND_INTERSTICIAL[Sección],CX116)+1),N_capas,INDEX(COND_INTERSTICIAL[capa lím inf ev],MATCH(COND_INTERSTICIAL[[#This Row],[Mes]]&amp;"-"&amp;COND_INTERSTICIAL[[#This Row],[Sección]]&amp;"-"&amp;(COND_INTERSTICIAL[[#This Row],[tramo ev]]+1),COND_INTERSTICIAL[llave tramo ev],0)))</f>
        <v>#N/A</v>
      </c>
      <c r="DW116" s="111" cm="1">
        <f t="array" aca="1" ref="DW11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6" s="113" t="e" cm="1">
        <f t="array" aca="1" ref="DX11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6" s="113" t="e">
        <f ca="1">COND_INTERSTICIAL[[#This Row],[gev]]+COND_INTERSTICIAL[[#This Row],[Ma anterior ev]]</f>
        <v>#N/A</v>
      </c>
      <c r="EA116" s="115" t="e">
        <f ca="1">IF(COND_INTERSTICIAL[[#This Row],[Ma cond]]+COND_INTERSTICIAL[[#This Row],[Ma ev]]&lt;=0,0,COND_INTERSTICIAL[[#This Row],[Ma cond]]+COND_INTERSTICIAL[[#This Row],[Ma ev]])</f>
        <v>#N/A</v>
      </c>
      <c r="EB116" s="115" t="e">
        <f ca="1">IF(COND_INTERSTICIAL[[#This Row],[Ma]]&gt;0,TRUE,FALSE)</f>
        <v>#N/A</v>
      </c>
      <c r="EC116" s="115" t="e" cm="1">
        <f t="array" aca="1" ref="EC116" ca="1">IF(COND_INTERSTICIAL[[#This Row],[agua líquida]],IF(COND_INTERSTICIAL[[#This Row],[Condensa]],COND_INTERSTICIAL[[#This Row],[P límite cond]],COND_INTERSTICIAL[[#This Row],[P límite ev]]),IF(COND_INTERSTICIAL[[#This Row],[Capa]]=N_capas,COND_INTERSTICIAL[[#This Row],[Pn]],""))</f>
        <v>#N/A</v>
      </c>
      <c r="ED116" s="115" t="e">
        <f ca="1">COND_INTERSTICIAL[[#This Row],[Mes]]&amp;"-"&amp;COND_INTERSTICIAL[[#This Row],[Sección]]&amp;"-"&amp;COND_INTERSTICIAL[[#This Row],[tramo gráf]]</f>
        <v>#N/A</v>
      </c>
      <c r="EE116" s="114" t="e" cm="1">
        <f t="array" aca="1" ref="EE116" ca="1">IF(COND_INTERSTICIAL[[#This Row],[Capa]]=1,IF(COND_INTERSTICIAL[[#This Row],[agua líquida]],2,1),IF(COND_INTERSTICIAL[[#This Row],[agua líquida]],1,0)+INDIRECT(ADDRESS(ROW()-1,COLUMN(),4)))</f>
        <v>#N/A</v>
      </c>
      <c r="EF116" s="114" t="e" cm="1">
        <f t="array" aca="1" ref="EF116" ca="1">IF(COND_INTERSTICIAL[[#This Row],[tramo gráf]]=1,0,IF((COND_INTERSTICIAL[[#This Row],[tramo gráf]]&gt;INDIRECT(ADDRESS(ROW()-1,COLUMN(COND_INTERSTICIAL[[#This Row],[tramo gráf]]),4)))+COND_INTERSTICIAL[[#This Row],[agua líquida]],COND_INTERSTICIAL[[#This Row],[Capa]],INDIRECT(ADDRESS(ROW()-1,COLUMN(),4))))</f>
        <v>#N/A</v>
      </c>
      <c r="EG116" s="114" t="e" cm="1">
        <f t="array" aca="1" ref="EG116" ca="1">IF((COND_INTERSTICIAL[[#This Row],[Capa]]=N_capas)+(COND_INTERSTICIAL[[#This Row],[tramo gráf]]=COUNTIFS(COND_INTERSTICIAL[agua líquida],TRUE,COND_INTERSTICIAL[Mes],CW116,COND_INTERSTICIAL[Sección],CX116)+1),N_capas,INDEX(COND_INTERSTICIAL[capa lím inf gráf],MATCH(COND_INTERSTICIAL[[#This Row],[Mes]]&amp;"-"&amp;COND_INTERSTICIAL[[#This Row],[Sección]]&amp;"-"&amp;(COND_INTERSTICIAL[[#This Row],[tramo gráf]]+1),COND_INTERSTICIAL[llave tramo gráf],0)))</f>
        <v>#N/A</v>
      </c>
      <c r="EH116" s="114" cm="1">
        <f t="array" aca="1" ref="EH11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6" s="116" t="e" cm="1">
        <f t="array" aca="1" ref="EI11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7" spans="101:139" x14ac:dyDescent="0.45">
      <c r="CW117" s="1" cm="1">
        <f t="array" ref="CW117">ROUNDUP((ROW()-$CN$18+(Mes_inicial_de_análisis-1)*N_capas*N_secciones)/(N_capas*N_secciones),0)-12*IF(ROW()-$CN$18&gt;(12-Mes_inicial_de_análisis+1)*N_capas*N_secciones,1,0)</f>
        <v>1</v>
      </c>
      <c r="CX117" cm="1">
        <f t="array" ref="CX117">ROUNDUP((ROW()-$CN$18)/N_capas-(ROUNDUP((ROW()-$CN$18)/(N_capas*N_secciones),0)-1)*N_secciones,0)</f>
        <v>2</v>
      </c>
      <c r="CY117" cm="1">
        <f t="array" ref="CY117">(ROW()-$CN$18)-(COND_INTERSTICIAL[[#This Row],[Sección]]-1)*N_capas-(ROUNDUP((ROW()-$CN$18)/(N_capas*N_secciones),0)-1)*N_capas*N_secciones</f>
        <v>7</v>
      </c>
      <c r="CZ117" t="str">
        <f>COND_INTERSTICIAL[[#This Row],[Mes]]&amp;"-"&amp;COND_INTERSTICIAL[[#This Row],[Sección]]&amp;"-"&amp;COND_INTERSTICIAL[[#This Row],[Capa]]</f>
        <v>1-2-7</v>
      </c>
      <c r="DA117">
        <f ca="1">INDEX(SECCIONES_CAPAS[R''n],MATCH(COND_INTERSTICIAL[[#This Row],[Sección]]&amp;"-"&amp;COND_INTERSTICIAL[[#This Row],[Capa]],SECCIONES_CAPAS[llave],0))</f>
        <v>0.04</v>
      </c>
      <c r="DB117" s="172" t="e" cm="1">
        <f t="array" aca="1" ref="DB117" ca="1">INDEX(CLIMA[ϴe],COND_INTERSTICIAL[[#This Row],[Mes]])+COND_INTERSTICIAL[[#This Row],[Rn]]*(INDEX(CLIMA[ϴi],COND_INTERSTICIAL[[#This Row],[Mes]])-INDEX(CLIMA[ϴe],COND_INTERSTICIAL[[#This Row],[Mes]]))/(INDEX(SECCIONES[Rtsección_condensación],COND_INTERSTICIAL[[#This Row],[Sección]]))</f>
        <v>#N/A</v>
      </c>
      <c r="DC117">
        <f>INDEX(SECCIONES_CAPAS[Sd],MATCH(COND_INTERSTICIAL[[#This Row],[Sección]]&amp;"-"&amp;COND_INTERSTICIAL[[#This Row],[Capa]],SECCIONES_CAPAS[llave],0))</f>
        <v>0</v>
      </c>
      <c r="DD117">
        <f ca="1">INDEX(SECCIONES_CAPAS[S''d],MATCH(COND_INTERSTICIAL[[#This Row],[Sección]]&amp;"-"&amp;COND_INTERSTICIAL[[#This Row],[Capa]],SECCIONES_CAPAS[llave],0))</f>
        <v>0</v>
      </c>
      <c r="DE117" s="90" t="e">
        <f ca="1">IF(COND_INTERSTICIAL[[#This Row],[ϴn]]&gt;=0,610.5*EXP((17.269*COND_INTERSTICIAL[[#This Row],[ϴn]])/(237.3+COND_INTERSTICIAL[[#This Row],[ϴn]])),610.5*EXP((21.875*COND_INTERSTICIAL[[#This Row],[ϴn]])/(265.5+COND_INTERSTICIAL[[#This Row],[ϴn]])))</f>
        <v>#N/A</v>
      </c>
      <c r="DF117" s="90" t="e" cm="1">
        <f t="array" aca="1" ref="DF117" ca="1">COND_INTERSTICIAL[[#This Row],[S''d]]*((INDEX(CLIMA[Pi],COND_INTERSTICIAL[[#This Row],[Mes]])-INDEX(CLIMA[Pe],COND_INTERSTICIAL[[#This Row],[Mes]]))/INDEX(SECCIONES[SdT],COND_INTERSTICIAL[[#This Row],[Sección]]))+INDEX(CLIMA[Pe],COND_INTERSTICIAL[[#This Row],[Mes]])</f>
        <v>#N/A</v>
      </c>
      <c r="DG117" s="108" t="e">
        <f ca="1">IF((COND_INTERSTICIAL[[#This Row],[Pn]]&gt;=COND_INTERSTICIAL[[#This Row],[Psat]]),TRUE,FALSE)</f>
        <v>#N/A</v>
      </c>
      <c r="DH117" s="109" t="e" cm="1">
        <f t="array" aca="1" ref="DH117" ca="1">IF(COND_INTERSTICIAL[[#This Row],[Condensa]],COND_INTERSTICIAL[[#This Row],[Psat]],IF(COND_INTERSTICIAL[[#This Row],[Capa]]=N_capas,COND_INTERSTICIAL[[#This Row],[Pn]],""))</f>
        <v>#N/A</v>
      </c>
      <c r="DI117" s="109" t="e">
        <f ca="1">COND_INTERSTICIAL[[#This Row],[Mes]]&amp;"-"&amp;COND_INTERSTICIAL[[#This Row],[Sección]]&amp;"-"&amp;COND_INTERSTICIAL[[#This Row],[tramo cond]]</f>
        <v>#N/A</v>
      </c>
      <c r="DJ117" t="e" cm="1">
        <f t="array" aca="1" ref="DJ117" ca="1">IF(COND_INTERSTICIAL[[#This Row],[Capa]]=1,IF(COND_INTERSTICIAL[[#This Row],[Condensa]],2,1),IF(COND_INTERSTICIAL[[#This Row],[Condensa]],1,0)+INDIRECT(ADDRESS(ROW()-1,COLUMN(),4)))</f>
        <v>#N/A</v>
      </c>
      <c r="DK117" s="108" t="e" cm="1">
        <f t="array" aca="1" ref="DK117" ca="1">IF(COND_INTERSTICIAL[[#This Row],[tramo cond]]=1,0,IF((COND_INTERSTICIAL[[#This Row],[tramo cond]]&gt;INDIRECT(ADDRESS(ROW()-1,COLUMN(COND_INTERSTICIAL[[#This Row],[tramo cond]]),4)))+COND_INTERSTICIAL[[#This Row],[Condensa]],COND_INTERSTICIAL[[#This Row],[Capa]],INDIRECT(ADDRESS(ROW()-1,COLUMN(),4))))</f>
        <v>#N/A</v>
      </c>
      <c r="DL117" s="108" t="e" cm="1">
        <f t="array" aca="1" ref="DL117" ca="1">IF((COND_INTERSTICIAL[[#This Row],[Capa]]=N_capas)+(COND_INTERSTICIAL[[#This Row],[tramo cond]]=COUNTIFS(COND_INTERSTICIAL[Condensa],TRUE,COND_INTERSTICIAL[Mes],CW117,COND_INTERSTICIAL[Sección],CX117)+1),N_capas,INDEX(COND_INTERSTICIAL[capa lím inf cond],MATCH(COND_INTERSTICIAL[[#This Row],[Mes]]&amp;"-"&amp;COND_INTERSTICIAL[[#This Row],[Sección]]&amp;"-"&amp;(COND_INTERSTICIAL[[#This Row],[tramo cond]]+1),COND_INTERSTICIAL[llave tramo cond],0)))</f>
        <v>#N/A</v>
      </c>
      <c r="DM117" s="108" cm="1">
        <f t="array" aca="1" ref="DM11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7" s="110" t="e" cm="1">
        <f t="array" aca="1" ref="DN11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7" s="107" t="e">
        <f ca="1">COND_INTERSTICIAL[[#This Row],[gc]]+COND_INTERSTICIAL[[#This Row],[Ma_anterior cond]]</f>
        <v>#N/A</v>
      </c>
      <c r="DQ117" s="113" t="e">
        <f ca="1">IF((COND_INTERSTICIAL[[#This Row],[Ma_anterior cond]]&gt;0)*NOT(COND_INTERSTICIAL[[#This Row],[Condensa]]),TRUE,FALSE)</f>
        <v>#N/A</v>
      </c>
      <c r="DR117" s="112" t="e" cm="1">
        <f t="array" aca="1" ref="DR117" ca="1">IF(COND_INTERSTICIAL[[#This Row],[evapora]],COND_INTERSTICIAL[[#This Row],[Psat]],IF(COND_INTERSTICIAL[[#This Row],[Capa]]=N_capas,COND_INTERSTICIAL[[#This Row],[Pn]],""))</f>
        <v>#N/A</v>
      </c>
      <c r="DS117" s="112" t="e">
        <f ca="1">COND_INTERSTICIAL[[#This Row],[Mes]]&amp;"-"&amp;COND_INTERSTICIAL[[#This Row],[Sección]]&amp;"-"&amp;COND_INTERSTICIAL[[#This Row],[tramo ev]]</f>
        <v>#N/A</v>
      </c>
      <c r="DT117" s="111" t="e" cm="1">
        <f t="array" aca="1" ref="DT117" ca="1">IF(COND_INTERSTICIAL[[#This Row],[Capa]]=1,IF(COND_INTERSTICIAL[[#This Row],[evapora]],2,1),IF(COND_INTERSTICIAL[[#This Row],[evapora]],1,0)+INDIRECT(ADDRESS(ROW()-1,COLUMN(),4)))</f>
        <v>#N/A</v>
      </c>
      <c r="DU117" s="111" t="e" cm="1">
        <f t="array" aca="1" ref="DU117" ca="1">IF(COND_INTERSTICIAL[[#This Row],[tramo ev]]=1,0,IF((COND_INTERSTICIAL[[#This Row],[tramo ev]]&gt;INDIRECT(ADDRESS(ROW()-1,COLUMN(COND_INTERSTICIAL[[#This Row],[tramo ev]]),4)))+COND_INTERSTICIAL[[#This Row],[evapora]],COND_INTERSTICIAL[[#This Row],[Capa]],INDIRECT(ADDRESS(ROW()-1,COLUMN(),4))))</f>
        <v>#N/A</v>
      </c>
      <c r="DV117" s="111" t="e" cm="1">
        <f t="array" aca="1" ref="DV117" ca="1">IF((COND_INTERSTICIAL[[#This Row],[Capa]]=N_capas)+(COND_INTERSTICIAL[[#This Row],[tramo ev]]=COUNTIFS(COND_INTERSTICIAL[evapora],TRUE,COND_INTERSTICIAL[Mes],CW117,COND_INTERSTICIAL[Sección],CX117)+1),N_capas,INDEX(COND_INTERSTICIAL[capa lím inf ev],MATCH(COND_INTERSTICIAL[[#This Row],[Mes]]&amp;"-"&amp;COND_INTERSTICIAL[[#This Row],[Sección]]&amp;"-"&amp;(COND_INTERSTICIAL[[#This Row],[tramo ev]]+1),COND_INTERSTICIAL[llave tramo ev],0)))</f>
        <v>#N/A</v>
      </c>
      <c r="DW117" s="111" cm="1">
        <f t="array" aca="1" ref="DW11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7" s="113" t="e" cm="1">
        <f t="array" aca="1" ref="DX11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7" s="113" t="e">
        <f ca="1">COND_INTERSTICIAL[[#This Row],[gev]]+COND_INTERSTICIAL[[#This Row],[Ma anterior ev]]</f>
        <v>#N/A</v>
      </c>
      <c r="EA117" s="115" t="e">
        <f ca="1">IF(COND_INTERSTICIAL[[#This Row],[Ma cond]]+COND_INTERSTICIAL[[#This Row],[Ma ev]]&lt;=0,0,COND_INTERSTICIAL[[#This Row],[Ma cond]]+COND_INTERSTICIAL[[#This Row],[Ma ev]])</f>
        <v>#N/A</v>
      </c>
      <c r="EB117" s="115" t="e">
        <f ca="1">IF(COND_INTERSTICIAL[[#This Row],[Ma]]&gt;0,TRUE,FALSE)</f>
        <v>#N/A</v>
      </c>
      <c r="EC117" s="115" t="e" cm="1">
        <f t="array" aca="1" ref="EC117" ca="1">IF(COND_INTERSTICIAL[[#This Row],[agua líquida]],IF(COND_INTERSTICIAL[[#This Row],[Condensa]],COND_INTERSTICIAL[[#This Row],[P límite cond]],COND_INTERSTICIAL[[#This Row],[P límite ev]]),IF(COND_INTERSTICIAL[[#This Row],[Capa]]=N_capas,COND_INTERSTICIAL[[#This Row],[Pn]],""))</f>
        <v>#N/A</v>
      </c>
      <c r="ED117" s="115" t="e">
        <f ca="1">COND_INTERSTICIAL[[#This Row],[Mes]]&amp;"-"&amp;COND_INTERSTICIAL[[#This Row],[Sección]]&amp;"-"&amp;COND_INTERSTICIAL[[#This Row],[tramo gráf]]</f>
        <v>#N/A</v>
      </c>
      <c r="EE117" s="114" t="e" cm="1">
        <f t="array" aca="1" ref="EE117" ca="1">IF(COND_INTERSTICIAL[[#This Row],[Capa]]=1,IF(COND_INTERSTICIAL[[#This Row],[agua líquida]],2,1),IF(COND_INTERSTICIAL[[#This Row],[agua líquida]],1,0)+INDIRECT(ADDRESS(ROW()-1,COLUMN(),4)))</f>
        <v>#N/A</v>
      </c>
      <c r="EF117" s="114" t="e" cm="1">
        <f t="array" aca="1" ref="EF117" ca="1">IF(COND_INTERSTICIAL[[#This Row],[tramo gráf]]=1,0,IF((COND_INTERSTICIAL[[#This Row],[tramo gráf]]&gt;INDIRECT(ADDRESS(ROW()-1,COLUMN(COND_INTERSTICIAL[[#This Row],[tramo gráf]]),4)))+COND_INTERSTICIAL[[#This Row],[agua líquida]],COND_INTERSTICIAL[[#This Row],[Capa]],INDIRECT(ADDRESS(ROW()-1,COLUMN(),4))))</f>
        <v>#N/A</v>
      </c>
      <c r="EG117" s="114" t="e" cm="1">
        <f t="array" aca="1" ref="EG117" ca="1">IF((COND_INTERSTICIAL[[#This Row],[Capa]]=N_capas)+(COND_INTERSTICIAL[[#This Row],[tramo gráf]]=COUNTIFS(COND_INTERSTICIAL[agua líquida],TRUE,COND_INTERSTICIAL[Mes],CW117,COND_INTERSTICIAL[Sección],CX117)+1),N_capas,INDEX(COND_INTERSTICIAL[capa lím inf gráf],MATCH(COND_INTERSTICIAL[[#This Row],[Mes]]&amp;"-"&amp;COND_INTERSTICIAL[[#This Row],[Sección]]&amp;"-"&amp;(COND_INTERSTICIAL[[#This Row],[tramo gráf]]+1),COND_INTERSTICIAL[llave tramo gráf],0)))</f>
        <v>#N/A</v>
      </c>
      <c r="EH117" s="114" cm="1">
        <f t="array" aca="1" ref="EH11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7" s="116" t="e" cm="1">
        <f t="array" aca="1" ref="EI11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8" spans="101:139" x14ac:dyDescent="0.45">
      <c r="CW118" s="1" cm="1">
        <f t="array" ref="CW118">ROUNDUP((ROW()-$CN$18+(Mes_inicial_de_análisis-1)*N_capas*N_secciones)/(N_capas*N_secciones),0)-12*IF(ROW()-$CN$18&gt;(12-Mes_inicial_de_análisis+1)*N_capas*N_secciones,1,0)</f>
        <v>2</v>
      </c>
      <c r="CX118" cm="1">
        <f t="array" ref="CX118">ROUNDUP((ROW()-$CN$18)/N_capas-(ROUNDUP((ROW()-$CN$18)/(N_capas*N_secciones),0)-1)*N_secciones,0)</f>
        <v>1</v>
      </c>
      <c r="CY118" cm="1">
        <f t="array" ref="CY118">(ROW()-$CN$18)-(COND_INTERSTICIAL[[#This Row],[Sección]]-1)*N_capas-(ROUNDUP((ROW()-$CN$18)/(N_capas*N_secciones),0)-1)*N_capas*N_secciones</f>
        <v>1</v>
      </c>
      <c r="CZ118" t="str">
        <f>COND_INTERSTICIAL[[#This Row],[Mes]]&amp;"-"&amp;COND_INTERSTICIAL[[#This Row],[Sección]]&amp;"-"&amp;COND_INTERSTICIAL[[#This Row],[Capa]]</f>
        <v>2-1-1</v>
      </c>
      <c r="DA118">
        <f ca="1">INDEX(SECCIONES_CAPAS[R''n],MATCH(COND_INTERSTICIAL[[#This Row],[Sección]]&amp;"-"&amp;COND_INTERSTICIAL[[#This Row],[Capa]],SECCIONES_CAPAS[llave],0))</f>
        <v>0.04</v>
      </c>
      <c r="DB118" s="172" t="e" cm="1">
        <f t="array" aca="1" ref="DB118" ca="1">INDEX(CLIMA[ϴe],COND_INTERSTICIAL[[#This Row],[Mes]])+COND_INTERSTICIAL[[#This Row],[Rn]]*(INDEX(CLIMA[ϴi],COND_INTERSTICIAL[[#This Row],[Mes]])-INDEX(CLIMA[ϴe],COND_INTERSTICIAL[[#This Row],[Mes]]))/(INDEX(SECCIONES[Rtsección_condensación],COND_INTERSTICIAL[[#This Row],[Sección]]))</f>
        <v>#N/A</v>
      </c>
      <c r="DC118">
        <f>INDEX(SECCIONES_CAPAS[Sd],MATCH(COND_INTERSTICIAL[[#This Row],[Sección]]&amp;"-"&amp;COND_INTERSTICIAL[[#This Row],[Capa]],SECCIONES_CAPAS[llave],0))</f>
        <v>0</v>
      </c>
      <c r="DD118">
        <f ca="1">INDEX(SECCIONES_CAPAS[S''d],MATCH(COND_INTERSTICIAL[[#This Row],[Sección]]&amp;"-"&amp;COND_INTERSTICIAL[[#This Row],[Capa]],SECCIONES_CAPAS[llave],0))</f>
        <v>0</v>
      </c>
      <c r="DE118" s="90" t="e">
        <f ca="1">IF(COND_INTERSTICIAL[[#This Row],[ϴn]]&gt;=0,610.5*EXP((17.269*COND_INTERSTICIAL[[#This Row],[ϴn]])/(237.3+COND_INTERSTICIAL[[#This Row],[ϴn]])),610.5*EXP((21.875*COND_INTERSTICIAL[[#This Row],[ϴn]])/(265.5+COND_INTERSTICIAL[[#This Row],[ϴn]])))</f>
        <v>#N/A</v>
      </c>
      <c r="DF118" s="90" t="e" cm="1">
        <f t="array" aca="1" ref="DF118" ca="1">COND_INTERSTICIAL[[#This Row],[S''d]]*((INDEX(CLIMA[Pi],COND_INTERSTICIAL[[#This Row],[Mes]])-INDEX(CLIMA[Pe],COND_INTERSTICIAL[[#This Row],[Mes]]))/INDEX(SECCIONES[SdT],COND_INTERSTICIAL[[#This Row],[Sección]]))+INDEX(CLIMA[Pe],COND_INTERSTICIAL[[#This Row],[Mes]])</f>
        <v>#N/A</v>
      </c>
      <c r="DG118" s="108" t="e">
        <f ca="1">IF((COND_INTERSTICIAL[[#This Row],[Pn]]&gt;=COND_INTERSTICIAL[[#This Row],[Psat]]),TRUE,FALSE)</f>
        <v>#N/A</v>
      </c>
      <c r="DH118" s="109" t="e" cm="1">
        <f t="array" aca="1" ref="DH118" ca="1">IF(COND_INTERSTICIAL[[#This Row],[Condensa]],COND_INTERSTICIAL[[#This Row],[Psat]],IF(COND_INTERSTICIAL[[#This Row],[Capa]]=N_capas,COND_INTERSTICIAL[[#This Row],[Pn]],""))</f>
        <v>#N/A</v>
      </c>
      <c r="DI118" s="109" t="e">
        <f ca="1">COND_INTERSTICIAL[[#This Row],[Mes]]&amp;"-"&amp;COND_INTERSTICIAL[[#This Row],[Sección]]&amp;"-"&amp;COND_INTERSTICIAL[[#This Row],[tramo cond]]</f>
        <v>#N/A</v>
      </c>
      <c r="DJ118" t="e" cm="1">
        <f t="array" aca="1" ref="DJ118" ca="1">IF(COND_INTERSTICIAL[[#This Row],[Capa]]=1,IF(COND_INTERSTICIAL[[#This Row],[Condensa]],2,1),IF(COND_INTERSTICIAL[[#This Row],[Condensa]],1,0)+INDIRECT(ADDRESS(ROW()-1,COLUMN(),4)))</f>
        <v>#N/A</v>
      </c>
      <c r="DK118" s="108" t="e" cm="1">
        <f t="array" aca="1" ref="DK118" ca="1">IF(COND_INTERSTICIAL[[#This Row],[tramo cond]]=1,0,IF((COND_INTERSTICIAL[[#This Row],[tramo cond]]&gt;INDIRECT(ADDRESS(ROW()-1,COLUMN(COND_INTERSTICIAL[[#This Row],[tramo cond]]),4)))+COND_INTERSTICIAL[[#This Row],[Condensa]],COND_INTERSTICIAL[[#This Row],[Capa]],INDIRECT(ADDRESS(ROW()-1,COLUMN(),4))))</f>
        <v>#N/A</v>
      </c>
      <c r="DL118" s="108" t="e" cm="1">
        <f t="array" aca="1" ref="DL118" ca="1">IF((COND_INTERSTICIAL[[#This Row],[Capa]]=N_capas)+(COND_INTERSTICIAL[[#This Row],[tramo cond]]=COUNTIFS(COND_INTERSTICIAL[Condensa],TRUE,COND_INTERSTICIAL[Mes],CW118,COND_INTERSTICIAL[Sección],CX118)+1),N_capas,INDEX(COND_INTERSTICIAL[capa lím inf cond],MATCH(COND_INTERSTICIAL[[#This Row],[Mes]]&amp;"-"&amp;COND_INTERSTICIAL[[#This Row],[Sección]]&amp;"-"&amp;(COND_INTERSTICIAL[[#This Row],[tramo cond]]+1),COND_INTERSTICIAL[llave tramo cond],0)))</f>
        <v>#N/A</v>
      </c>
      <c r="DM118" s="108" cm="1">
        <f t="array" aca="1" ref="DM11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8" s="110" t="e" cm="1">
        <f t="array" aca="1" ref="DN11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8" s="107" t="e">
        <f ca="1">COND_INTERSTICIAL[[#This Row],[gc]]+COND_INTERSTICIAL[[#This Row],[Ma_anterior cond]]</f>
        <v>#N/A</v>
      </c>
      <c r="DQ118" s="113" t="e">
        <f ca="1">IF((COND_INTERSTICIAL[[#This Row],[Ma_anterior cond]]&gt;0)*NOT(COND_INTERSTICIAL[[#This Row],[Condensa]]),TRUE,FALSE)</f>
        <v>#N/A</v>
      </c>
      <c r="DR118" s="112" t="e" cm="1">
        <f t="array" aca="1" ref="DR118" ca="1">IF(COND_INTERSTICIAL[[#This Row],[evapora]],COND_INTERSTICIAL[[#This Row],[Psat]],IF(COND_INTERSTICIAL[[#This Row],[Capa]]=N_capas,COND_INTERSTICIAL[[#This Row],[Pn]],""))</f>
        <v>#N/A</v>
      </c>
      <c r="DS118" s="112" t="e">
        <f ca="1">COND_INTERSTICIAL[[#This Row],[Mes]]&amp;"-"&amp;COND_INTERSTICIAL[[#This Row],[Sección]]&amp;"-"&amp;COND_INTERSTICIAL[[#This Row],[tramo ev]]</f>
        <v>#N/A</v>
      </c>
      <c r="DT118" s="111" t="e" cm="1">
        <f t="array" aca="1" ref="DT118" ca="1">IF(COND_INTERSTICIAL[[#This Row],[Capa]]=1,IF(COND_INTERSTICIAL[[#This Row],[evapora]],2,1),IF(COND_INTERSTICIAL[[#This Row],[evapora]],1,0)+INDIRECT(ADDRESS(ROW()-1,COLUMN(),4)))</f>
        <v>#N/A</v>
      </c>
      <c r="DU118" s="111" t="e" cm="1">
        <f t="array" aca="1" ref="DU118" ca="1">IF(COND_INTERSTICIAL[[#This Row],[tramo ev]]=1,0,IF((COND_INTERSTICIAL[[#This Row],[tramo ev]]&gt;INDIRECT(ADDRESS(ROW()-1,COLUMN(COND_INTERSTICIAL[[#This Row],[tramo ev]]),4)))+COND_INTERSTICIAL[[#This Row],[evapora]],COND_INTERSTICIAL[[#This Row],[Capa]],INDIRECT(ADDRESS(ROW()-1,COLUMN(),4))))</f>
        <v>#N/A</v>
      </c>
      <c r="DV118" s="111" t="e" cm="1">
        <f t="array" aca="1" ref="DV118" ca="1">IF((COND_INTERSTICIAL[[#This Row],[Capa]]=N_capas)+(COND_INTERSTICIAL[[#This Row],[tramo ev]]=COUNTIFS(COND_INTERSTICIAL[evapora],TRUE,COND_INTERSTICIAL[Mes],CW118,COND_INTERSTICIAL[Sección],CX118)+1),N_capas,INDEX(COND_INTERSTICIAL[capa lím inf ev],MATCH(COND_INTERSTICIAL[[#This Row],[Mes]]&amp;"-"&amp;COND_INTERSTICIAL[[#This Row],[Sección]]&amp;"-"&amp;(COND_INTERSTICIAL[[#This Row],[tramo ev]]+1),COND_INTERSTICIAL[llave tramo ev],0)))</f>
        <v>#N/A</v>
      </c>
      <c r="DW118" s="111" cm="1">
        <f t="array" aca="1" ref="DW11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8" s="113" t="e" cm="1">
        <f t="array" aca="1" ref="DX11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8" s="113" t="e">
        <f ca="1">COND_INTERSTICIAL[[#This Row],[gev]]+COND_INTERSTICIAL[[#This Row],[Ma anterior ev]]</f>
        <v>#N/A</v>
      </c>
      <c r="EA118" s="115" t="e">
        <f ca="1">IF(COND_INTERSTICIAL[[#This Row],[Ma cond]]+COND_INTERSTICIAL[[#This Row],[Ma ev]]&lt;=0,0,COND_INTERSTICIAL[[#This Row],[Ma cond]]+COND_INTERSTICIAL[[#This Row],[Ma ev]])</f>
        <v>#N/A</v>
      </c>
      <c r="EB118" s="115" t="e">
        <f ca="1">IF(COND_INTERSTICIAL[[#This Row],[Ma]]&gt;0,TRUE,FALSE)</f>
        <v>#N/A</v>
      </c>
      <c r="EC118" s="115" t="e" cm="1">
        <f t="array" aca="1" ref="EC118" ca="1">IF(COND_INTERSTICIAL[[#This Row],[agua líquida]],IF(COND_INTERSTICIAL[[#This Row],[Condensa]],COND_INTERSTICIAL[[#This Row],[P límite cond]],COND_INTERSTICIAL[[#This Row],[P límite ev]]),IF(COND_INTERSTICIAL[[#This Row],[Capa]]=N_capas,COND_INTERSTICIAL[[#This Row],[Pn]],""))</f>
        <v>#N/A</v>
      </c>
      <c r="ED118" s="115" t="e">
        <f ca="1">COND_INTERSTICIAL[[#This Row],[Mes]]&amp;"-"&amp;COND_INTERSTICIAL[[#This Row],[Sección]]&amp;"-"&amp;COND_INTERSTICIAL[[#This Row],[tramo gráf]]</f>
        <v>#N/A</v>
      </c>
      <c r="EE118" s="114" t="e" cm="1">
        <f t="array" aca="1" ref="EE118" ca="1">IF(COND_INTERSTICIAL[[#This Row],[Capa]]=1,IF(COND_INTERSTICIAL[[#This Row],[agua líquida]],2,1),IF(COND_INTERSTICIAL[[#This Row],[agua líquida]],1,0)+INDIRECT(ADDRESS(ROW()-1,COLUMN(),4)))</f>
        <v>#N/A</v>
      </c>
      <c r="EF118" s="114" t="e" cm="1">
        <f t="array" aca="1" ref="EF118" ca="1">IF(COND_INTERSTICIAL[[#This Row],[tramo gráf]]=1,0,IF((COND_INTERSTICIAL[[#This Row],[tramo gráf]]&gt;INDIRECT(ADDRESS(ROW()-1,COLUMN(COND_INTERSTICIAL[[#This Row],[tramo gráf]]),4)))+COND_INTERSTICIAL[[#This Row],[agua líquida]],COND_INTERSTICIAL[[#This Row],[Capa]],INDIRECT(ADDRESS(ROW()-1,COLUMN(),4))))</f>
        <v>#N/A</v>
      </c>
      <c r="EG118" s="114" t="e" cm="1">
        <f t="array" aca="1" ref="EG118" ca="1">IF((COND_INTERSTICIAL[[#This Row],[Capa]]=N_capas)+(COND_INTERSTICIAL[[#This Row],[tramo gráf]]=COUNTIFS(COND_INTERSTICIAL[agua líquida],TRUE,COND_INTERSTICIAL[Mes],CW118,COND_INTERSTICIAL[Sección],CX118)+1),N_capas,INDEX(COND_INTERSTICIAL[capa lím inf gráf],MATCH(COND_INTERSTICIAL[[#This Row],[Mes]]&amp;"-"&amp;COND_INTERSTICIAL[[#This Row],[Sección]]&amp;"-"&amp;(COND_INTERSTICIAL[[#This Row],[tramo gráf]]+1),COND_INTERSTICIAL[llave tramo gráf],0)))</f>
        <v>#N/A</v>
      </c>
      <c r="EH118" s="114" cm="1">
        <f t="array" aca="1" ref="EH11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8" s="116" t="e" cm="1">
        <f t="array" aca="1" ref="EI11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9" spans="101:139" x14ac:dyDescent="0.45">
      <c r="CW119" s="1" cm="1">
        <f t="array" ref="CW119">ROUNDUP((ROW()-$CN$18+(Mes_inicial_de_análisis-1)*N_capas*N_secciones)/(N_capas*N_secciones),0)-12*IF(ROW()-$CN$18&gt;(12-Mes_inicial_de_análisis+1)*N_capas*N_secciones,1,0)</f>
        <v>2</v>
      </c>
      <c r="CX119" cm="1">
        <f t="array" ref="CX119">ROUNDUP((ROW()-$CN$18)/N_capas-(ROUNDUP((ROW()-$CN$18)/(N_capas*N_secciones),0)-1)*N_secciones,0)</f>
        <v>1</v>
      </c>
      <c r="CY119" cm="1">
        <f t="array" ref="CY119">(ROW()-$CN$18)-(COND_INTERSTICIAL[[#This Row],[Sección]]-1)*N_capas-(ROUNDUP((ROW()-$CN$18)/(N_capas*N_secciones),0)-1)*N_capas*N_secciones</f>
        <v>2</v>
      </c>
      <c r="CZ119" t="str">
        <f>COND_INTERSTICIAL[[#This Row],[Mes]]&amp;"-"&amp;COND_INTERSTICIAL[[#This Row],[Sección]]&amp;"-"&amp;COND_INTERSTICIAL[[#This Row],[Capa]]</f>
        <v>2-1-2</v>
      </c>
      <c r="DA119">
        <f ca="1">INDEX(SECCIONES_CAPAS[R''n],MATCH(COND_INTERSTICIAL[[#This Row],[Sección]]&amp;"-"&amp;COND_INTERSTICIAL[[#This Row],[Capa]],SECCIONES_CAPAS[llave],0))</f>
        <v>0.04</v>
      </c>
      <c r="DB119" s="172" t="e" cm="1">
        <f t="array" aca="1" ref="DB119" ca="1">INDEX(CLIMA[ϴe],COND_INTERSTICIAL[[#This Row],[Mes]])+COND_INTERSTICIAL[[#This Row],[Rn]]*(INDEX(CLIMA[ϴi],COND_INTERSTICIAL[[#This Row],[Mes]])-INDEX(CLIMA[ϴe],COND_INTERSTICIAL[[#This Row],[Mes]]))/(INDEX(SECCIONES[Rtsección_condensación],COND_INTERSTICIAL[[#This Row],[Sección]]))</f>
        <v>#N/A</v>
      </c>
      <c r="DC119">
        <f>INDEX(SECCIONES_CAPAS[Sd],MATCH(COND_INTERSTICIAL[[#This Row],[Sección]]&amp;"-"&amp;COND_INTERSTICIAL[[#This Row],[Capa]],SECCIONES_CAPAS[llave],0))</f>
        <v>0</v>
      </c>
      <c r="DD119">
        <f ca="1">INDEX(SECCIONES_CAPAS[S''d],MATCH(COND_INTERSTICIAL[[#This Row],[Sección]]&amp;"-"&amp;COND_INTERSTICIAL[[#This Row],[Capa]],SECCIONES_CAPAS[llave],0))</f>
        <v>0</v>
      </c>
      <c r="DE119" s="90" t="e">
        <f ca="1">IF(COND_INTERSTICIAL[[#This Row],[ϴn]]&gt;=0,610.5*EXP((17.269*COND_INTERSTICIAL[[#This Row],[ϴn]])/(237.3+COND_INTERSTICIAL[[#This Row],[ϴn]])),610.5*EXP((21.875*COND_INTERSTICIAL[[#This Row],[ϴn]])/(265.5+COND_INTERSTICIAL[[#This Row],[ϴn]])))</f>
        <v>#N/A</v>
      </c>
      <c r="DF119" s="90" t="e" cm="1">
        <f t="array" aca="1" ref="DF119" ca="1">COND_INTERSTICIAL[[#This Row],[S''d]]*((INDEX(CLIMA[Pi],COND_INTERSTICIAL[[#This Row],[Mes]])-INDEX(CLIMA[Pe],COND_INTERSTICIAL[[#This Row],[Mes]]))/INDEX(SECCIONES[SdT],COND_INTERSTICIAL[[#This Row],[Sección]]))+INDEX(CLIMA[Pe],COND_INTERSTICIAL[[#This Row],[Mes]])</f>
        <v>#N/A</v>
      </c>
      <c r="DG119" s="108" t="e">
        <f ca="1">IF((COND_INTERSTICIAL[[#This Row],[Pn]]&gt;=COND_INTERSTICIAL[[#This Row],[Psat]]),TRUE,FALSE)</f>
        <v>#N/A</v>
      </c>
      <c r="DH119" s="109" t="e" cm="1">
        <f t="array" aca="1" ref="DH119" ca="1">IF(COND_INTERSTICIAL[[#This Row],[Condensa]],COND_INTERSTICIAL[[#This Row],[Psat]],IF(COND_INTERSTICIAL[[#This Row],[Capa]]=N_capas,COND_INTERSTICIAL[[#This Row],[Pn]],""))</f>
        <v>#N/A</v>
      </c>
      <c r="DI119" s="109" t="e">
        <f ca="1">COND_INTERSTICIAL[[#This Row],[Mes]]&amp;"-"&amp;COND_INTERSTICIAL[[#This Row],[Sección]]&amp;"-"&amp;COND_INTERSTICIAL[[#This Row],[tramo cond]]</f>
        <v>#N/A</v>
      </c>
      <c r="DJ119" t="e" cm="1">
        <f t="array" aca="1" ref="DJ119" ca="1">IF(COND_INTERSTICIAL[[#This Row],[Capa]]=1,IF(COND_INTERSTICIAL[[#This Row],[Condensa]],2,1),IF(COND_INTERSTICIAL[[#This Row],[Condensa]],1,0)+INDIRECT(ADDRESS(ROW()-1,COLUMN(),4)))</f>
        <v>#N/A</v>
      </c>
      <c r="DK119" s="108" t="e" cm="1">
        <f t="array" aca="1" ref="DK119" ca="1">IF(COND_INTERSTICIAL[[#This Row],[tramo cond]]=1,0,IF((COND_INTERSTICIAL[[#This Row],[tramo cond]]&gt;INDIRECT(ADDRESS(ROW()-1,COLUMN(COND_INTERSTICIAL[[#This Row],[tramo cond]]),4)))+COND_INTERSTICIAL[[#This Row],[Condensa]],COND_INTERSTICIAL[[#This Row],[Capa]],INDIRECT(ADDRESS(ROW()-1,COLUMN(),4))))</f>
        <v>#N/A</v>
      </c>
      <c r="DL119" s="108" t="e" cm="1">
        <f t="array" aca="1" ref="DL119" ca="1">IF((COND_INTERSTICIAL[[#This Row],[Capa]]=N_capas)+(COND_INTERSTICIAL[[#This Row],[tramo cond]]=COUNTIFS(COND_INTERSTICIAL[Condensa],TRUE,COND_INTERSTICIAL[Mes],CW119,COND_INTERSTICIAL[Sección],CX119)+1),N_capas,INDEX(COND_INTERSTICIAL[capa lím inf cond],MATCH(COND_INTERSTICIAL[[#This Row],[Mes]]&amp;"-"&amp;COND_INTERSTICIAL[[#This Row],[Sección]]&amp;"-"&amp;(COND_INTERSTICIAL[[#This Row],[tramo cond]]+1),COND_INTERSTICIAL[llave tramo cond],0)))</f>
        <v>#N/A</v>
      </c>
      <c r="DM119" s="108" cm="1">
        <f t="array" aca="1" ref="DM11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9" s="110" t="e" cm="1">
        <f t="array" aca="1" ref="DN11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9" s="107" t="e">
        <f ca="1">COND_INTERSTICIAL[[#This Row],[gc]]+COND_INTERSTICIAL[[#This Row],[Ma_anterior cond]]</f>
        <v>#N/A</v>
      </c>
      <c r="DQ119" s="113" t="e">
        <f ca="1">IF((COND_INTERSTICIAL[[#This Row],[Ma_anterior cond]]&gt;0)*NOT(COND_INTERSTICIAL[[#This Row],[Condensa]]),TRUE,FALSE)</f>
        <v>#N/A</v>
      </c>
      <c r="DR119" s="112" t="e" cm="1">
        <f t="array" aca="1" ref="DR119" ca="1">IF(COND_INTERSTICIAL[[#This Row],[evapora]],COND_INTERSTICIAL[[#This Row],[Psat]],IF(COND_INTERSTICIAL[[#This Row],[Capa]]=N_capas,COND_INTERSTICIAL[[#This Row],[Pn]],""))</f>
        <v>#N/A</v>
      </c>
      <c r="DS119" s="112" t="e">
        <f ca="1">COND_INTERSTICIAL[[#This Row],[Mes]]&amp;"-"&amp;COND_INTERSTICIAL[[#This Row],[Sección]]&amp;"-"&amp;COND_INTERSTICIAL[[#This Row],[tramo ev]]</f>
        <v>#N/A</v>
      </c>
      <c r="DT119" s="111" t="e" cm="1">
        <f t="array" aca="1" ref="DT119" ca="1">IF(COND_INTERSTICIAL[[#This Row],[Capa]]=1,IF(COND_INTERSTICIAL[[#This Row],[evapora]],2,1),IF(COND_INTERSTICIAL[[#This Row],[evapora]],1,0)+INDIRECT(ADDRESS(ROW()-1,COLUMN(),4)))</f>
        <v>#N/A</v>
      </c>
      <c r="DU119" s="111" t="e" cm="1">
        <f t="array" aca="1" ref="DU119" ca="1">IF(COND_INTERSTICIAL[[#This Row],[tramo ev]]=1,0,IF((COND_INTERSTICIAL[[#This Row],[tramo ev]]&gt;INDIRECT(ADDRESS(ROW()-1,COLUMN(COND_INTERSTICIAL[[#This Row],[tramo ev]]),4)))+COND_INTERSTICIAL[[#This Row],[evapora]],COND_INTERSTICIAL[[#This Row],[Capa]],INDIRECT(ADDRESS(ROW()-1,COLUMN(),4))))</f>
        <v>#N/A</v>
      </c>
      <c r="DV119" s="111" t="e" cm="1">
        <f t="array" aca="1" ref="DV119" ca="1">IF((COND_INTERSTICIAL[[#This Row],[Capa]]=N_capas)+(COND_INTERSTICIAL[[#This Row],[tramo ev]]=COUNTIFS(COND_INTERSTICIAL[evapora],TRUE,COND_INTERSTICIAL[Mes],CW119,COND_INTERSTICIAL[Sección],CX119)+1),N_capas,INDEX(COND_INTERSTICIAL[capa lím inf ev],MATCH(COND_INTERSTICIAL[[#This Row],[Mes]]&amp;"-"&amp;COND_INTERSTICIAL[[#This Row],[Sección]]&amp;"-"&amp;(COND_INTERSTICIAL[[#This Row],[tramo ev]]+1),COND_INTERSTICIAL[llave tramo ev],0)))</f>
        <v>#N/A</v>
      </c>
      <c r="DW119" s="111" cm="1">
        <f t="array" aca="1" ref="DW11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9" s="113" t="e" cm="1">
        <f t="array" aca="1" ref="DX11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9" s="113" t="e">
        <f ca="1">COND_INTERSTICIAL[[#This Row],[gev]]+COND_INTERSTICIAL[[#This Row],[Ma anterior ev]]</f>
        <v>#N/A</v>
      </c>
      <c r="EA119" s="115" t="e">
        <f ca="1">IF(COND_INTERSTICIAL[[#This Row],[Ma cond]]+COND_INTERSTICIAL[[#This Row],[Ma ev]]&lt;=0,0,COND_INTERSTICIAL[[#This Row],[Ma cond]]+COND_INTERSTICIAL[[#This Row],[Ma ev]])</f>
        <v>#N/A</v>
      </c>
      <c r="EB119" s="115" t="e">
        <f ca="1">IF(COND_INTERSTICIAL[[#This Row],[Ma]]&gt;0,TRUE,FALSE)</f>
        <v>#N/A</v>
      </c>
      <c r="EC119" s="115" t="e" cm="1">
        <f t="array" aca="1" ref="EC119" ca="1">IF(COND_INTERSTICIAL[[#This Row],[agua líquida]],IF(COND_INTERSTICIAL[[#This Row],[Condensa]],COND_INTERSTICIAL[[#This Row],[P límite cond]],COND_INTERSTICIAL[[#This Row],[P límite ev]]),IF(COND_INTERSTICIAL[[#This Row],[Capa]]=N_capas,COND_INTERSTICIAL[[#This Row],[Pn]],""))</f>
        <v>#N/A</v>
      </c>
      <c r="ED119" s="115" t="e">
        <f ca="1">COND_INTERSTICIAL[[#This Row],[Mes]]&amp;"-"&amp;COND_INTERSTICIAL[[#This Row],[Sección]]&amp;"-"&amp;COND_INTERSTICIAL[[#This Row],[tramo gráf]]</f>
        <v>#N/A</v>
      </c>
      <c r="EE119" s="114" t="e" cm="1">
        <f t="array" aca="1" ref="EE119" ca="1">IF(COND_INTERSTICIAL[[#This Row],[Capa]]=1,IF(COND_INTERSTICIAL[[#This Row],[agua líquida]],2,1),IF(COND_INTERSTICIAL[[#This Row],[agua líquida]],1,0)+INDIRECT(ADDRESS(ROW()-1,COLUMN(),4)))</f>
        <v>#N/A</v>
      </c>
      <c r="EF119" s="114" t="e" cm="1">
        <f t="array" aca="1" ref="EF119" ca="1">IF(COND_INTERSTICIAL[[#This Row],[tramo gráf]]=1,0,IF((COND_INTERSTICIAL[[#This Row],[tramo gráf]]&gt;INDIRECT(ADDRESS(ROW()-1,COLUMN(COND_INTERSTICIAL[[#This Row],[tramo gráf]]),4)))+COND_INTERSTICIAL[[#This Row],[agua líquida]],COND_INTERSTICIAL[[#This Row],[Capa]],INDIRECT(ADDRESS(ROW()-1,COLUMN(),4))))</f>
        <v>#N/A</v>
      </c>
      <c r="EG119" s="114" t="e" cm="1">
        <f t="array" aca="1" ref="EG119" ca="1">IF((COND_INTERSTICIAL[[#This Row],[Capa]]=N_capas)+(COND_INTERSTICIAL[[#This Row],[tramo gráf]]=COUNTIFS(COND_INTERSTICIAL[agua líquida],TRUE,COND_INTERSTICIAL[Mes],CW119,COND_INTERSTICIAL[Sección],CX119)+1),N_capas,INDEX(COND_INTERSTICIAL[capa lím inf gráf],MATCH(COND_INTERSTICIAL[[#This Row],[Mes]]&amp;"-"&amp;COND_INTERSTICIAL[[#This Row],[Sección]]&amp;"-"&amp;(COND_INTERSTICIAL[[#This Row],[tramo gráf]]+1),COND_INTERSTICIAL[llave tramo gráf],0)))</f>
        <v>#N/A</v>
      </c>
      <c r="EH119" s="114" cm="1">
        <f t="array" aca="1" ref="EH11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9" s="116" t="e" cm="1">
        <f t="array" aca="1" ref="EI11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0" spans="101:139" x14ac:dyDescent="0.45">
      <c r="CW120" s="1" cm="1">
        <f t="array" ref="CW120">ROUNDUP((ROW()-$CN$18+(Mes_inicial_de_análisis-1)*N_capas*N_secciones)/(N_capas*N_secciones),0)-12*IF(ROW()-$CN$18&gt;(12-Mes_inicial_de_análisis+1)*N_capas*N_secciones,1,0)</f>
        <v>2</v>
      </c>
      <c r="CX120" cm="1">
        <f t="array" ref="CX120">ROUNDUP((ROW()-$CN$18)/N_capas-(ROUNDUP((ROW()-$CN$18)/(N_capas*N_secciones),0)-1)*N_secciones,0)</f>
        <v>1</v>
      </c>
      <c r="CY120" cm="1">
        <f t="array" ref="CY120">(ROW()-$CN$18)-(COND_INTERSTICIAL[[#This Row],[Sección]]-1)*N_capas-(ROUNDUP((ROW()-$CN$18)/(N_capas*N_secciones),0)-1)*N_capas*N_secciones</f>
        <v>3</v>
      </c>
      <c r="CZ120" t="str">
        <f>COND_INTERSTICIAL[[#This Row],[Mes]]&amp;"-"&amp;COND_INTERSTICIAL[[#This Row],[Sección]]&amp;"-"&amp;COND_INTERSTICIAL[[#This Row],[Capa]]</f>
        <v>2-1-3</v>
      </c>
      <c r="DA120">
        <f ca="1">INDEX(SECCIONES_CAPAS[R''n],MATCH(COND_INTERSTICIAL[[#This Row],[Sección]]&amp;"-"&amp;COND_INTERSTICIAL[[#This Row],[Capa]],SECCIONES_CAPAS[llave],0))</f>
        <v>0.04</v>
      </c>
      <c r="DB120" s="172" t="e" cm="1">
        <f t="array" aca="1" ref="DB120" ca="1">INDEX(CLIMA[ϴe],COND_INTERSTICIAL[[#This Row],[Mes]])+COND_INTERSTICIAL[[#This Row],[Rn]]*(INDEX(CLIMA[ϴi],COND_INTERSTICIAL[[#This Row],[Mes]])-INDEX(CLIMA[ϴe],COND_INTERSTICIAL[[#This Row],[Mes]]))/(INDEX(SECCIONES[Rtsección_condensación],COND_INTERSTICIAL[[#This Row],[Sección]]))</f>
        <v>#N/A</v>
      </c>
      <c r="DC120">
        <f>INDEX(SECCIONES_CAPAS[Sd],MATCH(COND_INTERSTICIAL[[#This Row],[Sección]]&amp;"-"&amp;COND_INTERSTICIAL[[#This Row],[Capa]],SECCIONES_CAPAS[llave],0))</f>
        <v>0</v>
      </c>
      <c r="DD120">
        <f ca="1">INDEX(SECCIONES_CAPAS[S''d],MATCH(COND_INTERSTICIAL[[#This Row],[Sección]]&amp;"-"&amp;COND_INTERSTICIAL[[#This Row],[Capa]],SECCIONES_CAPAS[llave],0))</f>
        <v>0</v>
      </c>
      <c r="DE120" s="90" t="e">
        <f ca="1">IF(COND_INTERSTICIAL[[#This Row],[ϴn]]&gt;=0,610.5*EXP((17.269*COND_INTERSTICIAL[[#This Row],[ϴn]])/(237.3+COND_INTERSTICIAL[[#This Row],[ϴn]])),610.5*EXP((21.875*COND_INTERSTICIAL[[#This Row],[ϴn]])/(265.5+COND_INTERSTICIAL[[#This Row],[ϴn]])))</f>
        <v>#N/A</v>
      </c>
      <c r="DF120" s="90" t="e" cm="1">
        <f t="array" aca="1" ref="DF120" ca="1">COND_INTERSTICIAL[[#This Row],[S''d]]*((INDEX(CLIMA[Pi],COND_INTERSTICIAL[[#This Row],[Mes]])-INDEX(CLIMA[Pe],COND_INTERSTICIAL[[#This Row],[Mes]]))/INDEX(SECCIONES[SdT],COND_INTERSTICIAL[[#This Row],[Sección]]))+INDEX(CLIMA[Pe],COND_INTERSTICIAL[[#This Row],[Mes]])</f>
        <v>#N/A</v>
      </c>
      <c r="DG120" s="108" t="e">
        <f ca="1">IF((COND_INTERSTICIAL[[#This Row],[Pn]]&gt;=COND_INTERSTICIAL[[#This Row],[Psat]]),TRUE,FALSE)</f>
        <v>#N/A</v>
      </c>
      <c r="DH120" s="109" t="e" cm="1">
        <f t="array" aca="1" ref="DH120" ca="1">IF(COND_INTERSTICIAL[[#This Row],[Condensa]],COND_INTERSTICIAL[[#This Row],[Psat]],IF(COND_INTERSTICIAL[[#This Row],[Capa]]=N_capas,COND_INTERSTICIAL[[#This Row],[Pn]],""))</f>
        <v>#N/A</v>
      </c>
      <c r="DI120" s="109" t="e">
        <f ca="1">COND_INTERSTICIAL[[#This Row],[Mes]]&amp;"-"&amp;COND_INTERSTICIAL[[#This Row],[Sección]]&amp;"-"&amp;COND_INTERSTICIAL[[#This Row],[tramo cond]]</f>
        <v>#N/A</v>
      </c>
      <c r="DJ120" t="e" cm="1">
        <f t="array" aca="1" ref="DJ120" ca="1">IF(COND_INTERSTICIAL[[#This Row],[Capa]]=1,IF(COND_INTERSTICIAL[[#This Row],[Condensa]],2,1),IF(COND_INTERSTICIAL[[#This Row],[Condensa]],1,0)+INDIRECT(ADDRESS(ROW()-1,COLUMN(),4)))</f>
        <v>#N/A</v>
      </c>
      <c r="DK120" s="108" t="e" cm="1">
        <f t="array" aca="1" ref="DK120" ca="1">IF(COND_INTERSTICIAL[[#This Row],[tramo cond]]=1,0,IF((COND_INTERSTICIAL[[#This Row],[tramo cond]]&gt;INDIRECT(ADDRESS(ROW()-1,COLUMN(COND_INTERSTICIAL[[#This Row],[tramo cond]]),4)))+COND_INTERSTICIAL[[#This Row],[Condensa]],COND_INTERSTICIAL[[#This Row],[Capa]],INDIRECT(ADDRESS(ROW()-1,COLUMN(),4))))</f>
        <v>#N/A</v>
      </c>
      <c r="DL120" s="108" t="e" cm="1">
        <f t="array" aca="1" ref="DL120" ca="1">IF((COND_INTERSTICIAL[[#This Row],[Capa]]=N_capas)+(COND_INTERSTICIAL[[#This Row],[tramo cond]]=COUNTIFS(COND_INTERSTICIAL[Condensa],TRUE,COND_INTERSTICIAL[Mes],CW120,COND_INTERSTICIAL[Sección],CX120)+1),N_capas,INDEX(COND_INTERSTICIAL[capa lím inf cond],MATCH(COND_INTERSTICIAL[[#This Row],[Mes]]&amp;"-"&amp;COND_INTERSTICIAL[[#This Row],[Sección]]&amp;"-"&amp;(COND_INTERSTICIAL[[#This Row],[tramo cond]]+1),COND_INTERSTICIAL[llave tramo cond],0)))</f>
        <v>#N/A</v>
      </c>
      <c r="DM120" s="108" cm="1">
        <f t="array" aca="1" ref="DM12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0" s="110" t="e" cm="1">
        <f t="array" aca="1" ref="DN12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0" s="107" t="e">
        <f ca="1">COND_INTERSTICIAL[[#This Row],[gc]]+COND_INTERSTICIAL[[#This Row],[Ma_anterior cond]]</f>
        <v>#N/A</v>
      </c>
      <c r="DQ120" s="113" t="e">
        <f ca="1">IF((COND_INTERSTICIAL[[#This Row],[Ma_anterior cond]]&gt;0)*NOT(COND_INTERSTICIAL[[#This Row],[Condensa]]),TRUE,FALSE)</f>
        <v>#N/A</v>
      </c>
      <c r="DR120" s="112" t="e" cm="1">
        <f t="array" aca="1" ref="DR120" ca="1">IF(COND_INTERSTICIAL[[#This Row],[evapora]],COND_INTERSTICIAL[[#This Row],[Psat]],IF(COND_INTERSTICIAL[[#This Row],[Capa]]=N_capas,COND_INTERSTICIAL[[#This Row],[Pn]],""))</f>
        <v>#N/A</v>
      </c>
      <c r="DS120" s="112" t="e">
        <f ca="1">COND_INTERSTICIAL[[#This Row],[Mes]]&amp;"-"&amp;COND_INTERSTICIAL[[#This Row],[Sección]]&amp;"-"&amp;COND_INTERSTICIAL[[#This Row],[tramo ev]]</f>
        <v>#N/A</v>
      </c>
      <c r="DT120" s="111" t="e" cm="1">
        <f t="array" aca="1" ref="DT120" ca="1">IF(COND_INTERSTICIAL[[#This Row],[Capa]]=1,IF(COND_INTERSTICIAL[[#This Row],[evapora]],2,1),IF(COND_INTERSTICIAL[[#This Row],[evapora]],1,0)+INDIRECT(ADDRESS(ROW()-1,COLUMN(),4)))</f>
        <v>#N/A</v>
      </c>
      <c r="DU120" s="111" t="e" cm="1">
        <f t="array" aca="1" ref="DU120" ca="1">IF(COND_INTERSTICIAL[[#This Row],[tramo ev]]=1,0,IF((COND_INTERSTICIAL[[#This Row],[tramo ev]]&gt;INDIRECT(ADDRESS(ROW()-1,COLUMN(COND_INTERSTICIAL[[#This Row],[tramo ev]]),4)))+COND_INTERSTICIAL[[#This Row],[evapora]],COND_INTERSTICIAL[[#This Row],[Capa]],INDIRECT(ADDRESS(ROW()-1,COLUMN(),4))))</f>
        <v>#N/A</v>
      </c>
      <c r="DV120" s="111" t="e" cm="1">
        <f t="array" aca="1" ref="DV120" ca="1">IF((COND_INTERSTICIAL[[#This Row],[Capa]]=N_capas)+(COND_INTERSTICIAL[[#This Row],[tramo ev]]=COUNTIFS(COND_INTERSTICIAL[evapora],TRUE,COND_INTERSTICIAL[Mes],CW120,COND_INTERSTICIAL[Sección],CX120)+1),N_capas,INDEX(COND_INTERSTICIAL[capa lím inf ev],MATCH(COND_INTERSTICIAL[[#This Row],[Mes]]&amp;"-"&amp;COND_INTERSTICIAL[[#This Row],[Sección]]&amp;"-"&amp;(COND_INTERSTICIAL[[#This Row],[tramo ev]]+1),COND_INTERSTICIAL[llave tramo ev],0)))</f>
        <v>#N/A</v>
      </c>
      <c r="DW120" s="111" cm="1">
        <f t="array" aca="1" ref="DW12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0" s="113" t="e" cm="1">
        <f t="array" aca="1" ref="DX12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0" s="113" t="e">
        <f ca="1">COND_INTERSTICIAL[[#This Row],[gev]]+COND_INTERSTICIAL[[#This Row],[Ma anterior ev]]</f>
        <v>#N/A</v>
      </c>
      <c r="EA120" s="115" t="e">
        <f ca="1">IF(COND_INTERSTICIAL[[#This Row],[Ma cond]]+COND_INTERSTICIAL[[#This Row],[Ma ev]]&lt;=0,0,COND_INTERSTICIAL[[#This Row],[Ma cond]]+COND_INTERSTICIAL[[#This Row],[Ma ev]])</f>
        <v>#N/A</v>
      </c>
      <c r="EB120" s="115" t="e">
        <f ca="1">IF(COND_INTERSTICIAL[[#This Row],[Ma]]&gt;0,TRUE,FALSE)</f>
        <v>#N/A</v>
      </c>
      <c r="EC120" s="115" t="e" cm="1">
        <f t="array" aca="1" ref="EC120" ca="1">IF(COND_INTERSTICIAL[[#This Row],[agua líquida]],IF(COND_INTERSTICIAL[[#This Row],[Condensa]],COND_INTERSTICIAL[[#This Row],[P límite cond]],COND_INTERSTICIAL[[#This Row],[P límite ev]]),IF(COND_INTERSTICIAL[[#This Row],[Capa]]=N_capas,COND_INTERSTICIAL[[#This Row],[Pn]],""))</f>
        <v>#N/A</v>
      </c>
      <c r="ED120" s="115" t="e">
        <f ca="1">COND_INTERSTICIAL[[#This Row],[Mes]]&amp;"-"&amp;COND_INTERSTICIAL[[#This Row],[Sección]]&amp;"-"&amp;COND_INTERSTICIAL[[#This Row],[tramo gráf]]</f>
        <v>#N/A</v>
      </c>
      <c r="EE120" s="114" t="e" cm="1">
        <f t="array" aca="1" ref="EE120" ca="1">IF(COND_INTERSTICIAL[[#This Row],[Capa]]=1,IF(COND_INTERSTICIAL[[#This Row],[agua líquida]],2,1),IF(COND_INTERSTICIAL[[#This Row],[agua líquida]],1,0)+INDIRECT(ADDRESS(ROW()-1,COLUMN(),4)))</f>
        <v>#N/A</v>
      </c>
      <c r="EF120" s="114" t="e" cm="1">
        <f t="array" aca="1" ref="EF120" ca="1">IF(COND_INTERSTICIAL[[#This Row],[tramo gráf]]=1,0,IF((COND_INTERSTICIAL[[#This Row],[tramo gráf]]&gt;INDIRECT(ADDRESS(ROW()-1,COLUMN(COND_INTERSTICIAL[[#This Row],[tramo gráf]]),4)))+COND_INTERSTICIAL[[#This Row],[agua líquida]],COND_INTERSTICIAL[[#This Row],[Capa]],INDIRECT(ADDRESS(ROW()-1,COLUMN(),4))))</f>
        <v>#N/A</v>
      </c>
      <c r="EG120" s="114" t="e" cm="1">
        <f t="array" aca="1" ref="EG120" ca="1">IF((COND_INTERSTICIAL[[#This Row],[Capa]]=N_capas)+(COND_INTERSTICIAL[[#This Row],[tramo gráf]]=COUNTIFS(COND_INTERSTICIAL[agua líquida],TRUE,COND_INTERSTICIAL[Mes],CW120,COND_INTERSTICIAL[Sección],CX120)+1),N_capas,INDEX(COND_INTERSTICIAL[capa lím inf gráf],MATCH(COND_INTERSTICIAL[[#This Row],[Mes]]&amp;"-"&amp;COND_INTERSTICIAL[[#This Row],[Sección]]&amp;"-"&amp;(COND_INTERSTICIAL[[#This Row],[tramo gráf]]+1),COND_INTERSTICIAL[llave tramo gráf],0)))</f>
        <v>#N/A</v>
      </c>
      <c r="EH120" s="114" cm="1">
        <f t="array" aca="1" ref="EH12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0" s="116" t="e" cm="1">
        <f t="array" aca="1" ref="EI12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1" spans="101:139" x14ac:dyDescent="0.45">
      <c r="CW121" s="1" cm="1">
        <f t="array" ref="CW121">ROUNDUP((ROW()-$CN$18+(Mes_inicial_de_análisis-1)*N_capas*N_secciones)/(N_capas*N_secciones),0)-12*IF(ROW()-$CN$18&gt;(12-Mes_inicial_de_análisis+1)*N_capas*N_secciones,1,0)</f>
        <v>2</v>
      </c>
      <c r="CX121" cm="1">
        <f t="array" ref="CX121">ROUNDUP((ROW()-$CN$18)/N_capas-(ROUNDUP((ROW()-$CN$18)/(N_capas*N_secciones),0)-1)*N_secciones,0)</f>
        <v>1</v>
      </c>
      <c r="CY121" cm="1">
        <f t="array" ref="CY121">(ROW()-$CN$18)-(COND_INTERSTICIAL[[#This Row],[Sección]]-1)*N_capas-(ROUNDUP((ROW()-$CN$18)/(N_capas*N_secciones),0)-1)*N_capas*N_secciones</f>
        <v>4</v>
      </c>
      <c r="CZ121" t="str">
        <f>COND_INTERSTICIAL[[#This Row],[Mes]]&amp;"-"&amp;COND_INTERSTICIAL[[#This Row],[Sección]]&amp;"-"&amp;COND_INTERSTICIAL[[#This Row],[Capa]]</f>
        <v>2-1-4</v>
      </c>
      <c r="DA121">
        <f ca="1">INDEX(SECCIONES_CAPAS[R''n],MATCH(COND_INTERSTICIAL[[#This Row],[Sección]]&amp;"-"&amp;COND_INTERSTICIAL[[#This Row],[Capa]],SECCIONES_CAPAS[llave],0))</f>
        <v>0.04</v>
      </c>
      <c r="DB121" s="172" t="e" cm="1">
        <f t="array" aca="1" ref="DB121" ca="1">INDEX(CLIMA[ϴe],COND_INTERSTICIAL[[#This Row],[Mes]])+COND_INTERSTICIAL[[#This Row],[Rn]]*(INDEX(CLIMA[ϴi],COND_INTERSTICIAL[[#This Row],[Mes]])-INDEX(CLIMA[ϴe],COND_INTERSTICIAL[[#This Row],[Mes]]))/(INDEX(SECCIONES[Rtsección_condensación],COND_INTERSTICIAL[[#This Row],[Sección]]))</f>
        <v>#N/A</v>
      </c>
      <c r="DC121">
        <f>INDEX(SECCIONES_CAPAS[Sd],MATCH(COND_INTERSTICIAL[[#This Row],[Sección]]&amp;"-"&amp;COND_INTERSTICIAL[[#This Row],[Capa]],SECCIONES_CAPAS[llave],0))</f>
        <v>0</v>
      </c>
      <c r="DD121">
        <f ca="1">INDEX(SECCIONES_CAPAS[S''d],MATCH(COND_INTERSTICIAL[[#This Row],[Sección]]&amp;"-"&amp;COND_INTERSTICIAL[[#This Row],[Capa]],SECCIONES_CAPAS[llave],0))</f>
        <v>0</v>
      </c>
      <c r="DE121" s="90" t="e">
        <f ca="1">IF(COND_INTERSTICIAL[[#This Row],[ϴn]]&gt;=0,610.5*EXP((17.269*COND_INTERSTICIAL[[#This Row],[ϴn]])/(237.3+COND_INTERSTICIAL[[#This Row],[ϴn]])),610.5*EXP((21.875*COND_INTERSTICIAL[[#This Row],[ϴn]])/(265.5+COND_INTERSTICIAL[[#This Row],[ϴn]])))</f>
        <v>#N/A</v>
      </c>
      <c r="DF121" s="90" t="e" cm="1">
        <f t="array" aca="1" ref="DF121" ca="1">COND_INTERSTICIAL[[#This Row],[S''d]]*((INDEX(CLIMA[Pi],COND_INTERSTICIAL[[#This Row],[Mes]])-INDEX(CLIMA[Pe],COND_INTERSTICIAL[[#This Row],[Mes]]))/INDEX(SECCIONES[SdT],COND_INTERSTICIAL[[#This Row],[Sección]]))+INDEX(CLIMA[Pe],COND_INTERSTICIAL[[#This Row],[Mes]])</f>
        <v>#N/A</v>
      </c>
      <c r="DG121" s="108" t="e">
        <f ca="1">IF((COND_INTERSTICIAL[[#This Row],[Pn]]&gt;=COND_INTERSTICIAL[[#This Row],[Psat]]),TRUE,FALSE)</f>
        <v>#N/A</v>
      </c>
      <c r="DH121" s="109" t="e" cm="1">
        <f t="array" aca="1" ref="DH121" ca="1">IF(COND_INTERSTICIAL[[#This Row],[Condensa]],COND_INTERSTICIAL[[#This Row],[Psat]],IF(COND_INTERSTICIAL[[#This Row],[Capa]]=N_capas,COND_INTERSTICIAL[[#This Row],[Pn]],""))</f>
        <v>#N/A</v>
      </c>
      <c r="DI121" s="109" t="e">
        <f ca="1">COND_INTERSTICIAL[[#This Row],[Mes]]&amp;"-"&amp;COND_INTERSTICIAL[[#This Row],[Sección]]&amp;"-"&amp;COND_INTERSTICIAL[[#This Row],[tramo cond]]</f>
        <v>#N/A</v>
      </c>
      <c r="DJ121" t="e" cm="1">
        <f t="array" aca="1" ref="DJ121" ca="1">IF(COND_INTERSTICIAL[[#This Row],[Capa]]=1,IF(COND_INTERSTICIAL[[#This Row],[Condensa]],2,1),IF(COND_INTERSTICIAL[[#This Row],[Condensa]],1,0)+INDIRECT(ADDRESS(ROW()-1,COLUMN(),4)))</f>
        <v>#N/A</v>
      </c>
      <c r="DK121" s="108" t="e" cm="1">
        <f t="array" aca="1" ref="DK121" ca="1">IF(COND_INTERSTICIAL[[#This Row],[tramo cond]]=1,0,IF((COND_INTERSTICIAL[[#This Row],[tramo cond]]&gt;INDIRECT(ADDRESS(ROW()-1,COLUMN(COND_INTERSTICIAL[[#This Row],[tramo cond]]),4)))+COND_INTERSTICIAL[[#This Row],[Condensa]],COND_INTERSTICIAL[[#This Row],[Capa]],INDIRECT(ADDRESS(ROW()-1,COLUMN(),4))))</f>
        <v>#N/A</v>
      </c>
      <c r="DL121" s="108" t="e" cm="1">
        <f t="array" aca="1" ref="DL121" ca="1">IF((COND_INTERSTICIAL[[#This Row],[Capa]]=N_capas)+(COND_INTERSTICIAL[[#This Row],[tramo cond]]=COUNTIFS(COND_INTERSTICIAL[Condensa],TRUE,COND_INTERSTICIAL[Mes],CW121,COND_INTERSTICIAL[Sección],CX121)+1),N_capas,INDEX(COND_INTERSTICIAL[capa lím inf cond],MATCH(COND_INTERSTICIAL[[#This Row],[Mes]]&amp;"-"&amp;COND_INTERSTICIAL[[#This Row],[Sección]]&amp;"-"&amp;(COND_INTERSTICIAL[[#This Row],[tramo cond]]+1),COND_INTERSTICIAL[llave tramo cond],0)))</f>
        <v>#N/A</v>
      </c>
      <c r="DM121" s="108" cm="1">
        <f t="array" aca="1" ref="DM12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1" s="110" t="e" cm="1">
        <f t="array" aca="1" ref="DN12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1" s="107" t="e">
        <f ca="1">COND_INTERSTICIAL[[#This Row],[gc]]+COND_INTERSTICIAL[[#This Row],[Ma_anterior cond]]</f>
        <v>#N/A</v>
      </c>
      <c r="DQ121" s="113" t="e">
        <f ca="1">IF((COND_INTERSTICIAL[[#This Row],[Ma_anterior cond]]&gt;0)*NOT(COND_INTERSTICIAL[[#This Row],[Condensa]]),TRUE,FALSE)</f>
        <v>#N/A</v>
      </c>
      <c r="DR121" s="112" t="e" cm="1">
        <f t="array" aca="1" ref="DR121" ca="1">IF(COND_INTERSTICIAL[[#This Row],[evapora]],COND_INTERSTICIAL[[#This Row],[Psat]],IF(COND_INTERSTICIAL[[#This Row],[Capa]]=N_capas,COND_INTERSTICIAL[[#This Row],[Pn]],""))</f>
        <v>#N/A</v>
      </c>
      <c r="DS121" s="112" t="e">
        <f ca="1">COND_INTERSTICIAL[[#This Row],[Mes]]&amp;"-"&amp;COND_INTERSTICIAL[[#This Row],[Sección]]&amp;"-"&amp;COND_INTERSTICIAL[[#This Row],[tramo ev]]</f>
        <v>#N/A</v>
      </c>
      <c r="DT121" s="111" t="e" cm="1">
        <f t="array" aca="1" ref="DT121" ca="1">IF(COND_INTERSTICIAL[[#This Row],[Capa]]=1,IF(COND_INTERSTICIAL[[#This Row],[evapora]],2,1),IF(COND_INTERSTICIAL[[#This Row],[evapora]],1,0)+INDIRECT(ADDRESS(ROW()-1,COLUMN(),4)))</f>
        <v>#N/A</v>
      </c>
      <c r="DU121" s="111" t="e" cm="1">
        <f t="array" aca="1" ref="DU121" ca="1">IF(COND_INTERSTICIAL[[#This Row],[tramo ev]]=1,0,IF((COND_INTERSTICIAL[[#This Row],[tramo ev]]&gt;INDIRECT(ADDRESS(ROW()-1,COLUMN(COND_INTERSTICIAL[[#This Row],[tramo ev]]),4)))+COND_INTERSTICIAL[[#This Row],[evapora]],COND_INTERSTICIAL[[#This Row],[Capa]],INDIRECT(ADDRESS(ROW()-1,COLUMN(),4))))</f>
        <v>#N/A</v>
      </c>
      <c r="DV121" s="111" t="e" cm="1">
        <f t="array" aca="1" ref="DV121" ca="1">IF((COND_INTERSTICIAL[[#This Row],[Capa]]=N_capas)+(COND_INTERSTICIAL[[#This Row],[tramo ev]]=COUNTIFS(COND_INTERSTICIAL[evapora],TRUE,COND_INTERSTICIAL[Mes],CW121,COND_INTERSTICIAL[Sección],CX121)+1),N_capas,INDEX(COND_INTERSTICIAL[capa lím inf ev],MATCH(COND_INTERSTICIAL[[#This Row],[Mes]]&amp;"-"&amp;COND_INTERSTICIAL[[#This Row],[Sección]]&amp;"-"&amp;(COND_INTERSTICIAL[[#This Row],[tramo ev]]+1),COND_INTERSTICIAL[llave tramo ev],0)))</f>
        <v>#N/A</v>
      </c>
      <c r="DW121" s="111" cm="1">
        <f t="array" aca="1" ref="DW12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1" s="113" t="e" cm="1">
        <f t="array" aca="1" ref="DX12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1" s="113" t="e">
        <f ca="1">COND_INTERSTICIAL[[#This Row],[gev]]+COND_INTERSTICIAL[[#This Row],[Ma anterior ev]]</f>
        <v>#N/A</v>
      </c>
      <c r="EA121" s="115" t="e">
        <f ca="1">IF(COND_INTERSTICIAL[[#This Row],[Ma cond]]+COND_INTERSTICIAL[[#This Row],[Ma ev]]&lt;=0,0,COND_INTERSTICIAL[[#This Row],[Ma cond]]+COND_INTERSTICIAL[[#This Row],[Ma ev]])</f>
        <v>#N/A</v>
      </c>
      <c r="EB121" s="115" t="e">
        <f ca="1">IF(COND_INTERSTICIAL[[#This Row],[Ma]]&gt;0,TRUE,FALSE)</f>
        <v>#N/A</v>
      </c>
      <c r="EC121" s="115" t="e" cm="1">
        <f t="array" aca="1" ref="EC121" ca="1">IF(COND_INTERSTICIAL[[#This Row],[agua líquida]],IF(COND_INTERSTICIAL[[#This Row],[Condensa]],COND_INTERSTICIAL[[#This Row],[P límite cond]],COND_INTERSTICIAL[[#This Row],[P límite ev]]),IF(COND_INTERSTICIAL[[#This Row],[Capa]]=N_capas,COND_INTERSTICIAL[[#This Row],[Pn]],""))</f>
        <v>#N/A</v>
      </c>
      <c r="ED121" s="115" t="e">
        <f ca="1">COND_INTERSTICIAL[[#This Row],[Mes]]&amp;"-"&amp;COND_INTERSTICIAL[[#This Row],[Sección]]&amp;"-"&amp;COND_INTERSTICIAL[[#This Row],[tramo gráf]]</f>
        <v>#N/A</v>
      </c>
      <c r="EE121" s="114" t="e" cm="1">
        <f t="array" aca="1" ref="EE121" ca="1">IF(COND_INTERSTICIAL[[#This Row],[Capa]]=1,IF(COND_INTERSTICIAL[[#This Row],[agua líquida]],2,1),IF(COND_INTERSTICIAL[[#This Row],[agua líquida]],1,0)+INDIRECT(ADDRESS(ROW()-1,COLUMN(),4)))</f>
        <v>#N/A</v>
      </c>
      <c r="EF121" s="114" t="e" cm="1">
        <f t="array" aca="1" ref="EF121" ca="1">IF(COND_INTERSTICIAL[[#This Row],[tramo gráf]]=1,0,IF((COND_INTERSTICIAL[[#This Row],[tramo gráf]]&gt;INDIRECT(ADDRESS(ROW()-1,COLUMN(COND_INTERSTICIAL[[#This Row],[tramo gráf]]),4)))+COND_INTERSTICIAL[[#This Row],[agua líquida]],COND_INTERSTICIAL[[#This Row],[Capa]],INDIRECT(ADDRESS(ROW()-1,COLUMN(),4))))</f>
        <v>#N/A</v>
      </c>
      <c r="EG121" s="114" t="e" cm="1">
        <f t="array" aca="1" ref="EG121" ca="1">IF((COND_INTERSTICIAL[[#This Row],[Capa]]=N_capas)+(COND_INTERSTICIAL[[#This Row],[tramo gráf]]=COUNTIFS(COND_INTERSTICIAL[agua líquida],TRUE,COND_INTERSTICIAL[Mes],CW121,COND_INTERSTICIAL[Sección],CX121)+1),N_capas,INDEX(COND_INTERSTICIAL[capa lím inf gráf],MATCH(COND_INTERSTICIAL[[#This Row],[Mes]]&amp;"-"&amp;COND_INTERSTICIAL[[#This Row],[Sección]]&amp;"-"&amp;(COND_INTERSTICIAL[[#This Row],[tramo gráf]]+1),COND_INTERSTICIAL[llave tramo gráf],0)))</f>
        <v>#N/A</v>
      </c>
      <c r="EH121" s="114" cm="1">
        <f t="array" aca="1" ref="EH12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1" s="116" t="e" cm="1">
        <f t="array" aca="1" ref="EI12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2" spans="101:139" x14ac:dyDescent="0.45">
      <c r="CW122" s="1" cm="1">
        <f t="array" ref="CW122">ROUNDUP((ROW()-$CN$18+(Mes_inicial_de_análisis-1)*N_capas*N_secciones)/(N_capas*N_secciones),0)-12*IF(ROW()-$CN$18&gt;(12-Mes_inicial_de_análisis+1)*N_capas*N_secciones,1,0)</f>
        <v>2</v>
      </c>
      <c r="CX122" cm="1">
        <f t="array" ref="CX122">ROUNDUP((ROW()-$CN$18)/N_capas-(ROUNDUP((ROW()-$CN$18)/(N_capas*N_secciones),0)-1)*N_secciones,0)</f>
        <v>1</v>
      </c>
      <c r="CY122" cm="1">
        <f t="array" ref="CY122">(ROW()-$CN$18)-(COND_INTERSTICIAL[[#This Row],[Sección]]-1)*N_capas-(ROUNDUP((ROW()-$CN$18)/(N_capas*N_secciones),0)-1)*N_capas*N_secciones</f>
        <v>5</v>
      </c>
      <c r="CZ122" t="str">
        <f>COND_INTERSTICIAL[[#This Row],[Mes]]&amp;"-"&amp;COND_INTERSTICIAL[[#This Row],[Sección]]&amp;"-"&amp;COND_INTERSTICIAL[[#This Row],[Capa]]</f>
        <v>2-1-5</v>
      </c>
      <c r="DA122">
        <f ca="1">INDEX(SECCIONES_CAPAS[R''n],MATCH(COND_INTERSTICIAL[[#This Row],[Sección]]&amp;"-"&amp;COND_INTERSTICIAL[[#This Row],[Capa]],SECCIONES_CAPAS[llave],0))</f>
        <v>0.04</v>
      </c>
      <c r="DB122" s="172" t="e" cm="1">
        <f t="array" aca="1" ref="DB122" ca="1">INDEX(CLIMA[ϴe],COND_INTERSTICIAL[[#This Row],[Mes]])+COND_INTERSTICIAL[[#This Row],[Rn]]*(INDEX(CLIMA[ϴi],COND_INTERSTICIAL[[#This Row],[Mes]])-INDEX(CLIMA[ϴe],COND_INTERSTICIAL[[#This Row],[Mes]]))/(INDEX(SECCIONES[Rtsección_condensación],COND_INTERSTICIAL[[#This Row],[Sección]]))</f>
        <v>#N/A</v>
      </c>
      <c r="DC122">
        <f>INDEX(SECCIONES_CAPAS[Sd],MATCH(COND_INTERSTICIAL[[#This Row],[Sección]]&amp;"-"&amp;COND_INTERSTICIAL[[#This Row],[Capa]],SECCIONES_CAPAS[llave],0))</f>
        <v>0</v>
      </c>
      <c r="DD122">
        <f ca="1">INDEX(SECCIONES_CAPAS[S''d],MATCH(COND_INTERSTICIAL[[#This Row],[Sección]]&amp;"-"&amp;COND_INTERSTICIAL[[#This Row],[Capa]],SECCIONES_CAPAS[llave],0))</f>
        <v>0</v>
      </c>
      <c r="DE122" s="90" t="e">
        <f ca="1">IF(COND_INTERSTICIAL[[#This Row],[ϴn]]&gt;=0,610.5*EXP((17.269*COND_INTERSTICIAL[[#This Row],[ϴn]])/(237.3+COND_INTERSTICIAL[[#This Row],[ϴn]])),610.5*EXP((21.875*COND_INTERSTICIAL[[#This Row],[ϴn]])/(265.5+COND_INTERSTICIAL[[#This Row],[ϴn]])))</f>
        <v>#N/A</v>
      </c>
      <c r="DF122" s="90" t="e" cm="1">
        <f t="array" aca="1" ref="DF122" ca="1">COND_INTERSTICIAL[[#This Row],[S''d]]*((INDEX(CLIMA[Pi],COND_INTERSTICIAL[[#This Row],[Mes]])-INDEX(CLIMA[Pe],COND_INTERSTICIAL[[#This Row],[Mes]]))/INDEX(SECCIONES[SdT],COND_INTERSTICIAL[[#This Row],[Sección]]))+INDEX(CLIMA[Pe],COND_INTERSTICIAL[[#This Row],[Mes]])</f>
        <v>#N/A</v>
      </c>
      <c r="DG122" s="108" t="e">
        <f ca="1">IF((COND_INTERSTICIAL[[#This Row],[Pn]]&gt;=COND_INTERSTICIAL[[#This Row],[Psat]]),TRUE,FALSE)</f>
        <v>#N/A</v>
      </c>
      <c r="DH122" s="109" t="e" cm="1">
        <f t="array" aca="1" ref="DH122" ca="1">IF(COND_INTERSTICIAL[[#This Row],[Condensa]],COND_INTERSTICIAL[[#This Row],[Psat]],IF(COND_INTERSTICIAL[[#This Row],[Capa]]=N_capas,COND_INTERSTICIAL[[#This Row],[Pn]],""))</f>
        <v>#N/A</v>
      </c>
      <c r="DI122" s="109" t="e">
        <f ca="1">COND_INTERSTICIAL[[#This Row],[Mes]]&amp;"-"&amp;COND_INTERSTICIAL[[#This Row],[Sección]]&amp;"-"&amp;COND_INTERSTICIAL[[#This Row],[tramo cond]]</f>
        <v>#N/A</v>
      </c>
      <c r="DJ122" t="e" cm="1">
        <f t="array" aca="1" ref="DJ122" ca="1">IF(COND_INTERSTICIAL[[#This Row],[Capa]]=1,IF(COND_INTERSTICIAL[[#This Row],[Condensa]],2,1),IF(COND_INTERSTICIAL[[#This Row],[Condensa]],1,0)+INDIRECT(ADDRESS(ROW()-1,COLUMN(),4)))</f>
        <v>#N/A</v>
      </c>
      <c r="DK122" s="108" t="e" cm="1">
        <f t="array" aca="1" ref="DK122" ca="1">IF(COND_INTERSTICIAL[[#This Row],[tramo cond]]=1,0,IF((COND_INTERSTICIAL[[#This Row],[tramo cond]]&gt;INDIRECT(ADDRESS(ROW()-1,COLUMN(COND_INTERSTICIAL[[#This Row],[tramo cond]]),4)))+COND_INTERSTICIAL[[#This Row],[Condensa]],COND_INTERSTICIAL[[#This Row],[Capa]],INDIRECT(ADDRESS(ROW()-1,COLUMN(),4))))</f>
        <v>#N/A</v>
      </c>
      <c r="DL122" s="108" t="e" cm="1">
        <f t="array" aca="1" ref="DL122" ca="1">IF((COND_INTERSTICIAL[[#This Row],[Capa]]=N_capas)+(COND_INTERSTICIAL[[#This Row],[tramo cond]]=COUNTIFS(COND_INTERSTICIAL[Condensa],TRUE,COND_INTERSTICIAL[Mes],CW122,COND_INTERSTICIAL[Sección],CX122)+1),N_capas,INDEX(COND_INTERSTICIAL[capa lím inf cond],MATCH(COND_INTERSTICIAL[[#This Row],[Mes]]&amp;"-"&amp;COND_INTERSTICIAL[[#This Row],[Sección]]&amp;"-"&amp;(COND_INTERSTICIAL[[#This Row],[tramo cond]]+1),COND_INTERSTICIAL[llave tramo cond],0)))</f>
        <v>#N/A</v>
      </c>
      <c r="DM122" s="108" cm="1">
        <f t="array" aca="1" ref="DM12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2" s="110" t="e" cm="1">
        <f t="array" aca="1" ref="DN12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2" s="107" t="e">
        <f ca="1">COND_INTERSTICIAL[[#This Row],[gc]]+COND_INTERSTICIAL[[#This Row],[Ma_anterior cond]]</f>
        <v>#N/A</v>
      </c>
      <c r="DQ122" s="113" t="e">
        <f ca="1">IF((COND_INTERSTICIAL[[#This Row],[Ma_anterior cond]]&gt;0)*NOT(COND_INTERSTICIAL[[#This Row],[Condensa]]),TRUE,FALSE)</f>
        <v>#N/A</v>
      </c>
      <c r="DR122" s="112" t="e" cm="1">
        <f t="array" aca="1" ref="DR122" ca="1">IF(COND_INTERSTICIAL[[#This Row],[evapora]],COND_INTERSTICIAL[[#This Row],[Psat]],IF(COND_INTERSTICIAL[[#This Row],[Capa]]=N_capas,COND_INTERSTICIAL[[#This Row],[Pn]],""))</f>
        <v>#N/A</v>
      </c>
      <c r="DS122" s="112" t="e">
        <f ca="1">COND_INTERSTICIAL[[#This Row],[Mes]]&amp;"-"&amp;COND_INTERSTICIAL[[#This Row],[Sección]]&amp;"-"&amp;COND_INTERSTICIAL[[#This Row],[tramo ev]]</f>
        <v>#N/A</v>
      </c>
      <c r="DT122" s="111" t="e" cm="1">
        <f t="array" aca="1" ref="DT122" ca="1">IF(COND_INTERSTICIAL[[#This Row],[Capa]]=1,IF(COND_INTERSTICIAL[[#This Row],[evapora]],2,1),IF(COND_INTERSTICIAL[[#This Row],[evapora]],1,0)+INDIRECT(ADDRESS(ROW()-1,COLUMN(),4)))</f>
        <v>#N/A</v>
      </c>
      <c r="DU122" s="111" t="e" cm="1">
        <f t="array" aca="1" ref="DU122" ca="1">IF(COND_INTERSTICIAL[[#This Row],[tramo ev]]=1,0,IF((COND_INTERSTICIAL[[#This Row],[tramo ev]]&gt;INDIRECT(ADDRESS(ROW()-1,COLUMN(COND_INTERSTICIAL[[#This Row],[tramo ev]]),4)))+COND_INTERSTICIAL[[#This Row],[evapora]],COND_INTERSTICIAL[[#This Row],[Capa]],INDIRECT(ADDRESS(ROW()-1,COLUMN(),4))))</f>
        <v>#N/A</v>
      </c>
      <c r="DV122" s="111" t="e" cm="1">
        <f t="array" aca="1" ref="DV122" ca="1">IF((COND_INTERSTICIAL[[#This Row],[Capa]]=N_capas)+(COND_INTERSTICIAL[[#This Row],[tramo ev]]=COUNTIFS(COND_INTERSTICIAL[evapora],TRUE,COND_INTERSTICIAL[Mes],CW122,COND_INTERSTICIAL[Sección],CX122)+1),N_capas,INDEX(COND_INTERSTICIAL[capa lím inf ev],MATCH(COND_INTERSTICIAL[[#This Row],[Mes]]&amp;"-"&amp;COND_INTERSTICIAL[[#This Row],[Sección]]&amp;"-"&amp;(COND_INTERSTICIAL[[#This Row],[tramo ev]]+1),COND_INTERSTICIAL[llave tramo ev],0)))</f>
        <v>#N/A</v>
      </c>
      <c r="DW122" s="111" cm="1">
        <f t="array" aca="1" ref="DW12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2" s="113" t="e" cm="1">
        <f t="array" aca="1" ref="DX12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2" s="113" t="e">
        <f ca="1">COND_INTERSTICIAL[[#This Row],[gev]]+COND_INTERSTICIAL[[#This Row],[Ma anterior ev]]</f>
        <v>#N/A</v>
      </c>
      <c r="EA122" s="115" t="e">
        <f ca="1">IF(COND_INTERSTICIAL[[#This Row],[Ma cond]]+COND_INTERSTICIAL[[#This Row],[Ma ev]]&lt;=0,0,COND_INTERSTICIAL[[#This Row],[Ma cond]]+COND_INTERSTICIAL[[#This Row],[Ma ev]])</f>
        <v>#N/A</v>
      </c>
      <c r="EB122" s="115" t="e">
        <f ca="1">IF(COND_INTERSTICIAL[[#This Row],[Ma]]&gt;0,TRUE,FALSE)</f>
        <v>#N/A</v>
      </c>
      <c r="EC122" s="115" t="e" cm="1">
        <f t="array" aca="1" ref="EC122" ca="1">IF(COND_INTERSTICIAL[[#This Row],[agua líquida]],IF(COND_INTERSTICIAL[[#This Row],[Condensa]],COND_INTERSTICIAL[[#This Row],[P límite cond]],COND_INTERSTICIAL[[#This Row],[P límite ev]]),IF(COND_INTERSTICIAL[[#This Row],[Capa]]=N_capas,COND_INTERSTICIAL[[#This Row],[Pn]],""))</f>
        <v>#N/A</v>
      </c>
      <c r="ED122" s="115" t="e">
        <f ca="1">COND_INTERSTICIAL[[#This Row],[Mes]]&amp;"-"&amp;COND_INTERSTICIAL[[#This Row],[Sección]]&amp;"-"&amp;COND_INTERSTICIAL[[#This Row],[tramo gráf]]</f>
        <v>#N/A</v>
      </c>
      <c r="EE122" s="114" t="e" cm="1">
        <f t="array" aca="1" ref="EE122" ca="1">IF(COND_INTERSTICIAL[[#This Row],[Capa]]=1,IF(COND_INTERSTICIAL[[#This Row],[agua líquida]],2,1),IF(COND_INTERSTICIAL[[#This Row],[agua líquida]],1,0)+INDIRECT(ADDRESS(ROW()-1,COLUMN(),4)))</f>
        <v>#N/A</v>
      </c>
      <c r="EF122" s="114" t="e" cm="1">
        <f t="array" aca="1" ref="EF122" ca="1">IF(COND_INTERSTICIAL[[#This Row],[tramo gráf]]=1,0,IF((COND_INTERSTICIAL[[#This Row],[tramo gráf]]&gt;INDIRECT(ADDRESS(ROW()-1,COLUMN(COND_INTERSTICIAL[[#This Row],[tramo gráf]]),4)))+COND_INTERSTICIAL[[#This Row],[agua líquida]],COND_INTERSTICIAL[[#This Row],[Capa]],INDIRECT(ADDRESS(ROW()-1,COLUMN(),4))))</f>
        <v>#N/A</v>
      </c>
      <c r="EG122" s="114" t="e" cm="1">
        <f t="array" aca="1" ref="EG122" ca="1">IF((COND_INTERSTICIAL[[#This Row],[Capa]]=N_capas)+(COND_INTERSTICIAL[[#This Row],[tramo gráf]]=COUNTIFS(COND_INTERSTICIAL[agua líquida],TRUE,COND_INTERSTICIAL[Mes],CW122,COND_INTERSTICIAL[Sección],CX122)+1),N_capas,INDEX(COND_INTERSTICIAL[capa lím inf gráf],MATCH(COND_INTERSTICIAL[[#This Row],[Mes]]&amp;"-"&amp;COND_INTERSTICIAL[[#This Row],[Sección]]&amp;"-"&amp;(COND_INTERSTICIAL[[#This Row],[tramo gráf]]+1),COND_INTERSTICIAL[llave tramo gráf],0)))</f>
        <v>#N/A</v>
      </c>
      <c r="EH122" s="114" cm="1">
        <f t="array" aca="1" ref="EH12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2" s="116" t="e" cm="1">
        <f t="array" aca="1" ref="EI12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3" spans="101:139" x14ac:dyDescent="0.45">
      <c r="CW123" s="1" cm="1">
        <f t="array" ref="CW123">ROUNDUP((ROW()-$CN$18+(Mes_inicial_de_análisis-1)*N_capas*N_secciones)/(N_capas*N_secciones),0)-12*IF(ROW()-$CN$18&gt;(12-Mes_inicial_de_análisis+1)*N_capas*N_secciones,1,0)</f>
        <v>2</v>
      </c>
      <c r="CX123" cm="1">
        <f t="array" ref="CX123">ROUNDUP((ROW()-$CN$18)/N_capas-(ROUNDUP((ROW()-$CN$18)/(N_capas*N_secciones),0)-1)*N_secciones,0)</f>
        <v>1</v>
      </c>
      <c r="CY123" cm="1">
        <f t="array" ref="CY123">(ROW()-$CN$18)-(COND_INTERSTICIAL[[#This Row],[Sección]]-1)*N_capas-(ROUNDUP((ROW()-$CN$18)/(N_capas*N_secciones),0)-1)*N_capas*N_secciones</f>
        <v>6</v>
      </c>
      <c r="CZ123" t="str">
        <f>COND_INTERSTICIAL[[#This Row],[Mes]]&amp;"-"&amp;COND_INTERSTICIAL[[#This Row],[Sección]]&amp;"-"&amp;COND_INTERSTICIAL[[#This Row],[Capa]]</f>
        <v>2-1-6</v>
      </c>
      <c r="DA123">
        <f ca="1">INDEX(SECCIONES_CAPAS[R''n],MATCH(COND_INTERSTICIAL[[#This Row],[Sección]]&amp;"-"&amp;COND_INTERSTICIAL[[#This Row],[Capa]],SECCIONES_CAPAS[llave],0))</f>
        <v>0.04</v>
      </c>
      <c r="DB123" s="172" t="e" cm="1">
        <f t="array" aca="1" ref="DB123" ca="1">INDEX(CLIMA[ϴe],COND_INTERSTICIAL[[#This Row],[Mes]])+COND_INTERSTICIAL[[#This Row],[Rn]]*(INDEX(CLIMA[ϴi],COND_INTERSTICIAL[[#This Row],[Mes]])-INDEX(CLIMA[ϴe],COND_INTERSTICIAL[[#This Row],[Mes]]))/(INDEX(SECCIONES[Rtsección_condensación],COND_INTERSTICIAL[[#This Row],[Sección]]))</f>
        <v>#N/A</v>
      </c>
      <c r="DC123">
        <f>INDEX(SECCIONES_CAPAS[Sd],MATCH(COND_INTERSTICIAL[[#This Row],[Sección]]&amp;"-"&amp;COND_INTERSTICIAL[[#This Row],[Capa]],SECCIONES_CAPAS[llave],0))</f>
        <v>0</v>
      </c>
      <c r="DD123">
        <f ca="1">INDEX(SECCIONES_CAPAS[S''d],MATCH(COND_INTERSTICIAL[[#This Row],[Sección]]&amp;"-"&amp;COND_INTERSTICIAL[[#This Row],[Capa]],SECCIONES_CAPAS[llave],0))</f>
        <v>0</v>
      </c>
      <c r="DE123" s="90" t="e">
        <f ca="1">IF(COND_INTERSTICIAL[[#This Row],[ϴn]]&gt;=0,610.5*EXP((17.269*COND_INTERSTICIAL[[#This Row],[ϴn]])/(237.3+COND_INTERSTICIAL[[#This Row],[ϴn]])),610.5*EXP((21.875*COND_INTERSTICIAL[[#This Row],[ϴn]])/(265.5+COND_INTERSTICIAL[[#This Row],[ϴn]])))</f>
        <v>#N/A</v>
      </c>
      <c r="DF123" s="90" t="e" cm="1">
        <f t="array" aca="1" ref="DF123" ca="1">COND_INTERSTICIAL[[#This Row],[S''d]]*((INDEX(CLIMA[Pi],COND_INTERSTICIAL[[#This Row],[Mes]])-INDEX(CLIMA[Pe],COND_INTERSTICIAL[[#This Row],[Mes]]))/INDEX(SECCIONES[SdT],COND_INTERSTICIAL[[#This Row],[Sección]]))+INDEX(CLIMA[Pe],COND_INTERSTICIAL[[#This Row],[Mes]])</f>
        <v>#N/A</v>
      </c>
      <c r="DG123" s="108" t="e">
        <f ca="1">IF((COND_INTERSTICIAL[[#This Row],[Pn]]&gt;=COND_INTERSTICIAL[[#This Row],[Psat]]),TRUE,FALSE)</f>
        <v>#N/A</v>
      </c>
      <c r="DH123" s="109" t="e" cm="1">
        <f t="array" aca="1" ref="DH123" ca="1">IF(COND_INTERSTICIAL[[#This Row],[Condensa]],COND_INTERSTICIAL[[#This Row],[Psat]],IF(COND_INTERSTICIAL[[#This Row],[Capa]]=N_capas,COND_INTERSTICIAL[[#This Row],[Pn]],""))</f>
        <v>#N/A</v>
      </c>
      <c r="DI123" s="109" t="e">
        <f ca="1">COND_INTERSTICIAL[[#This Row],[Mes]]&amp;"-"&amp;COND_INTERSTICIAL[[#This Row],[Sección]]&amp;"-"&amp;COND_INTERSTICIAL[[#This Row],[tramo cond]]</f>
        <v>#N/A</v>
      </c>
      <c r="DJ123" t="e" cm="1">
        <f t="array" aca="1" ref="DJ123" ca="1">IF(COND_INTERSTICIAL[[#This Row],[Capa]]=1,IF(COND_INTERSTICIAL[[#This Row],[Condensa]],2,1),IF(COND_INTERSTICIAL[[#This Row],[Condensa]],1,0)+INDIRECT(ADDRESS(ROW()-1,COLUMN(),4)))</f>
        <v>#N/A</v>
      </c>
      <c r="DK123" s="108" t="e" cm="1">
        <f t="array" aca="1" ref="DK123" ca="1">IF(COND_INTERSTICIAL[[#This Row],[tramo cond]]=1,0,IF((COND_INTERSTICIAL[[#This Row],[tramo cond]]&gt;INDIRECT(ADDRESS(ROW()-1,COLUMN(COND_INTERSTICIAL[[#This Row],[tramo cond]]),4)))+COND_INTERSTICIAL[[#This Row],[Condensa]],COND_INTERSTICIAL[[#This Row],[Capa]],INDIRECT(ADDRESS(ROW()-1,COLUMN(),4))))</f>
        <v>#N/A</v>
      </c>
      <c r="DL123" s="108" t="e" cm="1">
        <f t="array" aca="1" ref="DL123" ca="1">IF((COND_INTERSTICIAL[[#This Row],[Capa]]=N_capas)+(COND_INTERSTICIAL[[#This Row],[tramo cond]]=COUNTIFS(COND_INTERSTICIAL[Condensa],TRUE,COND_INTERSTICIAL[Mes],CW123,COND_INTERSTICIAL[Sección],CX123)+1),N_capas,INDEX(COND_INTERSTICIAL[capa lím inf cond],MATCH(COND_INTERSTICIAL[[#This Row],[Mes]]&amp;"-"&amp;COND_INTERSTICIAL[[#This Row],[Sección]]&amp;"-"&amp;(COND_INTERSTICIAL[[#This Row],[tramo cond]]+1),COND_INTERSTICIAL[llave tramo cond],0)))</f>
        <v>#N/A</v>
      </c>
      <c r="DM123" s="108" cm="1">
        <f t="array" aca="1" ref="DM12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3" s="110" t="e" cm="1">
        <f t="array" aca="1" ref="DN12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3" s="107" t="e">
        <f ca="1">COND_INTERSTICIAL[[#This Row],[gc]]+COND_INTERSTICIAL[[#This Row],[Ma_anterior cond]]</f>
        <v>#N/A</v>
      </c>
      <c r="DQ123" s="113" t="e">
        <f ca="1">IF((COND_INTERSTICIAL[[#This Row],[Ma_anterior cond]]&gt;0)*NOT(COND_INTERSTICIAL[[#This Row],[Condensa]]),TRUE,FALSE)</f>
        <v>#N/A</v>
      </c>
      <c r="DR123" s="112" t="e" cm="1">
        <f t="array" aca="1" ref="DR123" ca="1">IF(COND_INTERSTICIAL[[#This Row],[evapora]],COND_INTERSTICIAL[[#This Row],[Psat]],IF(COND_INTERSTICIAL[[#This Row],[Capa]]=N_capas,COND_INTERSTICIAL[[#This Row],[Pn]],""))</f>
        <v>#N/A</v>
      </c>
      <c r="DS123" s="112" t="e">
        <f ca="1">COND_INTERSTICIAL[[#This Row],[Mes]]&amp;"-"&amp;COND_INTERSTICIAL[[#This Row],[Sección]]&amp;"-"&amp;COND_INTERSTICIAL[[#This Row],[tramo ev]]</f>
        <v>#N/A</v>
      </c>
      <c r="DT123" s="111" t="e" cm="1">
        <f t="array" aca="1" ref="DT123" ca="1">IF(COND_INTERSTICIAL[[#This Row],[Capa]]=1,IF(COND_INTERSTICIAL[[#This Row],[evapora]],2,1),IF(COND_INTERSTICIAL[[#This Row],[evapora]],1,0)+INDIRECT(ADDRESS(ROW()-1,COLUMN(),4)))</f>
        <v>#N/A</v>
      </c>
      <c r="DU123" s="111" t="e" cm="1">
        <f t="array" aca="1" ref="DU123" ca="1">IF(COND_INTERSTICIAL[[#This Row],[tramo ev]]=1,0,IF((COND_INTERSTICIAL[[#This Row],[tramo ev]]&gt;INDIRECT(ADDRESS(ROW()-1,COLUMN(COND_INTERSTICIAL[[#This Row],[tramo ev]]),4)))+COND_INTERSTICIAL[[#This Row],[evapora]],COND_INTERSTICIAL[[#This Row],[Capa]],INDIRECT(ADDRESS(ROW()-1,COLUMN(),4))))</f>
        <v>#N/A</v>
      </c>
      <c r="DV123" s="111" t="e" cm="1">
        <f t="array" aca="1" ref="DV123" ca="1">IF((COND_INTERSTICIAL[[#This Row],[Capa]]=N_capas)+(COND_INTERSTICIAL[[#This Row],[tramo ev]]=COUNTIFS(COND_INTERSTICIAL[evapora],TRUE,COND_INTERSTICIAL[Mes],CW123,COND_INTERSTICIAL[Sección],CX123)+1),N_capas,INDEX(COND_INTERSTICIAL[capa lím inf ev],MATCH(COND_INTERSTICIAL[[#This Row],[Mes]]&amp;"-"&amp;COND_INTERSTICIAL[[#This Row],[Sección]]&amp;"-"&amp;(COND_INTERSTICIAL[[#This Row],[tramo ev]]+1),COND_INTERSTICIAL[llave tramo ev],0)))</f>
        <v>#N/A</v>
      </c>
      <c r="DW123" s="111" cm="1">
        <f t="array" aca="1" ref="DW12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3" s="113" t="e" cm="1">
        <f t="array" aca="1" ref="DX12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3" s="113" t="e">
        <f ca="1">COND_INTERSTICIAL[[#This Row],[gev]]+COND_INTERSTICIAL[[#This Row],[Ma anterior ev]]</f>
        <v>#N/A</v>
      </c>
      <c r="EA123" s="115" t="e">
        <f ca="1">IF(COND_INTERSTICIAL[[#This Row],[Ma cond]]+COND_INTERSTICIAL[[#This Row],[Ma ev]]&lt;=0,0,COND_INTERSTICIAL[[#This Row],[Ma cond]]+COND_INTERSTICIAL[[#This Row],[Ma ev]])</f>
        <v>#N/A</v>
      </c>
      <c r="EB123" s="115" t="e">
        <f ca="1">IF(COND_INTERSTICIAL[[#This Row],[Ma]]&gt;0,TRUE,FALSE)</f>
        <v>#N/A</v>
      </c>
      <c r="EC123" s="115" t="e" cm="1">
        <f t="array" aca="1" ref="EC123" ca="1">IF(COND_INTERSTICIAL[[#This Row],[agua líquida]],IF(COND_INTERSTICIAL[[#This Row],[Condensa]],COND_INTERSTICIAL[[#This Row],[P límite cond]],COND_INTERSTICIAL[[#This Row],[P límite ev]]),IF(COND_INTERSTICIAL[[#This Row],[Capa]]=N_capas,COND_INTERSTICIAL[[#This Row],[Pn]],""))</f>
        <v>#N/A</v>
      </c>
      <c r="ED123" s="115" t="e">
        <f ca="1">COND_INTERSTICIAL[[#This Row],[Mes]]&amp;"-"&amp;COND_INTERSTICIAL[[#This Row],[Sección]]&amp;"-"&amp;COND_INTERSTICIAL[[#This Row],[tramo gráf]]</f>
        <v>#N/A</v>
      </c>
      <c r="EE123" s="114" t="e" cm="1">
        <f t="array" aca="1" ref="EE123" ca="1">IF(COND_INTERSTICIAL[[#This Row],[Capa]]=1,IF(COND_INTERSTICIAL[[#This Row],[agua líquida]],2,1),IF(COND_INTERSTICIAL[[#This Row],[agua líquida]],1,0)+INDIRECT(ADDRESS(ROW()-1,COLUMN(),4)))</f>
        <v>#N/A</v>
      </c>
      <c r="EF123" s="114" t="e" cm="1">
        <f t="array" aca="1" ref="EF123" ca="1">IF(COND_INTERSTICIAL[[#This Row],[tramo gráf]]=1,0,IF((COND_INTERSTICIAL[[#This Row],[tramo gráf]]&gt;INDIRECT(ADDRESS(ROW()-1,COLUMN(COND_INTERSTICIAL[[#This Row],[tramo gráf]]),4)))+COND_INTERSTICIAL[[#This Row],[agua líquida]],COND_INTERSTICIAL[[#This Row],[Capa]],INDIRECT(ADDRESS(ROW()-1,COLUMN(),4))))</f>
        <v>#N/A</v>
      </c>
      <c r="EG123" s="114" t="e" cm="1">
        <f t="array" aca="1" ref="EG123" ca="1">IF((COND_INTERSTICIAL[[#This Row],[Capa]]=N_capas)+(COND_INTERSTICIAL[[#This Row],[tramo gráf]]=COUNTIFS(COND_INTERSTICIAL[agua líquida],TRUE,COND_INTERSTICIAL[Mes],CW123,COND_INTERSTICIAL[Sección],CX123)+1),N_capas,INDEX(COND_INTERSTICIAL[capa lím inf gráf],MATCH(COND_INTERSTICIAL[[#This Row],[Mes]]&amp;"-"&amp;COND_INTERSTICIAL[[#This Row],[Sección]]&amp;"-"&amp;(COND_INTERSTICIAL[[#This Row],[tramo gráf]]+1),COND_INTERSTICIAL[llave tramo gráf],0)))</f>
        <v>#N/A</v>
      </c>
      <c r="EH123" s="114" cm="1">
        <f t="array" aca="1" ref="EH12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3" s="116" t="e" cm="1">
        <f t="array" aca="1" ref="EI12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4" spans="101:139" x14ac:dyDescent="0.45">
      <c r="CW124" s="1" cm="1">
        <f t="array" ref="CW124">ROUNDUP((ROW()-$CN$18+(Mes_inicial_de_análisis-1)*N_capas*N_secciones)/(N_capas*N_secciones),0)-12*IF(ROW()-$CN$18&gt;(12-Mes_inicial_de_análisis+1)*N_capas*N_secciones,1,0)</f>
        <v>2</v>
      </c>
      <c r="CX124" cm="1">
        <f t="array" ref="CX124">ROUNDUP((ROW()-$CN$18)/N_capas-(ROUNDUP((ROW()-$CN$18)/(N_capas*N_secciones),0)-1)*N_secciones,0)</f>
        <v>1</v>
      </c>
      <c r="CY124" cm="1">
        <f t="array" ref="CY124">(ROW()-$CN$18)-(COND_INTERSTICIAL[[#This Row],[Sección]]-1)*N_capas-(ROUNDUP((ROW()-$CN$18)/(N_capas*N_secciones),0)-1)*N_capas*N_secciones</f>
        <v>7</v>
      </c>
      <c r="CZ124" t="str">
        <f>COND_INTERSTICIAL[[#This Row],[Mes]]&amp;"-"&amp;COND_INTERSTICIAL[[#This Row],[Sección]]&amp;"-"&amp;COND_INTERSTICIAL[[#This Row],[Capa]]</f>
        <v>2-1-7</v>
      </c>
      <c r="DA124">
        <f ca="1">INDEX(SECCIONES_CAPAS[R''n],MATCH(COND_INTERSTICIAL[[#This Row],[Sección]]&amp;"-"&amp;COND_INTERSTICIAL[[#This Row],[Capa]],SECCIONES_CAPAS[llave],0))</f>
        <v>0.04</v>
      </c>
      <c r="DB124" s="172" t="e" cm="1">
        <f t="array" aca="1" ref="DB124" ca="1">INDEX(CLIMA[ϴe],COND_INTERSTICIAL[[#This Row],[Mes]])+COND_INTERSTICIAL[[#This Row],[Rn]]*(INDEX(CLIMA[ϴi],COND_INTERSTICIAL[[#This Row],[Mes]])-INDEX(CLIMA[ϴe],COND_INTERSTICIAL[[#This Row],[Mes]]))/(INDEX(SECCIONES[Rtsección_condensación],COND_INTERSTICIAL[[#This Row],[Sección]]))</f>
        <v>#N/A</v>
      </c>
      <c r="DC124">
        <f>INDEX(SECCIONES_CAPAS[Sd],MATCH(COND_INTERSTICIAL[[#This Row],[Sección]]&amp;"-"&amp;COND_INTERSTICIAL[[#This Row],[Capa]],SECCIONES_CAPAS[llave],0))</f>
        <v>0</v>
      </c>
      <c r="DD124">
        <f ca="1">INDEX(SECCIONES_CAPAS[S''d],MATCH(COND_INTERSTICIAL[[#This Row],[Sección]]&amp;"-"&amp;COND_INTERSTICIAL[[#This Row],[Capa]],SECCIONES_CAPAS[llave],0))</f>
        <v>0</v>
      </c>
      <c r="DE124" s="90" t="e">
        <f ca="1">IF(COND_INTERSTICIAL[[#This Row],[ϴn]]&gt;=0,610.5*EXP((17.269*COND_INTERSTICIAL[[#This Row],[ϴn]])/(237.3+COND_INTERSTICIAL[[#This Row],[ϴn]])),610.5*EXP((21.875*COND_INTERSTICIAL[[#This Row],[ϴn]])/(265.5+COND_INTERSTICIAL[[#This Row],[ϴn]])))</f>
        <v>#N/A</v>
      </c>
      <c r="DF124" s="90" t="e" cm="1">
        <f t="array" aca="1" ref="DF124" ca="1">COND_INTERSTICIAL[[#This Row],[S''d]]*((INDEX(CLIMA[Pi],COND_INTERSTICIAL[[#This Row],[Mes]])-INDEX(CLIMA[Pe],COND_INTERSTICIAL[[#This Row],[Mes]]))/INDEX(SECCIONES[SdT],COND_INTERSTICIAL[[#This Row],[Sección]]))+INDEX(CLIMA[Pe],COND_INTERSTICIAL[[#This Row],[Mes]])</f>
        <v>#N/A</v>
      </c>
      <c r="DG124" s="108" t="e">
        <f ca="1">IF((COND_INTERSTICIAL[[#This Row],[Pn]]&gt;=COND_INTERSTICIAL[[#This Row],[Psat]]),TRUE,FALSE)</f>
        <v>#N/A</v>
      </c>
      <c r="DH124" s="109" t="e" cm="1">
        <f t="array" aca="1" ref="DH124" ca="1">IF(COND_INTERSTICIAL[[#This Row],[Condensa]],COND_INTERSTICIAL[[#This Row],[Psat]],IF(COND_INTERSTICIAL[[#This Row],[Capa]]=N_capas,COND_INTERSTICIAL[[#This Row],[Pn]],""))</f>
        <v>#N/A</v>
      </c>
      <c r="DI124" s="109" t="e">
        <f ca="1">COND_INTERSTICIAL[[#This Row],[Mes]]&amp;"-"&amp;COND_INTERSTICIAL[[#This Row],[Sección]]&amp;"-"&amp;COND_INTERSTICIAL[[#This Row],[tramo cond]]</f>
        <v>#N/A</v>
      </c>
      <c r="DJ124" t="e" cm="1">
        <f t="array" aca="1" ref="DJ124" ca="1">IF(COND_INTERSTICIAL[[#This Row],[Capa]]=1,IF(COND_INTERSTICIAL[[#This Row],[Condensa]],2,1),IF(COND_INTERSTICIAL[[#This Row],[Condensa]],1,0)+INDIRECT(ADDRESS(ROW()-1,COLUMN(),4)))</f>
        <v>#N/A</v>
      </c>
      <c r="DK124" s="108" t="e" cm="1">
        <f t="array" aca="1" ref="DK124" ca="1">IF(COND_INTERSTICIAL[[#This Row],[tramo cond]]=1,0,IF((COND_INTERSTICIAL[[#This Row],[tramo cond]]&gt;INDIRECT(ADDRESS(ROW()-1,COLUMN(COND_INTERSTICIAL[[#This Row],[tramo cond]]),4)))+COND_INTERSTICIAL[[#This Row],[Condensa]],COND_INTERSTICIAL[[#This Row],[Capa]],INDIRECT(ADDRESS(ROW()-1,COLUMN(),4))))</f>
        <v>#N/A</v>
      </c>
      <c r="DL124" s="108" t="e" cm="1">
        <f t="array" aca="1" ref="DL124" ca="1">IF((COND_INTERSTICIAL[[#This Row],[Capa]]=N_capas)+(COND_INTERSTICIAL[[#This Row],[tramo cond]]=COUNTIFS(COND_INTERSTICIAL[Condensa],TRUE,COND_INTERSTICIAL[Mes],CW124,COND_INTERSTICIAL[Sección],CX124)+1),N_capas,INDEX(COND_INTERSTICIAL[capa lím inf cond],MATCH(COND_INTERSTICIAL[[#This Row],[Mes]]&amp;"-"&amp;COND_INTERSTICIAL[[#This Row],[Sección]]&amp;"-"&amp;(COND_INTERSTICIAL[[#This Row],[tramo cond]]+1),COND_INTERSTICIAL[llave tramo cond],0)))</f>
        <v>#N/A</v>
      </c>
      <c r="DM124" s="108" cm="1">
        <f t="array" aca="1" ref="DM12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4" s="110" t="e" cm="1">
        <f t="array" aca="1" ref="DN12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4" s="107" t="e">
        <f ca="1">COND_INTERSTICIAL[[#This Row],[gc]]+COND_INTERSTICIAL[[#This Row],[Ma_anterior cond]]</f>
        <v>#N/A</v>
      </c>
      <c r="DQ124" s="113" t="e">
        <f ca="1">IF((COND_INTERSTICIAL[[#This Row],[Ma_anterior cond]]&gt;0)*NOT(COND_INTERSTICIAL[[#This Row],[Condensa]]),TRUE,FALSE)</f>
        <v>#N/A</v>
      </c>
      <c r="DR124" s="112" t="e" cm="1">
        <f t="array" aca="1" ref="DR124" ca="1">IF(COND_INTERSTICIAL[[#This Row],[evapora]],COND_INTERSTICIAL[[#This Row],[Psat]],IF(COND_INTERSTICIAL[[#This Row],[Capa]]=N_capas,COND_INTERSTICIAL[[#This Row],[Pn]],""))</f>
        <v>#N/A</v>
      </c>
      <c r="DS124" s="112" t="e">
        <f ca="1">COND_INTERSTICIAL[[#This Row],[Mes]]&amp;"-"&amp;COND_INTERSTICIAL[[#This Row],[Sección]]&amp;"-"&amp;COND_INTERSTICIAL[[#This Row],[tramo ev]]</f>
        <v>#N/A</v>
      </c>
      <c r="DT124" s="111" t="e" cm="1">
        <f t="array" aca="1" ref="DT124" ca="1">IF(COND_INTERSTICIAL[[#This Row],[Capa]]=1,IF(COND_INTERSTICIAL[[#This Row],[evapora]],2,1),IF(COND_INTERSTICIAL[[#This Row],[evapora]],1,0)+INDIRECT(ADDRESS(ROW()-1,COLUMN(),4)))</f>
        <v>#N/A</v>
      </c>
      <c r="DU124" s="111" t="e" cm="1">
        <f t="array" aca="1" ref="DU124" ca="1">IF(COND_INTERSTICIAL[[#This Row],[tramo ev]]=1,0,IF((COND_INTERSTICIAL[[#This Row],[tramo ev]]&gt;INDIRECT(ADDRESS(ROW()-1,COLUMN(COND_INTERSTICIAL[[#This Row],[tramo ev]]),4)))+COND_INTERSTICIAL[[#This Row],[evapora]],COND_INTERSTICIAL[[#This Row],[Capa]],INDIRECT(ADDRESS(ROW()-1,COLUMN(),4))))</f>
        <v>#N/A</v>
      </c>
      <c r="DV124" s="111" t="e" cm="1">
        <f t="array" aca="1" ref="DV124" ca="1">IF((COND_INTERSTICIAL[[#This Row],[Capa]]=N_capas)+(COND_INTERSTICIAL[[#This Row],[tramo ev]]=COUNTIFS(COND_INTERSTICIAL[evapora],TRUE,COND_INTERSTICIAL[Mes],CW124,COND_INTERSTICIAL[Sección],CX124)+1),N_capas,INDEX(COND_INTERSTICIAL[capa lím inf ev],MATCH(COND_INTERSTICIAL[[#This Row],[Mes]]&amp;"-"&amp;COND_INTERSTICIAL[[#This Row],[Sección]]&amp;"-"&amp;(COND_INTERSTICIAL[[#This Row],[tramo ev]]+1),COND_INTERSTICIAL[llave tramo ev],0)))</f>
        <v>#N/A</v>
      </c>
      <c r="DW124" s="111" cm="1">
        <f t="array" aca="1" ref="DW12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4" s="113" t="e" cm="1">
        <f t="array" aca="1" ref="DX12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4" s="113" t="e">
        <f ca="1">COND_INTERSTICIAL[[#This Row],[gev]]+COND_INTERSTICIAL[[#This Row],[Ma anterior ev]]</f>
        <v>#N/A</v>
      </c>
      <c r="EA124" s="115" t="e">
        <f ca="1">IF(COND_INTERSTICIAL[[#This Row],[Ma cond]]+COND_INTERSTICIAL[[#This Row],[Ma ev]]&lt;=0,0,COND_INTERSTICIAL[[#This Row],[Ma cond]]+COND_INTERSTICIAL[[#This Row],[Ma ev]])</f>
        <v>#N/A</v>
      </c>
      <c r="EB124" s="115" t="e">
        <f ca="1">IF(COND_INTERSTICIAL[[#This Row],[Ma]]&gt;0,TRUE,FALSE)</f>
        <v>#N/A</v>
      </c>
      <c r="EC124" s="115" t="e" cm="1">
        <f t="array" aca="1" ref="EC124" ca="1">IF(COND_INTERSTICIAL[[#This Row],[agua líquida]],IF(COND_INTERSTICIAL[[#This Row],[Condensa]],COND_INTERSTICIAL[[#This Row],[P límite cond]],COND_INTERSTICIAL[[#This Row],[P límite ev]]),IF(COND_INTERSTICIAL[[#This Row],[Capa]]=N_capas,COND_INTERSTICIAL[[#This Row],[Pn]],""))</f>
        <v>#N/A</v>
      </c>
      <c r="ED124" s="115" t="e">
        <f ca="1">COND_INTERSTICIAL[[#This Row],[Mes]]&amp;"-"&amp;COND_INTERSTICIAL[[#This Row],[Sección]]&amp;"-"&amp;COND_INTERSTICIAL[[#This Row],[tramo gráf]]</f>
        <v>#N/A</v>
      </c>
      <c r="EE124" s="114" t="e" cm="1">
        <f t="array" aca="1" ref="EE124" ca="1">IF(COND_INTERSTICIAL[[#This Row],[Capa]]=1,IF(COND_INTERSTICIAL[[#This Row],[agua líquida]],2,1),IF(COND_INTERSTICIAL[[#This Row],[agua líquida]],1,0)+INDIRECT(ADDRESS(ROW()-1,COLUMN(),4)))</f>
        <v>#N/A</v>
      </c>
      <c r="EF124" s="114" t="e" cm="1">
        <f t="array" aca="1" ref="EF124" ca="1">IF(COND_INTERSTICIAL[[#This Row],[tramo gráf]]=1,0,IF((COND_INTERSTICIAL[[#This Row],[tramo gráf]]&gt;INDIRECT(ADDRESS(ROW()-1,COLUMN(COND_INTERSTICIAL[[#This Row],[tramo gráf]]),4)))+COND_INTERSTICIAL[[#This Row],[agua líquida]],COND_INTERSTICIAL[[#This Row],[Capa]],INDIRECT(ADDRESS(ROW()-1,COLUMN(),4))))</f>
        <v>#N/A</v>
      </c>
      <c r="EG124" s="114" t="e" cm="1">
        <f t="array" aca="1" ref="EG124" ca="1">IF((COND_INTERSTICIAL[[#This Row],[Capa]]=N_capas)+(COND_INTERSTICIAL[[#This Row],[tramo gráf]]=COUNTIFS(COND_INTERSTICIAL[agua líquida],TRUE,COND_INTERSTICIAL[Mes],CW124,COND_INTERSTICIAL[Sección],CX124)+1),N_capas,INDEX(COND_INTERSTICIAL[capa lím inf gráf],MATCH(COND_INTERSTICIAL[[#This Row],[Mes]]&amp;"-"&amp;COND_INTERSTICIAL[[#This Row],[Sección]]&amp;"-"&amp;(COND_INTERSTICIAL[[#This Row],[tramo gráf]]+1),COND_INTERSTICIAL[llave tramo gráf],0)))</f>
        <v>#N/A</v>
      </c>
      <c r="EH124" s="114" cm="1">
        <f t="array" aca="1" ref="EH12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4" s="116" t="e" cm="1">
        <f t="array" aca="1" ref="EI12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5" spans="101:139" x14ac:dyDescent="0.45">
      <c r="CW125" s="1" cm="1">
        <f t="array" ref="CW125">ROUNDUP((ROW()-$CN$18+(Mes_inicial_de_análisis-1)*N_capas*N_secciones)/(N_capas*N_secciones),0)-12*IF(ROW()-$CN$18&gt;(12-Mes_inicial_de_análisis+1)*N_capas*N_secciones,1,0)</f>
        <v>2</v>
      </c>
      <c r="CX125" cm="1">
        <f t="array" ref="CX125">ROUNDUP((ROW()-$CN$18)/N_capas-(ROUNDUP((ROW()-$CN$18)/(N_capas*N_secciones),0)-1)*N_secciones,0)</f>
        <v>2</v>
      </c>
      <c r="CY125" cm="1">
        <f t="array" ref="CY125">(ROW()-$CN$18)-(COND_INTERSTICIAL[[#This Row],[Sección]]-1)*N_capas-(ROUNDUP((ROW()-$CN$18)/(N_capas*N_secciones),0)-1)*N_capas*N_secciones</f>
        <v>1</v>
      </c>
      <c r="CZ125" t="str">
        <f>COND_INTERSTICIAL[[#This Row],[Mes]]&amp;"-"&amp;COND_INTERSTICIAL[[#This Row],[Sección]]&amp;"-"&amp;COND_INTERSTICIAL[[#This Row],[Capa]]</f>
        <v>2-2-1</v>
      </c>
      <c r="DA125">
        <f ca="1">INDEX(SECCIONES_CAPAS[R''n],MATCH(COND_INTERSTICIAL[[#This Row],[Sección]]&amp;"-"&amp;COND_INTERSTICIAL[[#This Row],[Capa]],SECCIONES_CAPAS[llave],0))</f>
        <v>0.04</v>
      </c>
      <c r="DB125" s="172" t="e" cm="1">
        <f t="array" aca="1" ref="DB125" ca="1">INDEX(CLIMA[ϴe],COND_INTERSTICIAL[[#This Row],[Mes]])+COND_INTERSTICIAL[[#This Row],[Rn]]*(INDEX(CLIMA[ϴi],COND_INTERSTICIAL[[#This Row],[Mes]])-INDEX(CLIMA[ϴe],COND_INTERSTICIAL[[#This Row],[Mes]]))/(INDEX(SECCIONES[Rtsección_condensación],COND_INTERSTICIAL[[#This Row],[Sección]]))</f>
        <v>#N/A</v>
      </c>
      <c r="DC125">
        <f>INDEX(SECCIONES_CAPAS[Sd],MATCH(COND_INTERSTICIAL[[#This Row],[Sección]]&amp;"-"&amp;COND_INTERSTICIAL[[#This Row],[Capa]],SECCIONES_CAPAS[llave],0))</f>
        <v>0</v>
      </c>
      <c r="DD125">
        <f ca="1">INDEX(SECCIONES_CAPAS[S''d],MATCH(COND_INTERSTICIAL[[#This Row],[Sección]]&amp;"-"&amp;COND_INTERSTICIAL[[#This Row],[Capa]],SECCIONES_CAPAS[llave],0))</f>
        <v>0</v>
      </c>
      <c r="DE125" s="90" t="e">
        <f ca="1">IF(COND_INTERSTICIAL[[#This Row],[ϴn]]&gt;=0,610.5*EXP((17.269*COND_INTERSTICIAL[[#This Row],[ϴn]])/(237.3+COND_INTERSTICIAL[[#This Row],[ϴn]])),610.5*EXP((21.875*COND_INTERSTICIAL[[#This Row],[ϴn]])/(265.5+COND_INTERSTICIAL[[#This Row],[ϴn]])))</f>
        <v>#N/A</v>
      </c>
      <c r="DF125" s="90" t="e" cm="1">
        <f t="array" aca="1" ref="DF125" ca="1">COND_INTERSTICIAL[[#This Row],[S''d]]*((INDEX(CLIMA[Pi],COND_INTERSTICIAL[[#This Row],[Mes]])-INDEX(CLIMA[Pe],COND_INTERSTICIAL[[#This Row],[Mes]]))/INDEX(SECCIONES[SdT],COND_INTERSTICIAL[[#This Row],[Sección]]))+INDEX(CLIMA[Pe],COND_INTERSTICIAL[[#This Row],[Mes]])</f>
        <v>#N/A</v>
      </c>
      <c r="DG125" s="108" t="e">
        <f ca="1">IF((COND_INTERSTICIAL[[#This Row],[Pn]]&gt;=COND_INTERSTICIAL[[#This Row],[Psat]]),TRUE,FALSE)</f>
        <v>#N/A</v>
      </c>
      <c r="DH125" s="109" t="e" cm="1">
        <f t="array" aca="1" ref="DH125" ca="1">IF(COND_INTERSTICIAL[[#This Row],[Condensa]],COND_INTERSTICIAL[[#This Row],[Psat]],IF(COND_INTERSTICIAL[[#This Row],[Capa]]=N_capas,COND_INTERSTICIAL[[#This Row],[Pn]],""))</f>
        <v>#N/A</v>
      </c>
      <c r="DI125" s="109" t="e">
        <f ca="1">COND_INTERSTICIAL[[#This Row],[Mes]]&amp;"-"&amp;COND_INTERSTICIAL[[#This Row],[Sección]]&amp;"-"&amp;COND_INTERSTICIAL[[#This Row],[tramo cond]]</f>
        <v>#N/A</v>
      </c>
      <c r="DJ125" t="e" cm="1">
        <f t="array" aca="1" ref="DJ125" ca="1">IF(COND_INTERSTICIAL[[#This Row],[Capa]]=1,IF(COND_INTERSTICIAL[[#This Row],[Condensa]],2,1),IF(COND_INTERSTICIAL[[#This Row],[Condensa]],1,0)+INDIRECT(ADDRESS(ROW()-1,COLUMN(),4)))</f>
        <v>#N/A</v>
      </c>
      <c r="DK125" s="108" t="e" cm="1">
        <f t="array" aca="1" ref="DK125" ca="1">IF(COND_INTERSTICIAL[[#This Row],[tramo cond]]=1,0,IF((COND_INTERSTICIAL[[#This Row],[tramo cond]]&gt;INDIRECT(ADDRESS(ROW()-1,COLUMN(COND_INTERSTICIAL[[#This Row],[tramo cond]]),4)))+COND_INTERSTICIAL[[#This Row],[Condensa]],COND_INTERSTICIAL[[#This Row],[Capa]],INDIRECT(ADDRESS(ROW()-1,COLUMN(),4))))</f>
        <v>#N/A</v>
      </c>
      <c r="DL125" s="108" t="e" cm="1">
        <f t="array" aca="1" ref="DL125" ca="1">IF((COND_INTERSTICIAL[[#This Row],[Capa]]=N_capas)+(COND_INTERSTICIAL[[#This Row],[tramo cond]]=COUNTIFS(COND_INTERSTICIAL[Condensa],TRUE,COND_INTERSTICIAL[Mes],CW125,COND_INTERSTICIAL[Sección],CX125)+1),N_capas,INDEX(COND_INTERSTICIAL[capa lím inf cond],MATCH(COND_INTERSTICIAL[[#This Row],[Mes]]&amp;"-"&amp;COND_INTERSTICIAL[[#This Row],[Sección]]&amp;"-"&amp;(COND_INTERSTICIAL[[#This Row],[tramo cond]]+1),COND_INTERSTICIAL[llave tramo cond],0)))</f>
        <v>#N/A</v>
      </c>
      <c r="DM125" s="108" cm="1">
        <f t="array" aca="1" ref="DM12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5" s="110" t="e" cm="1">
        <f t="array" aca="1" ref="DN12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5" s="107" t="e">
        <f ca="1">COND_INTERSTICIAL[[#This Row],[gc]]+COND_INTERSTICIAL[[#This Row],[Ma_anterior cond]]</f>
        <v>#N/A</v>
      </c>
      <c r="DQ125" s="113" t="e">
        <f ca="1">IF((COND_INTERSTICIAL[[#This Row],[Ma_anterior cond]]&gt;0)*NOT(COND_INTERSTICIAL[[#This Row],[Condensa]]),TRUE,FALSE)</f>
        <v>#N/A</v>
      </c>
      <c r="DR125" s="112" t="e" cm="1">
        <f t="array" aca="1" ref="DR125" ca="1">IF(COND_INTERSTICIAL[[#This Row],[evapora]],COND_INTERSTICIAL[[#This Row],[Psat]],IF(COND_INTERSTICIAL[[#This Row],[Capa]]=N_capas,COND_INTERSTICIAL[[#This Row],[Pn]],""))</f>
        <v>#N/A</v>
      </c>
      <c r="DS125" s="112" t="e">
        <f ca="1">COND_INTERSTICIAL[[#This Row],[Mes]]&amp;"-"&amp;COND_INTERSTICIAL[[#This Row],[Sección]]&amp;"-"&amp;COND_INTERSTICIAL[[#This Row],[tramo ev]]</f>
        <v>#N/A</v>
      </c>
      <c r="DT125" s="111" t="e" cm="1">
        <f t="array" aca="1" ref="DT125" ca="1">IF(COND_INTERSTICIAL[[#This Row],[Capa]]=1,IF(COND_INTERSTICIAL[[#This Row],[evapora]],2,1),IF(COND_INTERSTICIAL[[#This Row],[evapora]],1,0)+INDIRECT(ADDRESS(ROW()-1,COLUMN(),4)))</f>
        <v>#N/A</v>
      </c>
      <c r="DU125" s="111" t="e" cm="1">
        <f t="array" aca="1" ref="DU125" ca="1">IF(COND_INTERSTICIAL[[#This Row],[tramo ev]]=1,0,IF((COND_INTERSTICIAL[[#This Row],[tramo ev]]&gt;INDIRECT(ADDRESS(ROW()-1,COLUMN(COND_INTERSTICIAL[[#This Row],[tramo ev]]),4)))+COND_INTERSTICIAL[[#This Row],[evapora]],COND_INTERSTICIAL[[#This Row],[Capa]],INDIRECT(ADDRESS(ROW()-1,COLUMN(),4))))</f>
        <v>#N/A</v>
      </c>
      <c r="DV125" s="111" t="e" cm="1">
        <f t="array" aca="1" ref="DV125" ca="1">IF((COND_INTERSTICIAL[[#This Row],[Capa]]=N_capas)+(COND_INTERSTICIAL[[#This Row],[tramo ev]]=COUNTIFS(COND_INTERSTICIAL[evapora],TRUE,COND_INTERSTICIAL[Mes],CW125,COND_INTERSTICIAL[Sección],CX125)+1),N_capas,INDEX(COND_INTERSTICIAL[capa lím inf ev],MATCH(COND_INTERSTICIAL[[#This Row],[Mes]]&amp;"-"&amp;COND_INTERSTICIAL[[#This Row],[Sección]]&amp;"-"&amp;(COND_INTERSTICIAL[[#This Row],[tramo ev]]+1),COND_INTERSTICIAL[llave tramo ev],0)))</f>
        <v>#N/A</v>
      </c>
      <c r="DW125" s="111" cm="1">
        <f t="array" aca="1" ref="DW12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5" s="113" t="e" cm="1">
        <f t="array" aca="1" ref="DX12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5" s="113" t="e">
        <f ca="1">COND_INTERSTICIAL[[#This Row],[gev]]+COND_INTERSTICIAL[[#This Row],[Ma anterior ev]]</f>
        <v>#N/A</v>
      </c>
      <c r="EA125" s="115" t="e">
        <f ca="1">IF(COND_INTERSTICIAL[[#This Row],[Ma cond]]+COND_INTERSTICIAL[[#This Row],[Ma ev]]&lt;=0,0,COND_INTERSTICIAL[[#This Row],[Ma cond]]+COND_INTERSTICIAL[[#This Row],[Ma ev]])</f>
        <v>#N/A</v>
      </c>
      <c r="EB125" s="115" t="e">
        <f ca="1">IF(COND_INTERSTICIAL[[#This Row],[Ma]]&gt;0,TRUE,FALSE)</f>
        <v>#N/A</v>
      </c>
      <c r="EC125" s="115" t="e" cm="1">
        <f t="array" aca="1" ref="EC125" ca="1">IF(COND_INTERSTICIAL[[#This Row],[agua líquida]],IF(COND_INTERSTICIAL[[#This Row],[Condensa]],COND_INTERSTICIAL[[#This Row],[P límite cond]],COND_INTERSTICIAL[[#This Row],[P límite ev]]),IF(COND_INTERSTICIAL[[#This Row],[Capa]]=N_capas,COND_INTERSTICIAL[[#This Row],[Pn]],""))</f>
        <v>#N/A</v>
      </c>
      <c r="ED125" s="115" t="e">
        <f ca="1">COND_INTERSTICIAL[[#This Row],[Mes]]&amp;"-"&amp;COND_INTERSTICIAL[[#This Row],[Sección]]&amp;"-"&amp;COND_INTERSTICIAL[[#This Row],[tramo gráf]]</f>
        <v>#N/A</v>
      </c>
      <c r="EE125" s="114" t="e" cm="1">
        <f t="array" aca="1" ref="EE125" ca="1">IF(COND_INTERSTICIAL[[#This Row],[Capa]]=1,IF(COND_INTERSTICIAL[[#This Row],[agua líquida]],2,1),IF(COND_INTERSTICIAL[[#This Row],[agua líquida]],1,0)+INDIRECT(ADDRESS(ROW()-1,COLUMN(),4)))</f>
        <v>#N/A</v>
      </c>
      <c r="EF125" s="114" t="e" cm="1">
        <f t="array" aca="1" ref="EF125" ca="1">IF(COND_INTERSTICIAL[[#This Row],[tramo gráf]]=1,0,IF((COND_INTERSTICIAL[[#This Row],[tramo gráf]]&gt;INDIRECT(ADDRESS(ROW()-1,COLUMN(COND_INTERSTICIAL[[#This Row],[tramo gráf]]),4)))+COND_INTERSTICIAL[[#This Row],[agua líquida]],COND_INTERSTICIAL[[#This Row],[Capa]],INDIRECT(ADDRESS(ROW()-1,COLUMN(),4))))</f>
        <v>#N/A</v>
      </c>
      <c r="EG125" s="114" t="e" cm="1">
        <f t="array" aca="1" ref="EG125" ca="1">IF((COND_INTERSTICIAL[[#This Row],[Capa]]=N_capas)+(COND_INTERSTICIAL[[#This Row],[tramo gráf]]=COUNTIFS(COND_INTERSTICIAL[agua líquida],TRUE,COND_INTERSTICIAL[Mes],CW125,COND_INTERSTICIAL[Sección],CX125)+1),N_capas,INDEX(COND_INTERSTICIAL[capa lím inf gráf],MATCH(COND_INTERSTICIAL[[#This Row],[Mes]]&amp;"-"&amp;COND_INTERSTICIAL[[#This Row],[Sección]]&amp;"-"&amp;(COND_INTERSTICIAL[[#This Row],[tramo gráf]]+1),COND_INTERSTICIAL[llave tramo gráf],0)))</f>
        <v>#N/A</v>
      </c>
      <c r="EH125" s="114" cm="1">
        <f t="array" aca="1" ref="EH12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5" s="116" t="e" cm="1">
        <f t="array" aca="1" ref="EI12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6" spans="101:139" x14ac:dyDescent="0.45">
      <c r="CW126" s="1" cm="1">
        <f t="array" ref="CW126">ROUNDUP((ROW()-$CN$18+(Mes_inicial_de_análisis-1)*N_capas*N_secciones)/(N_capas*N_secciones),0)-12*IF(ROW()-$CN$18&gt;(12-Mes_inicial_de_análisis+1)*N_capas*N_secciones,1,0)</f>
        <v>2</v>
      </c>
      <c r="CX126" cm="1">
        <f t="array" ref="CX126">ROUNDUP((ROW()-$CN$18)/N_capas-(ROUNDUP((ROW()-$CN$18)/(N_capas*N_secciones),0)-1)*N_secciones,0)</f>
        <v>2</v>
      </c>
      <c r="CY126" cm="1">
        <f t="array" ref="CY126">(ROW()-$CN$18)-(COND_INTERSTICIAL[[#This Row],[Sección]]-1)*N_capas-(ROUNDUP((ROW()-$CN$18)/(N_capas*N_secciones),0)-1)*N_capas*N_secciones</f>
        <v>2</v>
      </c>
      <c r="CZ126" t="str">
        <f>COND_INTERSTICIAL[[#This Row],[Mes]]&amp;"-"&amp;COND_INTERSTICIAL[[#This Row],[Sección]]&amp;"-"&amp;COND_INTERSTICIAL[[#This Row],[Capa]]</f>
        <v>2-2-2</v>
      </c>
      <c r="DA126">
        <f ca="1">INDEX(SECCIONES_CAPAS[R''n],MATCH(COND_INTERSTICIAL[[#This Row],[Sección]]&amp;"-"&amp;COND_INTERSTICIAL[[#This Row],[Capa]],SECCIONES_CAPAS[llave],0))</f>
        <v>0.04</v>
      </c>
      <c r="DB126" s="172" t="e" cm="1">
        <f t="array" aca="1" ref="DB126" ca="1">INDEX(CLIMA[ϴe],COND_INTERSTICIAL[[#This Row],[Mes]])+COND_INTERSTICIAL[[#This Row],[Rn]]*(INDEX(CLIMA[ϴi],COND_INTERSTICIAL[[#This Row],[Mes]])-INDEX(CLIMA[ϴe],COND_INTERSTICIAL[[#This Row],[Mes]]))/(INDEX(SECCIONES[Rtsección_condensación],COND_INTERSTICIAL[[#This Row],[Sección]]))</f>
        <v>#N/A</v>
      </c>
      <c r="DC126">
        <f>INDEX(SECCIONES_CAPAS[Sd],MATCH(COND_INTERSTICIAL[[#This Row],[Sección]]&amp;"-"&amp;COND_INTERSTICIAL[[#This Row],[Capa]],SECCIONES_CAPAS[llave],0))</f>
        <v>0</v>
      </c>
      <c r="DD126">
        <f ca="1">INDEX(SECCIONES_CAPAS[S''d],MATCH(COND_INTERSTICIAL[[#This Row],[Sección]]&amp;"-"&amp;COND_INTERSTICIAL[[#This Row],[Capa]],SECCIONES_CAPAS[llave],0))</f>
        <v>0</v>
      </c>
      <c r="DE126" s="90" t="e">
        <f ca="1">IF(COND_INTERSTICIAL[[#This Row],[ϴn]]&gt;=0,610.5*EXP((17.269*COND_INTERSTICIAL[[#This Row],[ϴn]])/(237.3+COND_INTERSTICIAL[[#This Row],[ϴn]])),610.5*EXP((21.875*COND_INTERSTICIAL[[#This Row],[ϴn]])/(265.5+COND_INTERSTICIAL[[#This Row],[ϴn]])))</f>
        <v>#N/A</v>
      </c>
      <c r="DF126" s="90" t="e" cm="1">
        <f t="array" aca="1" ref="DF126" ca="1">COND_INTERSTICIAL[[#This Row],[S''d]]*((INDEX(CLIMA[Pi],COND_INTERSTICIAL[[#This Row],[Mes]])-INDEX(CLIMA[Pe],COND_INTERSTICIAL[[#This Row],[Mes]]))/INDEX(SECCIONES[SdT],COND_INTERSTICIAL[[#This Row],[Sección]]))+INDEX(CLIMA[Pe],COND_INTERSTICIAL[[#This Row],[Mes]])</f>
        <v>#N/A</v>
      </c>
      <c r="DG126" s="108" t="e">
        <f ca="1">IF((COND_INTERSTICIAL[[#This Row],[Pn]]&gt;=COND_INTERSTICIAL[[#This Row],[Psat]]),TRUE,FALSE)</f>
        <v>#N/A</v>
      </c>
      <c r="DH126" s="109" t="e" cm="1">
        <f t="array" aca="1" ref="DH126" ca="1">IF(COND_INTERSTICIAL[[#This Row],[Condensa]],COND_INTERSTICIAL[[#This Row],[Psat]],IF(COND_INTERSTICIAL[[#This Row],[Capa]]=N_capas,COND_INTERSTICIAL[[#This Row],[Pn]],""))</f>
        <v>#N/A</v>
      </c>
      <c r="DI126" s="109" t="e">
        <f ca="1">COND_INTERSTICIAL[[#This Row],[Mes]]&amp;"-"&amp;COND_INTERSTICIAL[[#This Row],[Sección]]&amp;"-"&amp;COND_INTERSTICIAL[[#This Row],[tramo cond]]</f>
        <v>#N/A</v>
      </c>
      <c r="DJ126" t="e" cm="1">
        <f t="array" aca="1" ref="DJ126" ca="1">IF(COND_INTERSTICIAL[[#This Row],[Capa]]=1,IF(COND_INTERSTICIAL[[#This Row],[Condensa]],2,1),IF(COND_INTERSTICIAL[[#This Row],[Condensa]],1,0)+INDIRECT(ADDRESS(ROW()-1,COLUMN(),4)))</f>
        <v>#N/A</v>
      </c>
      <c r="DK126" s="108" t="e" cm="1">
        <f t="array" aca="1" ref="DK126" ca="1">IF(COND_INTERSTICIAL[[#This Row],[tramo cond]]=1,0,IF((COND_INTERSTICIAL[[#This Row],[tramo cond]]&gt;INDIRECT(ADDRESS(ROW()-1,COLUMN(COND_INTERSTICIAL[[#This Row],[tramo cond]]),4)))+COND_INTERSTICIAL[[#This Row],[Condensa]],COND_INTERSTICIAL[[#This Row],[Capa]],INDIRECT(ADDRESS(ROW()-1,COLUMN(),4))))</f>
        <v>#N/A</v>
      </c>
      <c r="DL126" s="108" t="e" cm="1">
        <f t="array" aca="1" ref="DL126" ca="1">IF((COND_INTERSTICIAL[[#This Row],[Capa]]=N_capas)+(COND_INTERSTICIAL[[#This Row],[tramo cond]]=COUNTIFS(COND_INTERSTICIAL[Condensa],TRUE,COND_INTERSTICIAL[Mes],CW126,COND_INTERSTICIAL[Sección],CX126)+1),N_capas,INDEX(COND_INTERSTICIAL[capa lím inf cond],MATCH(COND_INTERSTICIAL[[#This Row],[Mes]]&amp;"-"&amp;COND_INTERSTICIAL[[#This Row],[Sección]]&amp;"-"&amp;(COND_INTERSTICIAL[[#This Row],[tramo cond]]+1),COND_INTERSTICIAL[llave tramo cond],0)))</f>
        <v>#N/A</v>
      </c>
      <c r="DM126" s="108" cm="1">
        <f t="array" aca="1" ref="DM12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6" s="110" t="e" cm="1">
        <f t="array" aca="1" ref="DN12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6" s="107" t="e">
        <f ca="1">COND_INTERSTICIAL[[#This Row],[gc]]+COND_INTERSTICIAL[[#This Row],[Ma_anterior cond]]</f>
        <v>#N/A</v>
      </c>
      <c r="DQ126" s="113" t="e">
        <f ca="1">IF((COND_INTERSTICIAL[[#This Row],[Ma_anterior cond]]&gt;0)*NOT(COND_INTERSTICIAL[[#This Row],[Condensa]]),TRUE,FALSE)</f>
        <v>#N/A</v>
      </c>
      <c r="DR126" s="112" t="e" cm="1">
        <f t="array" aca="1" ref="DR126" ca="1">IF(COND_INTERSTICIAL[[#This Row],[evapora]],COND_INTERSTICIAL[[#This Row],[Psat]],IF(COND_INTERSTICIAL[[#This Row],[Capa]]=N_capas,COND_INTERSTICIAL[[#This Row],[Pn]],""))</f>
        <v>#N/A</v>
      </c>
      <c r="DS126" s="112" t="e">
        <f ca="1">COND_INTERSTICIAL[[#This Row],[Mes]]&amp;"-"&amp;COND_INTERSTICIAL[[#This Row],[Sección]]&amp;"-"&amp;COND_INTERSTICIAL[[#This Row],[tramo ev]]</f>
        <v>#N/A</v>
      </c>
      <c r="DT126" s="111" t="e" cm="1">
        <f t="array" aca="1" ref="DT126" ca="1">IF(COND_INTERSTICIAL[[#This Row],[Capa]]=1,IF(COND_INTERSTICIAL[[#This Row],[evapora]],2,1),IF(COND_INTERSTICIAL[[#This Row],[evapora]],1,0)+INDIRECT(ADDRESS(ROW()-1,COLUMN(),4)))</f>
        <v>#N/A</v>
      </c>
      <c r="DU126" s="111" t="e" cm="1">
        <f t="array" aca="1" ref="DU126" ca="1">IF(COND_INTERSTICIAL[[#This Row],[tramo ev]]=1,0,IF((COND_INTERSTICIAL[[#This Row],[tramo ev]]&gt;INDIRECT(ADDRESS(ROW()-1,COLUMN(COND_INTERSTICIAL[[#This Row],[tramo ev]]),4)))+COND_INTERSTICIAL[[#This Row],[evapora]],COND_INTERSTICIAL[[#This Row],[Capa]],INDIRECT(ADDRESS(ROW()-1,COLUMN(),4))))</f>
        <v>#N/A</v>
      </c>
      <c r="DV126" s="111" t="e" cm="1">
        <f t="array" aca="1" ref="DV126" ca="1">IF((COND_INTERSTICIAL[[#This Row],[Capa]]=N_capas)+(COND_INTERSTICIAL[[#This Row],[tramo ev]]=COUNTIFS(COND_INTERSTICIAL[evapora],TRUE,COND_INTERSTICIAL[Mes],CW126,COND_INTERSTICIAL[Sección],CX126)+1),N_capas,INDEX(COND_INTERSTICIAL[capa lím inf ev],MATCH(COND_INTERSTICIAL[[#This Row],[Mes]]&amp;"-"&amp;COND_INTERSTICIAL[[#This Row],[Sección]]&amp;"-"&amp;(COND_INTERSTICIAL[[#This Row],[tramo ev]]+1),COND_INTERSTICIAL[llave tramo ev],0)))</f>
        <v>#N/A</v>
      </c>
      <c r="DW126" s="111" cm="1">
        <f t="array" aca="1" ref="DW12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6" s="113" t="e" cm="1">
        <f t="array" aca="1" ref="DX12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6" s="113" t="e">
        <f ca="1">COND_INTERSTICIAL[[#This Row],[gev]]+COND_INTERSTICIAL[[#This Row],[Ma anterior ev]]</f>
        <v>#N/A</v>
      </c>
      <c r="EA126" s="115" t="e">
        <f ca="1">IF(COND_INTERSTICIAL[[#This Row],[Ma cond]]+COND_INTERSTICIAL[[#This Row],[Ma ev]]&lt;=0,0,COND_INTERSTICIAL[[#This Row],[Ma cond]]+COND_INTERSTICIAL[[#This Row],[Ma ev]])</f>
        <v>#N/A</v>
      </c>
      <c r="EB126" s="115" t="e">
        <f ca="1">IF(COND_INTERSTICIAL[[#This Row],[Ma]]&gt;0,TRUE,FALSE)</f>
        <v>#N/A</v>
      </c>
      <c r="EC126" s="115" t="e" cm="1">
        <f t="array" aca="1" ref="EC126" ca="1">IF(COND_INTERSTICIAL[[#This Row],[agua líquida]],IF(COND_INTERSTICIAL[[#This Row],[Condensa]],COND_INTERSTICIAL[[#This Row],[P límite cond]],COND_INTERSTICIAL[[#This Row],[P límite ev]]),IF(COND_INTERSTICIAL[[#This Row],[Capa]]=N_capas,COND_INTERSTICIAL[[#This Row],[Pn]],""))</f>
        <v>#N/A</v>
      </c>
      <c r="ED126" s="115" t="e">
        <f ca="1">COND_INTERSTICIAL[[#This Row],[Mes]]&amp;"-"&amp;COND_INTERSTICIAL[[#This Row],[Sección]]&amp;"-"&amp;COND_INTERSTICIAL[[#This Row],[tramo gráf]]</f>
        <v>#N/A</v>
      </c>
      <c r="EE126" s="114" t="e" cm="1">
        <f t="array" aca="1" ref="EE126" ca="1">IF(COND_INTERSTICIAL[[#This Row],[Capa]]=1,IF(COND_INTERSTICIAL[[#This Row],[agua líquida]],2,1),IF(COND_INTERSTICIAL[[#This Row],[agua líquida]],1,0)+INDIRECT(ADDRESS(ROW()-1,COLUMN(),4)))</f>
        <v>#N/A</v>
      </c>
      <c r="EF126" s="114" t="e" cm="1">
        <f t="array" aca="1" ref="EF126" ca="1">IF(COND_INTERSTICIAL[[#This Row],[tramo gráf]]=1,0,IF((COND_INTERSTICIAL[[#This Row],[tramo gráf]]&gt;INDIRECT(ADDRESS(ROW()-1,COLUMN(COND_INTERSTICIAL[[#This Row],[tramo gráf]]),4)))+COND_INTERSTICIAL[[#This Row],[agua líquida]],COND_INTERSTICIAL[[#This Row],[Capa]],INDIRECT(ADDRESS(ROW()-1,COLUMN(),4))))</f>
        <v>#N/A</v>
      </c>
      <c r="EG126" s="114" t="e" cm="1">
        <f t="array" aca="1" ref="EG126" ca="1">IF((COND_INTERSTICIAL[[#This Row],[Capa]]=N_capas)+(COND_INTERSTICIAL[[#This Row],[tramo gráf]]=COUNTIFS(COND_INTERSTICIAL[agua líquida],TRUE,COND_INTERSTICIAL[Mes],CW126,COND_INTERSTICIAL[Sección],CX126)+1),N_capas,INDEX(COND_INTERSTICIAL[capa lím inf gráf],MATCH(COND_INTERSTICIAL[[#This Row],[Mes]]&amp;"-"&amp;COND_INTERSTICIAL[[#This Row],[Sección]]&amp;"-"&amp;(COND_INTERSTICIAL[[#This Row],[tramo gráf]]+1),COND_INTERSTICIAL[llave tramo gráf],0)))</f>
        <v>#N/A</v>
      </c>
      <c r="EH126" s="114" cm="1">
        <f t="array" aca="1" ref="EH12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6" s="116" t="e" cm="1">
        <f t="array" aca="1" ref="EI12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7" spans="101:139" x14ac:dyDescent="0.45">
      <c r="CW127" s="1" cm="1">
        <f t="array" ref="CW127">ROUNDUP((ROW()-$CN$18+(Mes_inicial_de_análisis-1)*N_capas*N_secciones)/(N_capas*N_secciones),0)-12*IF(ROW()-$CN$18&gt;(12-Mes_inicial_de_análisis+1)*N_capas*N_secciones,1,0)</f>
        <v>2</v>
      </c>
      <c r="CX127" cm="1">
        <f t="array" ref="CX127">ROUNDUP((ROW()-$CN$18)/N_capas-(ROUNDUP((ROW()-$CN$18)/(N_capas*N_secciones),0)-1)*N_secciones,0)</f>
        <v>2</v>
      </c>
      <c r="CY127" cm="1">
        <f t="array" ref="CY127">(ROW()-$CN$18)-(COND_INTERSTICIAL[[#This Row],[Sección]]-1)*N_capas-(ROUNDUP((ROW()-$CN$18)/(N_capas*N_secciones),0)-1)*N_capas*N_secciones</f>
        <v>3</v>
      </c>
      <c r="CZ127" t="str">
        <f>COND_INTERSTICIAL[[#This Row],[Mes]]&amp;"-"&amp;COND_INTERSTICIAL[[#This Row],[Sección]]&amp;"-"&amp;COND_INTERSTICIAL[[#This Row],[Capa]]</f>
        <v>2-2-3</v>
      </c>
      <c r="DA127">
        <f ca="1">INDEX(SECCIONES_CAPAS[R''n],MATCH(COND_INTERSTICIAL[[#This Row],[Sección]]&amp;"-"&amp;COND_INTERSTICIAL[[#This Row],[Capa]],SECCIONES_CAPAS[llave],0))</f>
        <v>0.04</v>
      </c>
      <c r="DB127" s="172" t="e" cm="1">
        <f t="array" aca="1" ref="DB127" ca="1">INDEX(CLIMA[ϴe],COND_INTERSTICIAL[[#This Row],[Mes]])+COND_INTERSTICIAL[[#This Row],[Rn]]*(INDEX(CLIMA[ϴi],COND_INTERSTICIAL[[#This Row],[Mes]])-INDEX(CLIMA[ϴe],COND_INTERSTICIAL[[#This Row],[Mes]]))/(INDEX(SECCIONES[Rtsección_condensación],COND_INTERSTICIAL[[#This Row],[Sección]]))</f>
        <v>#N/A</v>
      </c>
      <c r="DC127">
        <f>INDEX(SECCIONES_CAPAS[Sd],MATCH(COND_INTERSTICIAL[[#This Row],[Sección]]&amp;"-"&amp;COND_INTERSTICIAL[[#This Row],[Capa]],SECCIONES_CAPAS[llave],0))</f>
        <v>0</v>
      </c>
      <c r="DD127">
        <f ca="1">INDEX(SECCIONES_CAPAS[S''d],MATCH(COND_INTERSTICIAL[[#This Row],[Sección]]&amp;"-"&amp;COND_INTERSTICIAL[[#This Row],[Capa]],SECCIONES_CAPAS[llave],0))</f>
        <v>0</v>
      </c>
      <c r="DE127" s="90" t="e">
        <f ca="1">IF(COND_INTERSTICIAL[[#This Row],[ϴn]]&gt;=0,610.5*EXP((17.269*COND_INTERSTICIAL[[#This Row],[ϴn]])/(237.3+COND_INTERSTICIAL[[#This Row],[ϴn]])),610.5*EXP((21.875*COND_INTERSTICIAL[[#This Row],[ϴn]])/(265.5+COND_INTERSTICIAL[[#This Row],[ϴn]])))</f>
        <v>#N/A</v>
      </c>
      <c r="DF127" s="90" t="e" cm="1">
        <f t="array" aca="1" ref="DF127" ca="1">COND_INTERSTICIAL[[#This Row],[S''d]]*((INDEX(CLIMA[Pi],COND_INTERSTICIAL[[#This Row],[Mes]])-INDEX(CLIMA[Pe],COND_INTERSTICIAL[[#This Row],[Mes]]))/INDEX(SECCIONES[SdT],COND_INTERSTICIAL[[#This Row],[Sección]]))+INDEX(CLIMA[Pe],COND_INTERSTICIAL[[#This Row],[Mes]])</f>
        <v>#N/A</v>
      </c>
      <c r="DG127" s="108" t="e">
        <f ca="1">IF((COND_INTERSTICIAL[[#This Row],[Pn]]&gt;=COND_INTERSTICIAL[[#This Row],[Psat]]),TRUE,FALSE)</f>
        <v>#N/A</v>
      </c>
      <c r="DH127" s="109" t="e" cm="1">
        <f t="array" aca="1" ref="DH127" ca="1">IF(COND_INTERSTICIAL[[#This Row],[Condensa]],COND_INTERSTICIAL[[#This Row],[Psat]],IF(COND_INTERSTICIAL[[#This Row],[Capa]]=N_capas,COND_INTERSTICIAL[[#This Row],[Pn]],""))</f>
        <v>#N/A</v>
      </c>
      <c r="DI127" s="109" t="e">
        <f ca="1">COND_INTERSTICIAL[[#This Row],[Mes]]&amp;"-"&amp;COND_INTERSTICIAL[[#This Row],[Sección]]&amp;"-"&amp;COND_INTERSTICIAL[[#This Row],[tramo cond]]</f>
        <v>#N/A</v>
      </c>
      <c r="DJ127" t="e" cm="1">
        <f t="array" aca="1" ref="DJ127" ca="1">IF(COND_INTERSTICIAL[[#This Row],[Capa]]=1,IF(COND_INTERSTICIAL[[#This Row],[Condensa]],2,1),IF(COND_INTERSTICIAL[[#This Row],[Condensa]],1,0)+INDIRECT(ADDRESS(ROW()-1,COLUMN(),4)))</f>
        <v>#N/A</v>
      </c>
      <c r="DK127" s="108" t="e" cm="1">
        <f t="array" aca="1" ref="DK127" ca="1">IF(COND_INTERSTICIAL[[#This Row],[tramo cond]]=1,0,IF((COND_INTERSTICIAL[[#This Row],[tramo cond]]&gt;INDIRECT(ADDRESS(ROW()-1,COLUMN(COND_INTERSTICIAL[[#This Row],[tramo cond]]),4)))+COND_INTERSTICIAL[[#This Row],[Condensa]],COND_INTERSTICIAL[[#This Row],[Capa]],INDIRECT(ADDRESS(ROW()-1,COLUMN(),4))))</f>
        <v>#N/A</v>
      </c>
      <c r="DL127" s="108" t="e" cm="1">
        <f t="array" aca="1" ref="DL127" ca="1">IF((COND_INTERSTICIAL[[#This Row],[Capa]]=N_capas)+(COND_INTERSTICIAL[[#This Row],[tramo cond]]=COUNTIFS(COND_INTERSTICIAL[Condensa],TRUE,COND_INTERSTICIAL[Mes],CW127,COND_INTERSTICIAL[Sección],CX127)+1),N_capas,INDEX(COND_INTERSTICIAL[capa lím inf cond],MATCH(COND_INTERSTICIAL[[#This Row],[Mes]]&amp;"-"&amp;COND_INTERSTICIAL[[#This Row],[Sección]]&amp;"-"&amp;(COND_INTERSTICIAL[[#This Row],[tramo cond]]+1),COND_INTERSTICIAL[llave tramo cond],0)))</f>
        <v>#N/A</v>
      </c>
      <c r="DM127" s="108" cm="1">
        <f t="array" aca="1" ref="DM12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7" s="110" t="e" cm="1">
        <f t="array" aca="1" ref="DN12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7" s="107" t="e">
        <f ca="1">COND_INTERSTICIAL[[#This Row],[gc]]+COND_INTERSTICIAL[[#This Row],[Ma_anterior cond]]</f>
        <v>#N/A</v>
      </c>
      <c r="DQ127" s="113" t="e">
        <f ca="1">IF((COND_INTERSTICIAL[[#This Row],[Ma_anterior cond]]&gt;0)*NOT(COND_INTERSTICIAL[[#This Row],[Condensa]]),TRUE,FALSE)</f>
        <v>#N/A</v>
      </c>
      <c r="DR127" s="112" t="e" cm="1">
        <f t="array" aca="1" ref="DR127" ca="1">IF(COND_INTERSTICIAL[[#This Row],[evapora]],COND_INTERSTICIAL[[#This Row],[Psat]],IF(COND_INTERSTICIAL[[#This Row],[Capa]]=N_capas,COND_INTERSTICIAL[[#This Row],[Pn]],""))</f>
        <v>#N/A</v>
      </c>
      <c r="DS127" s="112" t="e">
        <f ca="1">COND_INTERSTICIAL[[#This Row],[Mes]]&amp;"-"&amp;COND_INTERSTICIAL[[#This Row],[Sección]]&amp;"-"&amp;COND_INTERSTICIAL[[#This Row],[tramo ev]]</f>
        <v>#N/A</v>
      </c>
      <c r="DT127" s="111" t="e" cm="1">
        <f t="array" aca="1" ref="DT127" ca="1">IF(COND_INTERSTICIAL[[#This Row],[Capa]]=1,IF(COND_INTERSTICIAL[[#This Row],[evapora]],2,1),IF(COND_INTERSTICIAL[[#This Row],[evapora]],1,0)+INDIRECT(ADDRESS(ROW()-1,COLUMN(),4)))</f>
        <v>#N/A</v>
      </c>
      <c r="DU127" s="111" t="e" cm="1">
        <f t="array" aca="1" ref="DU127" ca="1">IF(COND_INTERSTICIAL[[#This Row],[tramo ev]]=1,0,IF((COND_INTERSTICIAL[[#This Row],[tramo ev]]&gt;INDIRECT(ADDRESS(ROW()-1,COLUMN(COND_INTERSTICIAL[[#This Row],[tramo ev]]),4)))+COND_INTERSTICIAL[[#This Row],[evapora]],COND_INTERSTICIAL[[#This Row],[Capa]],INDIRECT(ADDRESS(ROW()-1,COLUMN(),4))))</f>
        <v>#N/A</v>
      </c>
      <c r="DV127" s="111" t="e" cm="1">
        <f t="array" aca="1" ref="DV127" ca="1">IF((COND_INTERSTICIAL[[#This Row],[Capa]]=N_capas)+(COND_INTERSTICIAL[[#This Row],[tramo ev]]=COUNTIFS(COND_INTERSTICIAL[evapora],TRUE,COND_INTERSTICIAL[Mes],CW127,COND_INTERSTICIAL[Sección],CX127)+1),N_capas,INDEX(COND_INTERSTICIAL[capa lím inf ev],MATCH(COND_INTERSTICIAL[[#This Row],[Mes]]&amp;"-"&amp;COND_INTERSTICIAL[[#This Row],[Sección]]&amp;"-"&amp;(COND_INTERSTICIAL[[#This Row],[tramo ev]]+1),COND_INTERSTICIAL[llave tramo ev],0)))</f>
        <v>#N/A</v>
      </c>
      <c r="DW127" s="111" cm="1">
        <f t="array" aca="1" ref="DW12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7" s="113" t="e" cm="1">
        <f t="array" aca="1" ref="DX12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7" s="113" t="e">
        <f ca="1">COND_INTERSTICIAL[[#This Row],[gev]]+COND_INTERSTICIAL[[#This Row],[Ma anterior ev]]</f>
        <v>#N/A</v>
      </c>
      <c r="EA127" s="115" t="e">
        <f ca="1">IF(COND_INTERSTICIAL[[#This Row],[Ma cond]]+COND_INTERSTICIAL[[#This Row],[Ma ev]]&lt;=0,0,COND_INTERSTICIAL[[#This Row],[Ma cond]]+COND_INTERSTICIAL[[#This Row],[Ma ev]])</f>
        <v>#N/A</v>
      </c>
      <c r="EB127" s="115" t="e">
        <f ca="1">IF(COND_INTERSTICIAL[[#This Row],[Ma]]&gt;0,TRUE,FALSE)</f>
        <v>#N/A</v>
      </c>
      <c r="EC127" s="115" t="e" cm="1">
        <f t="array" aca="1" ref="EC127" ca="1">IF(COND_INTERSTICIAL[[#This Row],[agua líquida]],IF(COND_INTERSTICIAL[[#This Row],[Condensa]],COND_INTERSTICIAL[[#This Row],[P límite cond]],COND_INTERSTICIAL[[#This Row],[P límite ev]]),IF(COND_INTERSTICIAL[[#This Row],[Capa]]=N_capas,COND_INTERSTICIAL[[#This Row],[Pn]],""))</f>
        <v>#N/A</v>
      </c>
      <c r="ED127" s="115" t="e">
        <f ca="1">COND_INTERSTICIAL[[#This Row],[Mes]]&amp;"-"&amp;COND_INTERSTICIAL[[#This Row],[Sección]]&amp;"-"&amp;COND_INTERSTICIAL[[#This Row],[tramo gráf]]</f>
        <v>#N/A</v>
      </c>
      <c r="EE127" s="114" t="e" cm="1">
        <f t="array" aca="1" ref="EE127" ca="1">IF(COND_INTERSTICIAL[[#This Row],[Capa]]=1,IF(COND_INTERSTICIAL[[#This Row],[agua líquida]],2,1),IF(COND_INTERSTICIAL[[#This Row],[agua líquida]],1,0)+INDIRECT(ADDRESS(ROW()-1,COLUMN(),4)))</f>
        <v>#N/A</v>
      </c>
      <c r="EF127" s="114" t="e" cm="1">
        <f t="array" aca="1" ref="EF127" ca="1">IF(COND_INTERSTICIAL[[#This Row],[tramo gráf]]=1,0,IF((COND_INTERSTICIAL[[#This Row],[tramo gráf]]&gt;INDIRECT(ADDRESS(ROW()-1,COLUMN(COND_INTERSTICIAL[[#This Row],[tramo gráf]]),4)))+COND_INTERSTICIAL[[#This Row],[agua líquida]],COND_INTERSTICIAL[[#This Row],[Capa]],INDIRECT(ADDRESS(ROW()-1,COLUMN(),4))))</f>
        <v>#N/A</v>
      </c>
      <c r="EG127" s="114" t="e" cm="1">
        <f t="array" aca="1" ref="EG127" ca="1">IF((COND_INTERSTICIAL[[#This Row],[Capa]]=N_capas)+(COND_INTERSTICIAL[[#This Row],[tramo gráf]]=COUNTIFS(COND_INTERSTICIAL[agua líquida],TRUE,COND_INTERSTICIAL[Mes],CW127,COND_INTERSTICIAL[Sección],CX127)+1),N_capas,INDEX(COND_INTERSTICIAL[capa lím inf gráf],MATCH(COND_INTERSTICIAL[[#This Row],[Mes]]&amp;"-"&amp;COND_INTERSTICIAL[[#This Row],[Sección]]&amp;"-"&amp;(COND_INTERSTICIAL[[#This Row],[tramo gráf]]+1),COND_INTERSTICIAL[llave tramo gráf],0)))</f>
        <v>#N/A</v>
      </c>
      <c r="EH127" s="114" cm="1">
        <f t="array" aca="1" ref="EH12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7" s="116" t="e" cm="1">
        <f t="array" aca="1" ref="EI12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8" spans="101:139" x14ac:dyDescent="0.45">
      <c r="CW128" s="1" cm="1">
        <f t="array" ref="CW128">ROUNDUP((ROW()-$CN$18+(Mes_inicial_de_análisis-1)*N_capas*N_secciones)/(N_capas*N_secciones),0)-12*IF(ROW()-$CN$18&gt;(12-Mes_inicial_de_análisis+1)*N_capas*N_secciones,1,0)</f>
        <v>2</v>
      </c>
      <c r="CX128" cm="1">
        <f t="array" ref="CX128">ROUNDUP((ROW()-$CN$18)/N_capas-(ROUNDUP((ROW()-$CN$18)/(N_capas*N_secciones),0)-1)*N_secciones,0)</f>
        <v>2</v>
      </c>
      <c r="CY128" cm="1">
        <f t="array" ref="CY128">(ROW()-$CN$18)-(COND_INTERSTICIAL[[#This Row],[Sección]]-1)*N_capas-(ROUNDUP((ROW()-$CN$18)/(N_capas*N_secciones),0)-1)*N_capas*N_secciones</f>
        <v>4</v>
      </c>
      <c r="CZ128" t="str">
        <f>COND_INTERSTICIAL[[#This Row],[Mes]]&amp;"-"&amp;COND_INTERSTICIAL[[#This Row],[Sección]]&amp;"-"&amp;COND_INTERSTICIAL[[#This Row],[Capa]]</f>
        <v>2-2-4</v>
      </c>
      <c r="DA128">
        <f ca="1">INDEX(SECCIONES_CAPAS[R''n],MATCH(COND_INTERSTICIAL[[#This Row],[Sección]]&amp;"-"&amp;COND_INTERSTICIAL[[#This Row],[Capa]],SECCIONES_CAPAS[llave],0))</f>
        <v>0.04</v>
      </c>
      <c r="DB128" s="172" t="e" cm="1">
        <f t="array" aca="1" ref="DB128" ca="1">INDEX(CLIMA[ϴe],COND_INTERSTICIAL[[#This Row],[Mes]])+COND_INTERSTICIAL[[#This Row],[Rn]]*(INDEX(CLIMA[ϴi],COND_INTERSTICIAL[[#This Row],[Mes]])-INDEX(CLIMA[ϴe],COND_INTERSTICIAL[[#This Row],[Mes]]))/(INDEX(SECCIONES[Rtsección_condensación],COND_INTERSTICIAL[[#This Row],[Sección]]))</f>
        <v>#N/A</v>
      </c>
      <c r="DC128">
        <f>INDEX(SECCIONES_CAPAS[Sd],MATCH(COND_INTERSTICIAL[[#This Row],[Sección]]&amp;"-"&amp;COND_INTERSTICIAL[[#This Row],[Capa]],SECCIONES_CAPAS[llave],0))</f>
        <v>0</v>
      </c>
      <c r="DD128">
        <f ca="1">INDEX(SECCIONES_CAPAS[S''d],MATCH(COND_INTERSTICIAL[[#This Row],[Sección]]&amp;"-"&amp;COND_INTERSTICIAL[[#This Row],[Capa]],SECCIONES_CAPAS[llave],0))</f>
        <v>0</v>
      </c>
      <c r="DE128" s="90" t="e">
        <f ca="1">IF(COND_INTERSTICIAL[[#This Row],[ϴn]]&gt;=0,610.5*EXP((17.269*COND_INTERSTICIAL[[#This Row],[ϴn]])/(237.3+COND_INTERSTICIAL[[#This Row],[ϴn]])),610.5*EXP((21.875*COND_INTERSTICIAL[[#This Row],[ϴn]])/(265.5+COND_INTERSTICIAL[[#This Row],[ϴn]])))</f>
        <v>#N/A</v>
      </c>
      <c r="DF128" s="90" t="e" cm="1">
        <f t="array" aca="1" ref="DF128" ca="1">COND_INTERSTICIAL[[#This Row],[S''d]]*((INDEX(CLIMA[Pi],COND_INTERSTICIAL[[#This Row],[Mes]])-INDEX(CLIMA[Pe],COND_INTERSTICIAL[[#This Row],[Mes]]))/INDEX(SECCIONES[SdT],COND_INTERSTICIAL[[#This Row],[Sección]]))+INDEX(CLIMA[Pe],COND_INTERSTICIAL[[#This Row],[Mes]])</f>
        <v>#N/A</v>
      </c>
      <c r="DG128" s="108" t="e">
        <f ca="1">IF((COND_INTERSTICIAL[[#This Row],[Pn]]&gt;=COND_INTERSTICIAL[[#This Row],[Psat]]),TRUE,FALSE)</f>
        <v>#N/A</v>
      </c>
      <c r="DH128" s="109" t="e" cm="1">
        <f t="array" aca="1" ref="DH128" ca="1">IF(COND_INTERSTICIAL[[#This Row],[Condensa]],COND_INTERSTICIAL[[#This Row],[Psat]],IF(COND_INTERSTICIAL[[#This Row],[Capa]]=N_capas,COND_INTERSTICIAL[[#This Row],[Pn]],""))</f>
        <v>#N/A</v>
      </c>
      <c r="DI128" s="109" t="e">
        <f ca="1">COND_INTERSTICIAL[[#This Row],[Mes]]&amp;"-"&amp;COND_INTERSTICIAL[[#This Row],[Sección]]&amp;"-"&amp;COND_INTERSTICIAL[[#This Row],[tramo cond]]</f>
        <v>#N/A</v>
      </c>
      <c r="DJ128" t="e" cm="1">
        <f t="array" aca="1" ref="DJ128" ca="1">IF(COND_INTERSTICIAL[[#This Row],[Capa]]=1,IF(COND_INTERSTICIAL[[#This Row],[Condensa]],2,1),IF(COND_INTERSTICIAL[[#This Row],[Condensa]],1,0)+INDIRECT(ADDRESS(ROW()-1,COLUMN(),4)))</f>
        <v>#N/A</v>
      </c>
      <c r="DK128" s="108" t="e" cm="1">
        <f t="array" aca="1" ref="DK128" ca="1">IF(COND_INTERSTICIAL[[#This Row],[tramo cond]]=1,0,IF((COND_INTERSTICIAL[[#This Row],[tramo cond]]&gt;INDIRECT(ADDRESS(ROW()-1,COLUMN(COND_INTERSTICIAL[[#This Row],[tramo cond]]),4)))+COND_INTERSTICIAL[[#This Row],[Condensa]],COND_INTERSTICIAL[[#This Row],[Capa]],INDIRECT(ADDRESS(ROW()-1,COLUMN(),4))))</f>
        <v>#N/A</v>
      </c>
      <c r="DL128" s="108" t="e" cm="1">
        <f t="array" aca="1" ref="DL128" ca="1">IF((COND_INTERSTICIAL[[#This Row],[Capa]]=N_capas)+(COND_INTERSTICIAL[[#This Row],[tramo cond]]=COUNTIFS(COND_INTERSTICIAL[Condensa],TRUE,COND_INTERSTICIAL[Mes],CW128,COND_INTERSTICIAL[Sección],CX128)+1),N_capas,INDEX(COND_INTERSTICIAL[capa lím inf cond],MATCH(COND_INTERSTICIAL[[#This Row],[Mes]]&amp;"-"&amp;COND_INTERSTICIAL[[#This Row],[Sección]]&amp;"-"&amp;(COND_INTERSTICIAL[[#This Row],[tramo cond]]+1),COND_INTERSTICIAL[llave tramo cond],0)))</f>
        <v>#N/A</v>
      </c>
      <c r="DM128" s="108" cm="1">
        <f t="array" aca="1" ref="DM12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8" s="110" t="e" cm="1">
        <f t="array" aca="1" ref="DN12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8" s="107" t="e">
        <f ca="1">COND_INTERSTICIAL[[#This Row],[gc]]+COND_INTERSTICIAL[[#This Row],[Ma_anterior cond]]</f>
        <v>#N/A</v>
      </c>
      <c r="DQ128" s="113" t="e">
        <f ca="1">IF((COND_INTERSTICIAL[[#This Row],[Ma_anterior cond]]&gt;0)*NOT(COND_INTERSTICIAL[[#This Row],[Condensa]]),TRUE,FALSE)</f>
        <v>#N/A</v>
      </c>
      <c r="DR128" s="112" t="e" cm="1">
        <f t="array" aca="1" ref="DR128" ca="1">IF(COND_INTERSTICIAL[[#This Row],[evapora]],COND_INTERSTICIAL[[#This Row],[Psat]],IF(COND_INTERSTICIAL[[#This Row],[Capa]]=N_capas,COND_INTERSTICIAL[[#This Row],[Pn]],""))</f>
        <v>#N/A</v>
      </c>
      <c r="DS128" s="112" t="e">
        <f ca="1">COND_INTERSTICIAL[[#This Row],[Mes]]&amp;"-"&amp;COND_INTERSTICIAL[[#This Row],[Sección]]&amp;"-"&amp;COND_INTERSTICIAL[[#This Row],[tramo ev]]</f>
        <v>#N/A</v>
      </c>
      <c r="DT128" s="111" t="e" cm="1">
        <f t="array" aca="1" ref="DT128" ca="1">IF(COND_INTERSTICIAL[[#This Row],[Capa]]=1,IF(COND_INTERSTICIAL[[#This Row],[evapora]],2,1),IF(COND_INTERSTICIAL[[#This Row],[evapora]],1,0)+INDIRECT(ADDRESS(ROW()-1,COLUMN(),4)))</f>
        <v>#N/A</v>
      </c>
      <c r="DU128" s="111" t="e" cm="1">
        <f t="array" aca="1" ref="DU128" ca="1">IF(COND_INTERSTICIAL[[#This Row],[tramo ev]]=1,0,IF((COND_INTERSTICIAL[[#This Row],[tramo ev]]&gt;INDIRECT(ADDRESS(ROW()-1,COLUMN(COND_INTERSTICIAL[[#This Row],[tramo ev]]),4)))+COND_INTERSTICIAL[[#This Row],[evapora]],COND_INTERSTICIAL[[#This Row],[Capa]],INDIRECT(ADDRESS(ROW()-1,COLUMN(),4))))</f>
        <v>#N/A</v>
      </c>
      <c r="DV128" s="111" t="e" cm="1">
        <f t="array" aca="1" ref="DV128" ca="1">IF((COND_INTERSTICIAL[[#This Row],[Capa]]=N_capas)+(COND_INTERSTICIAL[[#This Row],[tramo ev]]=COUNTIFS(COND_INTERSTICIAL[evapora],TRUE,COND_INTERSTICIAL[Mes],CW128,COND_INTERSTICIAL[Sección],CX128)+1),N_capas,INDEX(COND_INTERSTICIAL[capa lím inf ev],MATCH(COND_INTERSTICIAL[[#This Row],[Mes]]&amp;"-"&amp;COND_INTERSTICIAL[[#This Row],[Sección]]&amp;"-"&amp;(COND_INTERSTICIAL[[#This Row],[tramo ev]]+1),COND_INTERSTICIAL[llave tramo ev],0)))</f>
        <v>#N/A</v>
      </c>
      <c r="DW128" s="111" cm="1">
        <f t="array" aca="1" ref="DW12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8" s="113" t="e" cm="1">
        <f t="array" aca="1" ref="DX12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8" s="113" t="e">
        <f ca="1">COND_INTERSTICIAL[[#This Row],[gev]]+COND_INTERSTICIAL[[#This Row],[Ma anterior ev]]</f>
        <v>#N/A</v>
      </c>
      <c r="EA128" s="115" t="e">
        <f ca="1">IF(COND_INTERSTICIAL[[#This Row],[Ma cond]]+COND_INTERSTICIAL[[#This Row],[Ma ev]]&lt;=0,0,COND_INTERSTICIAL[[#This Row],[Ma cond]]+COND_INTERSTICIAL[[#This Row],[Ma ev]])</f>
        <v>#N/A</v>
      </c>
      <c r="EB128" s="115" t="e">
        <f ca="1">IF(COND_INTERSTICIAL[[#This Row],[Ma]]&gt;0,TRUE,FALSE)</f>
        <v>#N/A</v>
      </c>
      <c r="EC128" s="115" t="e" cm="1">
        <f t="array" aca="1" ref="EC128" ca="1">IF(COND_INTERSTICIAL[[#This Row],[agua líquida]],IF(COND_INTERSTICIAL[[#This Row],[Condensa]],COND_INTERSTICIAL[[#This Row],[P límite cond]],COND_INTERSTICIAL[[#This Row],[P límite ev]]),IF(COND_INTERSTICIAL[[#This Row],[Capa]]=N_capas,COND_INTERSTICIAL[[#This Row],[Pn]],""))</f>
        <v>#N/A</v>
      </c>
      <c r="ED128" s="115" t="e">
        <f ca="1">COND_INTERSTICIAL[[#This Row],[Mes]]&amp;"-"&amp;COND_INTERSTICIAL[[#This Row],[Sección]]&amp;"-"&amp;COND_INTERSTICIAL[[#This Row],[tramo gráf]]</f>
        <v>#N/A</v>
      </c>
      <c r="EE128" s="114" t="e" cm="1">
        <f t="array" aca="1" ref="EE128" ca="1">IF(COND_INTERSTICIAL[[#This Row],[Capa]]=1,IF(COND_INTERSTICIAL[[#This Row],[agua líquida]],2,1),IF(COND_INTERSTICIAL[[#This Row],[agua líquida]],1,0)+INDIRECT(ADDRESS(ROW()-1,COLUMN(),4)))</f>
        <v>#N/A</v>
      </c>
      <c r="EF128" s="114" t="e" cm="1">
        <f t="array" aca="1" ref="EF128" ca="1">IF(COND_INTERSTICIAL[[#This Row],[tramo gráf]]=1,0,IF((COND_INTERSTICIAL[[#This Row],[tramo gráf]]&gt;INDIRECT(ADDRESS(ROW()-1,COLUMN(COND_INTERSTICIAL[[#This Row],[tramo gráf]]),4)))+COND_INTERSTICIAL[[#This Row],[agua líquida]],COND_INTERSTICIAL[[#This Row],[Capa]],INDIRECT(ADDRESS(ROW()-1,COLUMN(),4))))</f>
        <v>#N/A</v>
      </c>
      <c r="EG128" s="114" t="e" cm="1">
        <f t="array" aca="1" ref="EG128" ca="1">IF((COND_INTERSTICIAL[[#This Row],[Capa]]=N_capas)+(COND_INTERSTICIAL[[#This Row],[tramo gráf]]=COUNTIFS(COND_INTERSTICIAL[agua líquida],TRUE,COND_INTERSTICIAL[Mes],CW128,COND_INTERSTICIAL[Sección],CX128)+1),N_capas,INDEX(COND_INTERSTICIAL[capa lím inf gráf],MATCH(COND_INTERSTICIAL[[#This Row],[Mes]]&amp;"-"&amp;COND_INTERSTICIAL[[#This Row],[Sección]]&amp;"-"&amp;(COND_INTERSTICIAL[[#This Row],[tramo gráf]]+1),COND_INTERSTICIAL[llave tramo gráf],0)))</f>
        <v>#N/A</v>
      </c>
      <c r="EH128" s="114" cm="1">
        <f t="array" aca="1" ref="EH12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8" s="116" t="e" cm="1">
        <f t="array" aca="1" ref="EI12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9" spans="101:139" x14ac:dyDescent="0.45">
      <c r="CW129" s="1" cm="1">
        <f t="array" ref="CW129">ROUNDUP((ROW()-$CN$18+(Mes_inicial_de_análisis-1)*N_capas*N_secciones)/(N_capas*N_secciones),0)-12*IF(ROW()-$CN$18&gt;(12-Mes_inicial_de_análisis+1)*N_capas*N_secciones,1,0)</f>
        <v>2</v>
      </c>
      <c r="CX129" cm="1">
        <f t="array" ref="CX129">ROUNDUP((ROW()-$CN$18)/N_capas-(ROUNDUP((ROW()-$CN$18)/(N_capas*N_secciones),0)-1)*N_secciones,0)</f>
        <v>2</v>
      </c>
      <c r="CY129" cm="1">
        <f t="array" ref="CY129">(ROW()-$CN$18)-(COND_INTERSTICIAL[[#This Row],[Sección]]-1)*N_capas-(ROUNDUP((ROW()-$CN$18)/(N_capas*N_secciones),0)-1)*N_capas*N_secciones</f>
        <v>5</v>
      </c>
      <c r="CZ129" t="str">
        <f>COND_INTERSTICIAL[[#This Row],[Mes]]&amp;"-"&amp;COND_INTERSTICIAL[[#This Row],[Sección]]&amp;"-"&amp;COND_INTERSTICIAL[[#This Row],[Capa]]</f>
        <v>2-2-5</v>
      </c>
      <c r="DA129">
        <f ca="1">INDEX(SECCIONES_CAPAS[R''n],MATCH(COND_INTERSTICIAL[[#This Row],[Sección]]&amp;"-"&amp;COND_INTERSTICIAL[[#This Row],[Capa]],SECCIONES_CAPAS[llave],0))</f>
        <v>0.04</v>
      </c>
      <c r="DB129" s="172" t="e" cm="1">
        <f t="array" aca="1" ref="DB129" ca="1">INDEX(CLIMA[ϴe],COND_INTERSTICIAL[[#This Row],[Mes]])+COND_INTERSTICIAL[[#This Row],[Rn]]*(INDEX(CLIMA[ϴi],COND_INTERSTICIAL[[#This Row],[Mes]])-INDEX(CLIMA[ϴe],COND_INTERSTICIAL[[#This Row],[Mes]]))/(INDEX(SECCIONES[Rtsección_condensación],COND_INTERSTICIAL[[#This Row],[Sección]]))</f>
        <v>#N/A</v>
      </c>
      <c r="DC129">
        <f>INDEX(SECCIONES_CAPAS[Sd],MATCH(COND_INTERSTICIAL[[#This Row],[Sección]]&amp;"-"&amp;COND_INTERSTICIAL[[#This Row],[Capa]],SECCIONES_CAPAS[llave],0))</f>
        <v>0</v>
      </c>
      <c r="DD129">
        <f ca="1">INDEX(SECCIONES_CAPAS[S''d],MATCH(COND_INTERSTICIAL[[#This Row],[Sección]]&amp;"-"&amp;COND_INTERSTICIAL[[#This Row],[Capa]],SECCIONES_CAPAS[llave],0))</f>
        <v>0</v>
      </c>
      <c r="DE129" s="90" t="e">
        <f ca="1">IF(COND_INTERSTICIAL[[#This Row],[ϴn]]&gt;=0,610.5*EXP((17.269*COND_INTERSTICIAL[[#This Row],[ϴn]])/(237.3+COND_INTERSTICIAL[[#This Row],[ϴn]])),610.5*EXP((21.875*COND_INTERSTICIAL[[#This Row],[ϴn]])/(265.5+COND_INTERSTICIAL[[#This Row],[ϴn]])))</f>
        <v>#N/A</v>
      </c>
      <c r="DF129" s="90" t="e" cm="1">
        <f t="array" aca="1" ref="DF129" ca="1">COND_INTERSTICIAL[[#This Row],[S''d]]*((INDEX(CLIMA[Pi],COND_INTERSTICIAL[[#This Row],[Mes]])-INDEX(CLIMA[Pe],COND_INTERSTICIAL[[#This Row],[Mes]]))/INDEX(SECCIONES[SdT],COND_INTERSTICIAL[[#This Row],[Sección]]))+INDEX(CLIMA[Pe],COND_INTERSTICIAL[[#This Row],[Mes]])</f>
        <v>#N/A</v>
      </c>
      <c r="DG129" s="108" t="e">
        <f ca="1">IF((COND_INTERSTICIAL[[#This Row],[Pn]]&gt;=COND_INTERSTICIAL[[#This Row],[Psat]]),TRUE,FALSE)</f>
        <v>#N/A</v>
      </c>
      <c r="DH129" s="109" t="e" cm="1">
        <f t="array" aca="1" ref="DH129" ca="1">IF(COND_INTERSTICIAL[[#This Row],[Condensa]],COND_INTERSTICIAL[[#This Row],[Psat]],IF(COND_INTERSTICIAL[[#This Row],[Capa]]=N_capas,COND_INTERSTICIAL[[#This Row],[Pn]],""))</f>
        <v>#N/A</v>
      </c>
      <c r="DI129" s="109" t="e">
        <f ca="1">COND_INTERSTICIAL[[#This Row],[Mes]]&amp;"-"&amp;COND_INTERSTICIAL[[#This Row],[Sección]]&amp;"-"&amp;COND_INTERSTICIAL[[#This Row],[tramo cond]]</f>
        <v>#N/A</v>
      </c>
      <c r="DJ129" t="e" cm="1">
        <f t="array" aca="1" ref="DJ129" ca="1">IF(COND_INTERSTICIAL[[#This Row],[Capa]]=1,IF(COND_INTERSTICIAL[[#This Row],[Condensa]],2,1),IF(COND_INTERSTICIAL[[#This Row],[Condensa]],1,0)+INDIRECT(ADDRESS(ROW()-1,COLUMN(),4)))</f>
        <v>#N/A</v>
      </c>
      <c r="DK129" s="108" t="e" cm="1">
        <f t="array" aca="1" ref="DK129" ca="1">IF(COND_INTERSTICIAL[[#This Row],[tramo cond]]=1,0,IF((COND_INTERSTICIAL[[#This Row],[tramo cond]]&gt;INDIRECT(ADDRESS(ROW()-1,COLUMN(COND_INTERSTICIAL[[#This Row],[tramo cond]]),4)))+COND_INTERSTICIAL[[#This Row],[Condensa]],COND_INTERSTICIAL[[#This Row],[Capa]],INDIRECT(ADDRESS(ROW()-1,COLUMN(),4))))</f>
        <v>#N/A</v>
      </c>
      <c r="DL129" s="108" t="e" cm="1">
        <f t="array" aca="1" ref="DL129" ca="1">IF((COND_INTERSTICIAL[[#This Row],[Capa]]=N_capas)+(COND_INTERSTICIAL[[#This Row],[tramo cond]]=COUNTIFS(COND_INTERSTICIAL[Condensa],TRUE,COND_INTERSTICIAL[Mes],CW129,COND_INTERSTICIAL[Sección],CX129)+1),N_capas,INDEX(COND_INTERSTICIAL[capa lím inf cond],MATCH(COND_INTERSTICIAL[[#This Row],[Mes]]&amp;"-"&amp;COND_INTERSTICIAL[[#This Row],[Sección]]&amp;"-"&amp;(COND_INTERSTICIAL[[#This Row],[tramo cond]]+1),COND_INTERSTICIAL[llave tramo cond],0)))</f>
        <v>#N/A</v>
      </c>
      <c r="DM129" s="108" cm="1">
        <f t="array" aca="1" ref="DM12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9" s="110" t="e" cm="1">
        <f t="array" aca="1" ref="DN12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9" s="107" t="e">
        <f ca="1">COND_INTERSTICIAL[[#This Row],[gc]]+COND_INTERSTICIAL[[#This Row],[Ma_anterior cond]]</f>
        <v>#N/A</v>
      </c>
      <c r="DQ129" s="113" t="e">
        <f ca="1">IF((COND_INTERSTICIAL[[#This Row],[Ma_anterior cond]]&gt;0)*NOT(COND_INTERSTICIAL[[#This Row],[Condensa]]),TRUE,FALSE)</f>
        <v>#N/A</v>
      </c>
      <c r="DR129" s="112" t="e" cm="1">
        <f t="array" aca="1" ref="DR129" ca="1">IF(COND_INTERSTICIAL[[#This Row],[evapora]],COND_INTERSTICIAL[[#This Row],[Psat]],IF(COND_INTERSTICIAL[[#This Row],[Capa]]=N_capas,COND_INTERSTICIAL[[#This Row],[Pn]],""))</f>
        <v>#N/A</v>
      </c>
      <c r="DS129" s="112" t="e">
        <f ca="1">COND_INTERSTICIAL[[#This Row],[Mes]]&amp;"-"&amp;COND_INTERSTICIAL[[#This Row],[Sección]]&amp;"-"&amp;COND_INTERSTICIAL[[#This Row],[tramo ev]]</f>
        <v>#N/A</v>
      </c>
      <c r="DT129" s="111" t="e" cm="1">
        <f t="array" aca="1" ref="DT129" ca="1">IF(COND_INTERSTICIAL[[#This Row],[Capa]]=1,IF(COND_INTERSTICIAL[[#This Row],[evapora]],2,1),IF(COND_INTERSTICIAL[[#This Row],[evapora]],1,0)+INDIRECT(ADDRESS(ROW()-1,COLUMN(),4)))</f>
        <v>#N/A</v>
      </c>
      <c r="DU129" s="111" t="e" cm="1">
        <f t="array" aca="1" ref="DU129" ca="1">IF(COND_INTERSTICIAL[[#This Row],[tramo ev]]=1,0,IF((COND_INTERSTICIAL[[#This Row],[tramo ev]]&gt;INDIRECT(ADDRESS(ROW()-1,COLUMN(COND_INTERSTICIAL[[#This Row],[tramo ev]]),4)))+COND_INTERSTICIAL[[#This Row],[evapora]],COND_INTERSTICIAL[[#This Row],[Capa]],INDIRECT(ADDRESS(ROW()-1,COLUMN(),4))))</f>
        <v>#N/A</v>
      </c>
      <c r="DV129" s="111" t="e" cm="1">
        <f t="array" aca="1" ref="DV129" ca="1">IF((COND_INTERSTICIAL[[#This Row],[Capa]]=N_capas)+(COND_INTERSTICIAL[[#This Row],[tramo ev]]=COUNTIFS(COND_INTERSTICIAL[evapora],TRUE,COND_INTERSTICIAL[Mes],CW129,COND_INTERSTICIAL[Sección],CX129)+1),N_capas,INDEX(COND_INTERSTICIAL[capa lím inf ev],MATCH(COND_INTERSTICIAL[[#This Row],[Mes]]&amp;"-"&amp;COND_INTERSTICIAL[[#This Row],[Sección]]&amp;"-"&amp;(COND_INTERSTICIAL[[#This Row],[tramo ev]]+1),COND_INTERSTICIAL[llave tramo ev],0)))</f>
        <v>#N/A</v>
      </c>
      <c r="DW129" s="111" cm="1">
        <f t="array" aca="1" ref="DW12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9" s="113" t="e" cm="1">
        <f t="array" aca="1" ref="DX12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9" s="113" t="e">
        <f ca="1">COND_INTERSTICIAL[[#This Row],[gev]]+COND_INTERSTICIAL[[#This Row],[Ma anterior ev]]</f>
        <v>#N/A</v>
      </c>
      <c r="EA129" s="115" t="e">
        <f ca="1">IF(COND_INTERSTICIAL[[#This Row],[Ma cond]]+COND_INTERSTICIAL[[#This Row],[Ma ev]]&lt;=0,0,COND_INTERSTICIAL[[#This Row],[Ma cond]]+COND_INTERSTICIAL[[#This Row],[Ma ev]])</f>
        <v>#N/A</v>
      </c>
      <c r="EB129" s="115" t="e">
        <f ca="1">IF(COND_INTERSTICIAL[[#This Row],[Ma]]&gt;0,TRUE,FALSE)</f>
        <v>#N/A</v>
      </c>
      <c r="EC129" s="115" t="e" cm="1">
        <f t="array" aca="1" ref="EC129" ca="1">IF(COND_INTERSTICIAL[[#This Row],[agua líquida]],IF(COND_INTERSTICIAL[[#This Row],[Condensa]],COND_INTERSTICIAL[[#This Row],[P límite cond]],COND_INTERSTICIAL[[#This Row],[P límite ev]]),IF(COND_INTERSTICIAL[[#This Row],[Capa]]=N_capas,COND_INTERSTICIAL[[#This Row],[Pn]],""))</f>
        <v>#N/A</v>
      </c>
      <c r="ED129" s="115" t="e">
        <f ca="1">COND_INTERSTICIAL[[#This Row],[Mes]]&amp;"-"&amp;COND_INTERSTICIAL[[#This Row],[Sección]]&amp;"-"&amp;COND_INTERSTICIAL[[#This Row],[tramo gráf]]</f>
        <v>#N/A</v>
      </c>
      <c r="EE129" s="114" t="e" cm="1">
        <f t="array" aca="1" ref="EE129" ca="1">IF(COND_INTERSTICIAL[[#This Row],[Capa]]=1,IF(COND_INTERSTICIAL[[#This Row],[agua líquida]],2,1),IF(COND_INTERSTICIAL[[#This Row],[agua líquida]],1,0)+INDIRECT(ADDRESS(ROW()-1,COLUMN(),4)))</f>
        <v>#N/A</v>
      </c>
      <c r="EF129" s="114" t="e" cm="1">
        <f t="array" aca="1" ref="EF129" ca="1">IF(COND_INTERSTICIAL[[#This Row],[tramo gráf]]=1,0,IF((COND_INTERSTICIAL[[#This Row],[tramo gráf]]&gt;INDIRECT(ADDRESS(ROW()-1,COLUMN(COND_INTERSTICIAL[[#This Row],[tramo gráf]]),4)))+COND_INTERSTICIAL[[#This Row],[agua líquida]],COND_INTERSTICIAL[[#This Row],[Capa]],INDIRECT(ADDRESS(ROW()-1,COLUMN(),4))))</f>
        <v>#N/A</v>
      </c>
      <c r="EG129" s="114" t="e" cm="1">
        <f t="array" aca="1" ref="EG129" ca="1">IF((COND_INTERSTICIAL[[#This Row],[Capa]]=N_capas)+(COND_INTERSTICIAL[[#This Row],[tramo gráf]]=COUNTIFS(COND_INTERSTICIAL[agua líquida],TRUE,COND_INTERSTICIAL[Mes],CW129,COND_INTERSTICIAL[Sección],CX129)+1),N_capas,INDEX(COND_INTERSTICIAL[capa lím inf gráf],MATCH(COND_INTERSTICIAL[[#This Row],[Mes]]&amp;"-"&amp;COND_INTERSTICIAL[[#This Row],[Sección]]&amp;"-"&amp;(COND_INTERSTICIAL[[#This Row],[tramo gráf]]+1),COND_INTERSTICIAL[llave tramo gráf],0)))</f>
        <v>#N/A</v>
      </c>
      <c r="EH129" s="114" cm="1">
        <f t="array" aca="1" ref="EH12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9" s="116" t="e" cm="1">
        <f t="array" aca="1" ref="EI12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0" spans="101:139" x14ac:dyDescent="0.45">
      <c r="CW130" s="1" cm="1">
        <f t="array" ref="CW130">ROUNDUP((ROW()-$CN$18+(Mes_inicial_de_análisis-1)*N_capas*N_secciones)/(N_capas*N_secciones),0)-12*IF(ROW()-$CN$18&gt;(12-Mes_inicial_de_análisis+1)*N_capas*N_secciones,1,0)</f>
        <v>2</v>
      </c>
      <c r="CX130" cm="1">
        <f t="array" ref="CX130">ROUNDUP((ROW()-$CN$18)/N_capas-(ROUNDUP((ROW()-$CN$18)/(N_capas*N_secciones),0)-1)*N_secciones,0)</f>
        <v>2</v>
      </c>
      <c r="CY130" cm="1">
        <f t="array" ref="CY130">(ROW()-$CN$18)-(COND_INTERSTICIAL[[#This Row],[Sección]]-1)*N_capas-(ROUNDUP((ROW()-$CN$18)/(N_capas*N_secciones),0)-1)*N_capas*N_secciones</f>
        <v>6</v>
      </c>
      <c r="CZ130" t="str">
        <f>COND_INTERSTICIAL[[#This Row],[Mes]]&amp;"-"&amp;COND_INTERSTICIAL[[#This Row],[Sección]]&amp;"-"&amp;COND_INTERSTICIAL[[#This Row],[Capa]]</f>
        <v>2-2-6</v>
      </c>
      <c r="DA130">
        <f ca="1">INDEX(SECCIONES_CAPAS[R''n],MATCH(COND_INTERSTICIAL[[#This Row],[Sección]]&amp;"-"&amp;COND_INTERSTICIAL[[#This Row],[Capa]],SECCIONES_CAPAS[llave],0))</f>
        <v>0.04</v>
      </c>
      <c r="DB130" s="172" t="e" cm="1">
        <f t="array" aca="1" ref="DB130" ca="1">INDEX(CLIMA[ϴe],COND_INTERSTICIAL[[#This Row],[Mes]])+COND_INTERSTICIAL[[#This Row],[Rn]]*(INDEX(CLIMA[ϴi],COND_INTERSTICIAL[[#This Row],[Mes]])-INDEX(CLIMA[ϴe],COND_INTERSTICIAL[[#This Row],[Mes]]))/(INDEX(SECCIONES[Rtsección_condensación],COND_INTERSTICIAL[[#This Row],[Sección]]))</f>
        <v>#N/A</v>
      </c>
      <c r="DC130">
        <f>INDEX(SECCIONES_CAPAS[Sd],MATCH(COND_INTERSTICIAL[[#This Row],[Sección]]&amp;"-"&amp;COND_INTERSTICIAL[[#This Row],[Capa]],SECCIONES_CAPAS[llave],0))</f>
        <v>0</v>
      </c>
      <c r="DD130">
        <f ca="1">INDEX(SECCIONES_CAPAS[S''d],MATCH(COND_INTERSTICIAL[[#This Row],[Sección]]&amp;"-"&amp;COND_INTERSTICIAL[[#This Row],[Capa]],SECCIONES_CAPAS[llave],0))</f>
        <v>0</v>
      </c>
      <c r="DE130" s="90" t="e">
        <f ca="1">IF(COND_INTERSTICIAL[[#This Row],[ϴn]]&gt;=0,610.5*EXP((17.269*COND_INTERSTICIAL[[#This Row],[ϴn]])/(237.3+COND_INTERSTICIAL[[#This Row],[ϴn]])),610.5*EXP((21.875*COND_INTERSTICIAL[[#This Row],[ϴn]])/(265.5+COND_INTERSTICIAL[[#This Row],[ϴn]])))</f>
        <v>#N/A</v>
      </c>
      <c r="DF130" s="90" t="e" cm="1">
        <f t="array" aca="1" ref="DF130" ca="1">COND_INTERSTICIAL[[#This Row],[S''d]]*((INDEX(CLIMA[Pi],COND_INTERSTICIAL[[#This Row],[Mes]])-INDEX(CLIMA[Pe],COND_INTERSTICIAL[[#This Row],[Mes]]))/INDEX(SECCIONES[SdT],COND_INTERSTICIAL[[#This Row],[Sección]]))+INDEX(CLIMA[Pe],COND_INTERSTICIAL[[#This Row],[Mes]])</f>
        <v>#N/A</v>
      </c>
      <c r="DG130" s="108" t="e">
        <f ca="1">IF((COND_INTERSTICIAL[[#This Row],[Pn]]&gt;=COND_INTERSTICIAL[[#This Row],[Psat]]),TRUE,FALSE)</f>
        <v>#N/A</v>
      </c>
      <c r="DH130" s="109" t="e" cm="1">
        <f t="array" aca="1" ref="DH130" ca="1">IF(COND_INTERSTICIAL[[#This Row],[Condensa]],COND_INTERSTICIAL[[#This Row],[Psat]],IF(COND_INTERSTICIAL[[#This Row],[Capa]]=N_capas,COND_INTERSTICIAL[[#This Row],[Pn]],""))</f>
        <v>#N/A</v>
      </c>
      <c r="DI130" s="109" t="e">
        <f ca="1">COND_INTERSTICIAL[[#This Row],[Mes]]&amp;"-"&amp;COND_INTERSTICIAL[[#This Row],[Sección]]&amp;"-"&amp;COND_INTERSTICIAL[[#This Row],[tramo cond]]</f>
        <v>#N/A</v>
      </c>
      <c r="DJ130" t="e" cm="1">
        <f t="array" aca="1" ref="DJ130" ca="1">IF(COND_INTERSTICIAL[[#This Row],[Capa]]=1,IF(COND_INTERSTICIAL[[#This Row],[Condensa]],2,1),IF(COND_INTERSTICIAL[[#This Row],[Condensa]],1,0)+INDIRECT(ADDRESS(ROW()-1,COLUMN(),4)))</f>
        <v>#N/A</v>
      </c>
      <c r="DK130" s="108" t="e" cm="1">
        <f t="array" aca="1" ref="DK130" ca="1">IF(COND_INTERSTICIAL[[#This Row],[tramo cond]]=1,0,IF((COND_INTERSTICIAL[[#This Row],[tramo cond]]&gt;INDIRECT(ADDRESS(ROW()-1,COLUMN(COND_INTERSTICIAL[[#This Row],[tramo cond]]),4)))+COND_INTERSTICIAL[[#This Row],[Condensa]],COND_INTERSTICIAL[[#This Row],[Capa]],INDIRECT(ADDRESS(ROW()-1,COLUMN(),4))))</f>
        <v>#N/A</v>
      </c>
      <c r="DL130" s="108" t="e" cm="1">
        <f t="array" aca="1" ref="DL130" ca="1">IF((COND_INTERSTICIAL[[#This Row],[Capa]]=N_capas)+(COND_INTERSTICIAL[[#This Row],[tramo cond]]=COUNTIFS(COND_INTERSTICIAL[Condensa],TRUE,COND_INTERSTICIAL[Mes],CW130,COND_INTERSTICIAL[Sección],CX130)+1),N_capas,INDEX(COND_INTERSTICIAL[capa lím inf cond],MATCH(COND_INTERSTICIAL[[#This Row],[Mes]]&amp;"-"&amp;COND_INTERSTICIAL[[#This Row],[Sección]]&amp;"-"&amp;(COND_INTERSTICIAL[[#This Row],[tramo cond]]+1),COND_INTERSTICIAL[llave tramo cond],0)))</f>
        <v>#N/A</v>
      </c>
      <c r="DM130" s="108" cm="1">
        <f t="array" aca="1" ref="DM13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0" s="110" t="e" cm="1">
        <f t="array" aca="1" ref="DN13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0" s="107" t="e">
        <f ca="1">COND_INTERSTICIAL[[#This Row],[gc]]+COND_INTERSTICIAL[[#This Row],[Ma_anterior cond]]</f>
        <v>#N/A</v>
      </c>
      <c r="DQ130" s="113" t="e">
        <f ca="1">IF((COND_INTERSTICIAL[[#This Row],[Ma_anterior cond]]&gt;0)*NOT(COND_INTERSTICIAL[[#This Row],[Condensa]]),TRUE,FALSE)</f>
        <v>#N/A</v>
      </c>
      <c r="DR130" s="112" t="e" cm="1">
        <f t="array" aca="1" ref="DR130" ca="1">IF(COND_INTERSTICIAL[[#This Row],[evapora]],COND_INTERSTICIAL[[#This Row],[Psat]],IF(COND_INTERSTICIAL[[#This Row],[Capa]]=N_capas,COND_INTERSTICIAL[[#This Row],[Pn]],""))</f>
        <v>#N/A</v>
      </c>
      <c r="DS130" s="112" t="e">
        <f ca="1">COND_INTERSTICIAL[[#This Row],[Mes]]&amp;"-"&amp;COND_INTERSTICIAL[[#This Row],[Sección]]&amp;"-"&amp;COND_INTERSTICIAL[[#This Row],[tramo ev]]</f>
        <v>#N/A</v>
      </c>
      <c r="DT130" s="111" t="e" cm="1">
        <f t="array" aca="1" ref="DT130" ca="1">IF(COND_INTERSTICIAL[[#This Row],[Capa]]=1,IF(COND_INTERSTICIAL[[#This Row],[evapora]],2,1),IF(COND_INTERSTICIAL[[#This Row],[evapora]],1,0)+INDIRECT(ADDRESS(ROW()-1,COLUMN(),4)))</f>
        <v>#N/A</v>
      </c>
      <c r="DU130" s="111" t="e" cm="1">
        <f t="array" aca="1" ref="DU130" ca="1">IF(COND_INTERSTICIAL[[#This Row],[tramo ev]]=1,0,IF((COND_INTERSTICIAL[[#This Row],[tramo ev]]&gt;INDIRECT(ADDRESS(ROW()-1,COLUMN(COND_INTERSTICIAL[[#This Row],[tramo ev]]),4)))+COND_INTERSTICIAL[[#This Row],[evapora]],COND_INTERSTICIAL[[#This Row],[Capa]],INDIRECT(ADDRESS(ROW()-1,COLUMN(),4))))</f>
        <v>#N/A</v>
      </c>
      <c r="DV130" s="111" t="e" cm="1">
        <f t="array" aca="1" ref="DV130" ca="1">IF((COND_INTERSTICIAL[[#This Row],[Capa]]=N_capas)+(COND_INTERSTICIAL[[#This Row],[tramo ev]]=COUNTIFS(COND_INTERSTICIAL[evapora],TRUE,COND_INTERSTICIAL[Mes],CW130,COND_INTERSTICIAL[Sección],CX130)+1),N_capas,INDEX(COND_INTERSTICIAL[capa lím inf ev],MATCH(COND_INTERSTICIAL[[#This Row],[Mes]]&amp;"-"&amp;COND_INTERSTICIAL[[#This Row],[Sección]]&amp;"-"&amp;(COND_INTERSTICIAL[[#This Row],[tramo ev]]+1),COND_INTERSTICIAL[llave tramo ev],0)))</f>
        <v>#N/A</v>
      </c>
      <c r="DW130" s="111" cm="1">
        <f t="array" aca="1" ref="DW13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0" s="113" t="e" cm="1">
        <f t="array" aca="1" ref="DX13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0" s="113" t="e">
        <f ca="1">COND_INTERSTICIAL[[#This Row],[gev]]+COND_INTERSTICIAL[[#This Row],[Ma anterior ev]]</f>
        <v>#N/A</v>
      </c>
      <c r="EA130" s="115" t="e">
        <f ca="1">IF(COND_INTERSTICIAL[[#This Row],[Ma cond]]+COND_INTERSTICIAL[[#This Row],[Ma ev]]&lt;=0,0,COND_INTERSTICIAL[[#This Row],[Ma cond]]+COND_INTERSTICIAL[[#This Row],[Ma ev]])</f>
        <v>#N/A</v>
      </c>
      <c r="EB130" s="115" t="e">
        <f ca="1">IF(COND_INTERSTICIAL[[#This Row],[Ma]]&gt;0,TRUE,FALSE)</f>
        <v>#N/A</v>
      </c>
      <c r="EC130" s="115" t="e" cm="1">
        <f t="array" aca="1" ref="EC130" ca="1">IF(COND_INTERSTICIAL[[#This Row],[agua líquida]],IF(COND_INTERSTICIAL[[#This Row],[Condensa]],COND_INTERSTICIAL[[#This Row],[P límite cond]],COND_INTERSTICIAL[[#This Row],[P límite ev]]),IF(COND_INTERSTICIAL[[#This Row],[Capa]]=N_capas,COND_INTERSTICIAL[[#This Row],[Pn]],""))</f>
        <v>#N/A</v>
      </c>
      <c r="ED130" s="115" t="e">
        <f ca="1">COND_INTERSTICIAL[[#This Row],[Mes]]&amp;"-"&amp;COND_INTERSTICIAL[[#This Row],[Sección]]&amp;"-"&amp;COND_INTERSTICIAL[[#This Row],[tramo gráf]]</f>
        <v>#N/A</v>
      </c>
      <c r="EE130" s="114" t="e" cm="1">
        <f t="array" aca="1" ref="EE130" ca="1">IF(COND_INTERSTICIAL[[#This Row],[Capa]]=1,IF(COND_INTERSTICIAL[[#This Row],[agua líquida]],2,1),IF(COND_INTERSTICIAL[[#This Row],[agua líquida]],1,0)+INDIRECT(ADDRESS(ROW()-1,COLUMN(),4)))</f>
        <v>#N/A</v>
      </c>
      <c r="EF130" s="114" t="e" cm="1">
        <f t="array" aca="1" ref="EF130" ca="1">IF(COND_INTERSTICIAL[[#This Row],[tramo gráf]]=1,0,IF((COND_INTERSTICIAL[[#This Row],[tramo gráf]]&gt;INDIRECT(ADDRESS(ROW()-1,COLUMN(COND_INTERSTICIAL[[#This Row],[tramo gráf]]),4)))+COND_INTERSTICIAL[[#This Row],[agua líquida]],COND_INTERSTICIAL[[#This Row],[Capa]],INDIRECT(ADDRESS(ROW()-1,COLUMN(),4))))</f>
        <v>#N/A</v>
      </c>
      <c r="EG130" s="114" t="e" cm="1">
        <f t="array" aca="1" ref="EG130" ca="1">IF((COND_INTERSTICIAL[[#This Row],[Capa]]=N_capas)+(COND_INTERSTICIAL[[#This Row],[tramo gráf]]=COUNTIFS(COND_INTERSTICIAL[agua líquida],TRUE,COND_INTERSTICIAL[Mes],CW130,COND_INTERSTICIAL[Sección],CX130)+1),N_capas,INDEX(COND_INTERSTICIAL[capa lím inf gráf],MATCH(COND_INTERSTICIAL[[#This Row],[Mes]]&amp;"-"&amp;COND_INTERSTICIAL[[#This Row],[Sección]]&amp;"-"&amp;(COND_INTERSTICIAL[[#This Row],[tramo gráf]]+1),COND_INTERSTICIAL[llave tramo gráf],0)))</f>
        <v>#N/A</v>
      </c>
      <c r="EH130" s="114" cm="1">
        <f t="array" aca="1" ref="EH13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0" s="116" t="e" cm="1">
        <f t="array" aca="1" ref="EI13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1" spans="101:139" x14ac:dyDescent="0.45">
      <c r="CW131" s="1" cm="1">
        <f t="array" ref="CW131">ROUNDUP((ROW()-$CN$18+(Mes_inicial_de_análisis-1)*N_capas*N_secciones)/(N_capas*N_secciones),0)-12*IF(ROW()-$CN$18&gt;(12-Mes_inicial_de_análisis+1)*N_capas*N_secciones,1,0)</f>
        <v>2</v>
      </c>
      <c r="CX131" cm="1">
        <f t="array" ref="CX131">ROUNDUP((ROW()-$CN$18)/N_capas-(ROUNDUP((ROW()-$CN$18)/(N_capas*N_secciones),0)-1)*N_secciones,0)</f>
        <v>2</v>
      </c>
      <c r="CY131" cm="1">
        <f t="array" ref="CY131">(ROW()-$CN$18)-(COND_INTERSTICIAL[[#This Row],[Sección]]-1)*N_capas-(ROUNDUP((ROW()-$CN$18)/(N_capas*N_secciones),0)-1)*N_capas*N_secciones</f>
        <v>7</v>
      </c>
      <c r="CZ131" t="str">
        <f>COND_INTERSTICIAL[[#This Row],[Mes]]&amp;"-"&amp;COND_INTERSTICIAL[[#This Row],[Sección]]&amp;"-"&amp;COND_INTERSTICIAL[[#This Row],[Capa]]</f>
        <v>2-2-7</v>
      </c>
      <c r="DA131">
        <f ca="1">INDEX(SECCIONES_CAPAS[R''n],MATCH(COND_INTERSTICIAL[[#This Row],[Sección]]&amp;"-"&amp;COND_INTERSTICIAL[[#This Row],[Capa]],SECCIONES_CAPAS[llave],0))</f>
        <v>0.04</v>
      </c>
      <c r="DB131" s="172" t="e" cm="1">
        <f t="array" aca="1" ref="DB131" ca="1">INDEX(CLIMA[ϴe],COND_INTERSTICIAL[[#This Row],[Mes]])+COND_INTERSTICIAL[[#This Row],[Rn]]*(INDEX(CLIMA[ϴi],COND_INTERSTICIAL[[#This Row],[Mes]])-INDEX(CLIMA[ϴe],COND_INTERSTICIAL[[#This Row],[Mes]]))/(INDEX(SECCIONES[Rtsección_condensación],COND_INTERSTICIAL[[#This Row],[Sección]]))</f>
        <v>#N/A</v>
      </c>
      <c r="DC131">
        <f>INDEX(SECCIONES_CAPAS[Sd],MATCH(COND_INTERSTICIAL[[#This Row],[Sección]]&amp;"-"&amp;COND_INTERSTICIAL[[#This Row],[Capa]],SECCIONES_CAPAS[llave],0))</f>
        <v>0</v>
      </c>
      <c r="DD131">
        <f ca="1">INDEX(SECCIONES_CAPAS[S''d],MATCH(COND_INTERSTICIAL[[#This Row],[Sección]]&amp;"-"&amp;COND_INTERSTICIAL[[#This Row],[Capa]],SECCIONES_CAPAS[llave],0))</f>
        <v>0</v>
      </c>
      <c r="DE131" s="90" t="e">
        <f ca="1">IF(COND_INTERSTICIAL[[#This Row],[ϴn]]&gt;=0,610.5*EXP((17.269*COND_INTERSTICIAL[[#This Row],[ϴn]])/(237.3+COND_INTERSTICIAL[[#This Row],[ϴn]])),610.5*EXP((21.875*COND_INTERSTICIAL[[#This Row],[ϴn]])/(265.5+COND_INTERSTICIAL[[#This Row],[ϴn]])))</f>
        <v>#N/A</v>
      </c>
      <c r="DF131" s="90" t="e" cm="1">
        <f t="array" aca="1" ref="DF131" ca="1">COND_INTERSTICIAL[[#This Row],[S''d]]*((INDEX(CLIMA[Pi],COND_INTERSTICIAL[[#This Row],[Mes]])-INDEX(CLIMA[Pe],COND_INTERSTICIAL[[#This Row],[Mes]]))/INDEX(SECCIONES[SdT],COND_INTERSTICIAL[[#This Row],[Sección]]))+INDEX(CLIMA[Pe],COND_INTERSTICIAL[[#This Row],[Mes]])</f>
        <v>#N/A</v>
      </c>
      <c r="DG131" s="108" t="e">
        <f ca="1">IF((COND_INTERSTICIAL[[#This Row],[Pn]]&gt;=COND_INTERSTICIAL[[#This Row],[Psat]]),TRUE,FALSE)</f>
        <v>#N/A</v>
      </c>
      <c r="DH131" s="109" t="e" cm="1">
        <f t="array" aca="1" ref="DH131" ca="1">IF(COND_INTERSTICIAL[[#This Row],[Condensa]],COND_INTERSTICIAL[[#This Row],[Psat]],IF(COND_INTERSTICIAL[[#This Row],[Capa]]=N_capas,COND_INTERSTICIAL[[#This Row],[Pn]],""))</f>
        <v>#N/A</v>
      </c>
      <c r="DI131" s="109" t="e">
        <f ca="1">COND_INTERSTICIAL[[#This Row],[Mes]]&amp;"-"&amp;COND_INTERSTICIAL[[#This Row],[Sección]]&amp;"-"&amp;COND_INTERSTICIAL[[#This Row],[tramo cond]]</f>
        <v>#N/A</v>
      </c>
      <c r="DJ131" t="e" cm="1">
        <f t="array" aca="1" ref="DJ131" ca="1">IF(COND_INTERSTICIAL[[#This Row],[Capa]]=1,IF(COND_INTERSTICIAL[[#This Row],[Condensa]],2,1),IF(COND_INTERSTICIAL[[#This Row],[Condensa]],1,0)+INDIRECT(ADDRESS(ROW()-1,COLUMN(),4)))</f>
        <v>#N/A</v>
      </c>
      <c r="DK131" s="108" t="e" cm="1">
        <f t="array" aca="1" ref="DK131" ca="1">IF(COND_INTERSTICIAL[[#This Row],[tramo cond]]=1,0,IF((COND_INTERSTICIAL[[#This Row],[tramo cond]]&gt;INDIRECT(ADDRESS(ROW()-1,COLUMN(COND_INTERSTICIAL[[#This Row],[tramo cond]]),4)))+COND_INTERSTICIAL[[#This Row],[Condensa]],COND_INTERSTICIAL[[#This Row],[Capa]],INDIRECT(ADDRESS(ROW()-1,COLUMN(),4))))</f>
        <v>#N/A</v>
      </c>
      <c r="DL131" s="108" t="e" cm="1">
        <f t="array" aca="1" ref="DL131" ca="1">IF((COND_INTERSTICIAL[[#This Row],[Capa]]=N_capas)+(COND_INTERSTICIAL[[#This Row],[tramo cond]]=COUNTIFS(COND_INTERSTICIAL[Condensa],TRUE,COND_INTERSTICIAL[Mes],CW131,COND_INTERSTICIAL[Sección],CX131)+1),N_capas,INDEX(COND_INTERSTICIAL[capa lím inf cond],MATCH(COND_INTERSTICIAL[[#This Row],[Mes]]&amp;"-"&amp;COND_INTERSTICIAL[[#This Row],[Sección]]&amp;"-"&amp;(COND_INTERSTICIAL[[#This Row],[tramo cond]]+1),COND_INTERSTICIAL[llave tramo cond],0)))</f>
        <v>#N/A</v>
      </c>
      <c r="DM131" s="108" cm="1">
        <f t="array" aca="1" ref="DM13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1" s="110" t="e" cm="1">
        <f t="array" aca="1" ref="DN13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1" s="107" t="e">
        <f ca="1">COND_INTERSTICIAL[[#This Row],[gc]]+COND_INTERSTICIAL[[#This Row],[Ma_anterior cond]]</f>
        <v>#N/A</v>
      </c>
      <c r="DQ131" s="113" t="e">
        <f ca="1">IF((COND_INTERSTICIAL[[#This Row],[Ma_anterior cond]]&gt;0)*NOT(COND_INTERSTICIAL[[#This Row],[Condensa]]),TRUE,FALSE)</f>
        <v>#N/A</v>
      </c>
      <c r="DR131" s="112" t="e" cm="1">
        <f t="array" aca="1" ref="DR131" ca="1">IF(COND_INTERSTICIAL[[#This Row],[evapora]],COND_INTERSTICIAL[[#This Row],[Psat]],IF(COND_INTERSTICIAL[[#This Row],[Capa]]=N_capas,COND_INTERSTICIAL[[#This Row],[Pn]],""))</f>
        <v>#N/A</v>
      </c>
      <c r="DS131" s="112" t="e">
        <f ca="1">COND_INTERSTICIAL[[#This Row],[Mes]]&amp;"-"&amp;COND_INTERSTICIAL[[#This Row],[Sección]]&amp;"-"&amp;COND_INTERSTICIAL[[#This Row],[tramo ev]]</f>
        <v>#N/A</v>
      </c>
      <c r="DT131" s="111" t="e" cm="1">
        <f t="array" aca="1" ref="DT131" ca="1">IF(COND_INTERSTICIAL[[#This Row],[Capa]]=1,IF(COND_INTERSTICIAL[[#This Row],[evapora]],2,1),IF(COND_INTERSTICIAL[[#This Row],[evapora]],1,0)+INDIRECT(ADDRESS(ROW()-1,COLUMN(),4)))</f>
        <v>#N/A</v>
      </c>
      <c r="DU131" s="111" t="e" cm="1">
        <f t="array" aca="1" ref="DU131" ca="1">IF(COND_INTERSTICIAL[[#This Row],[tramo ev]]=1,0,IF((COND_INTERSTICIAL[[#This Row],[tramo ev]]&gt;INDIRECT(ADDRESS(ROW()-1,COLUMN(COND_INTERSTICIAL[[#This Row],[tramo ev]]),4)))+COND_INTERSTICIAL[[#This Row],[evapora]],COND_INTERSTICIAL[[#This Row],[Capa]],INDIRECT(ADDRESS(ROW()-1,COLUMN(),4))))</f>
        <v>#N/A</v>
      </c>
      <c r="DV131" s="111" t="e" cm="1">
        <f t="array" aca="1" ref="DV131" ca="1">IF((COND_INTERSTICIAL[[#This Row],[Capa]]=N_capas)+(COND_INTERSTICIAL[[#This Row],[tramo ev]]=COUNTIFS(COND_INTERSTICIAL[evapora],TRUE,COND_INTERSTICIAL[Mes],CW131,COND_INTERSTICIAL[Sección],CX131)+1),N_capas,INDEX(COND_INTERSTICIAL[capa lím inf ev],MATCH(COND_INTERSTICIAL[[#This Row],[Mes]]&amp;"-"&amp;COND_INTERSTICIAL[[#This Row],[Sección]]&amp;"-"&amp;(COND_INTERSTICIAL[[#This Row],[tramo ev]]+1),COND_INTERSTICIAL[llave tramo ev],0)))</f>
        <v>#N/A</v>
      </c>
      <c r="DW131" s="111" cm="1">
        <f t="array" aca="1" ref="DW13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1" s="113" t="e" cm="1">
        <f t="array" aca="1" ref="DX13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1" s="113" t="e">
        <f ca="1">COND_INTERSTICIAL[[#This Row],[gev]]+COND_INTERSTICIAL[[#This Row],[Ma anterior ev]]</f>
        <v>#N/A</v>
      </c>
      <c r="EA131" s="115" t="e">
        <f ca="1">IF(COND_INTERSTICIAL[[#This Row],[Ma cond]]+COND_INTERSTICIAL[[#This Row],[Ma ev]]&lt;=0,0,COND_INTERSTICIAL[[#This Row],[Ma cond]]+COND_INTERSTICIAL[[#This Row],[Ma ev]])</f>
        <v>#N/A</v>
      </c>
      <c r="EB131" s="115" t="e">
        <f ca="1">IF(COND_INTERSTICIAL[[#This Row],[Ma]]&gt;0,TRUE,FALSE)</f>
        <v>#N/A</v>
      </c>
      <c r="EC131" s="115" t="e" cm="1">
        <f t="array" aca="1" ref="EC131" ca="1">IF(COND_INTERSTICIAL[[#This Row],[agua líquida]],IF(COND_INTERSTICIAL[[#This Row],[Condensa]],COND_INTERSTICIAL[[#This Row],[P límite cond]],COND_INTERSTICIAL[[#This Row],[P límite ev]]),IF(COND_INTERSTICIAL[[#This Row],[Capa]]=N_capas,COND_INTERSTICIAL[[#This Row],[Pn]],""))</f>
        <v>#N/A</v>
      </c>
      <c r="ED131" s="115" t="e">
        <f ca="1">COND_INTERSTICIAL[[#This Row],[Mes]]&amp;"-"&amp;COND_INTERSTICIAL[[#This Row],[Sección]]&amp;"-"&amp;COND_INTERSTICIAL[[#This Row],[tramo gráf]]</f>
        <v>#N/A</v>
      </c>
      <c r="EE131" s="114" t="e" cm="1">
        <f t="array" aca="1" ref="EE131" ca="1">IF(COND_INTERSTICIAL[[#This Row],[Capa]]=1,IF(COND_INTERSTICIAL[[#This Row],[agua líquida]],2,1),IF(COND_INTERSTICIAL[[#This Row],[agua líquida]],1,0)+INDIRECT(ADDRESS(ROW()-1,COLUMN(),4)))</f>
        <v>#N/A</v>
      </c>
      <c r="EF131" s="114" t="e" cm="1">
        <f t="array" aca="1" ref="EF131" ca="1">IF(COND_INTERSTICIAL[[#This Row],[tramo gráf]]=1,0,IF((COND_INTERSTICIAL[[#This Row],[tramo gráf]]&gt;INDIRECT(ADDRESS(ROW()-1,COLUMN(COND_INTERSTICIAL[[#This Row],[tramo gráf]]),4)))+COND_INTERSTICIAL[[#This Row],[agua líquida]],COND_INTERSTICIAL[[#This Row],[Capa]],INDIRECT(ADDRESS(ROW()-1,COLUMN(),4))))</f>
        <v>#N/A</v>
      </c>
      <c r="EG131" s="114" t="e" cm="1">
        <f t="array" aca="1" ref="EG131" ca="1">IF((COND_INTERSTICIAL[[#This Row],[Capa]]=N_capas)+(COND_INTERSTICIAL[[#This Row],[tramo gráf]]=COUNTIFS(COND_INTERSTICIAL[agua líquida],TRUE,COND_INTERSTICIAL[Mes],CW131,COND_INTERSTICIAL[Sección],CX131)+1),N_capas,INDEX(COND_INTERSTICIAL[capa lím inf gráf],MATCH(COND_INTERSTICIAL[[#This Row],[Mes]]&amp;"-"&amp;COND_INTERSTICIAL[[#This Row],[Sección]]&amp;"-"&amp;(COND_INTERSTICIAL[[#This Row],[tramo gráf]]+1),COND_INTERSTICIAL[llave tramo gráf],0)))</f>
        <v>#N/A</v>
      </c>
      <c r="EH131" s="114" cm="1">
        <f t="array" aca="1" ref="EH13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1" s="116" t="e" cm="1">
        <f t="array" aca="1" ref="EI13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2" spans="101:139" x14ac:dyDescent="0.45">
      <c r="CW132" s="1" cm="1">
        <f t="array" ref="CW132">ROUNDUP((ROW()-$CN$18+(Mes_inicial_de_análisis-1)*N_capas*N_secciones)/(N_capas*N_secciones),0)-12*IF(ROW()-$CN$18&gt;(12-Mes_inicial_de_análisis+1)*N_capas*N_secciones,1,0)</f>
        <v>3</v>
      </c>
      <c r="CX132" cm="1">
        <f t="array" ref="CX132">ROUNDUP((ROW()-$CN$18)/N_capas-(ROUNDUP((ROW()-$CN$18)/(N_capas*N_secciones),0)-1)*N_secciones,0)</f>
        <v>1</v>
      </c>
      <c r="CY132" cm="1">
        <f t="array" ref="CY132">(ROW()-$CN$18)-(COND_INTERSTICIAL[[#This Row],[Sección]]-1)*N_capas-(ROUNDUP((ROW()-$CN$18)/(N_capas*N_secciones),0)-1)*N_capas*N_secciones</f>
        <v>1</v>
      </c>
      <c r="CZ132" t="str">
        <f>COND_INTERSTICIAL[[#This Row],[Mes]]&amp;"-"&amp;COND_INTERSTICIAL[[#This Row],[Sección]]&amp;"-"&amp;COND_INTERSTICIAL[[#This Row],[Capa]]</f>
        <v>3-1-1</v>
      </c>
      <c r="DA132">
        <f ca="1">INDEX(SECCIONES_CAPAS[R''n],MATCH(COND_INTERSTICIAL[[#This Row],[Sección]]&amp;"-"&amp;COND_INTERSTICIAL[[#This Row],[Capa]],SECCIONES_CAPAS[llave],0))</f>
        <v>0.04</v>
      </c>
      <c r="DB132" s="172" t="e" cm="1">
        <f t="array" aca="1" ref="DB132" ca="1">INDEX(CLIMA[ϴe],COND_INTERSTICIAL[[#This Row],[Mes]])+COND_INTERSTICIAL[[#This Row],[Rn]]*(INDEX(CLIMA[ϴi],COND_INTERSTICIAL[[#This Row],[Mes]])-INDEX(CLIMA[ϴe],COND_INTERSTICIAL[[#This Row],[Mes]]))/(INDEX(SECCIONES[Rtsección_condensación],COND_INTERSTICIAL[[#This Row],[Sección]]))</f>
        <v>#N/A</v>
      </c>
      <c r="DC132">
        <f>INDEX(SECCIONES_CAPAS[Sd],MATCH(COND_INTERSTICIAL[[#This Row],[Sección]]&amp;"-"&amp;COND_INTERSTICIAL[[#This Row],[Capa]],SECCIONES_CAPAS[llave],0))</f>
        <v>0</v>
      </c>
      <c r="DD132">
        <f ca="1">INDEX(SECCIONES_CAPAS[S''d],MATCH(COND_INTERSTICIAL[[#This Row],[Sección]]&amp;"-"&amp;COND_INTERSTICIAL[[#This Row],[Capa]],SECCIONES_CAPAS[llave],0))</f>
        <v>0</v>
      </c>
      <c r="DE132" s="90" t="e">
        <f ca="1">IF(COND_INTERSTICIAL[[#This Row],[ϴn]]&gt;=0,610.5*EXP((17.269*COND_INTERSTICIAL[[#This Row],[ϴn]])/(237.3+COND_INTERSTICIAL[[#This Row],[ϴn]])),610.5*EXP((21.875*COND_INTERSTICIAL[[#This Row],[ϴn]])/(265.5+COND_INTERSTICIAL[[#This Row],[ϴn]])))</f>
        <v>#N/A</v>
      </c>
      <c r="DF132" s="90" t="e" cm="1">
        <f t="array" aca="1" ref="DF132" ca="1">COND_INTERSTICIAL[[#This Row],[S''d]]*((INDEX(CLIMA[Pi],COND_INTERSTICIAL[[#This Row],[Mes]])-INDEX(CLIMA[Pe],COND_INTERSTICIAL[[#This Row],[Mes]]))/INDEX(SECCIONES[SdT],COND_INTERSTICIAL[[#This Row],[Sección]]))+INDEX(CLIMA[Pe],COND_INTERSTICIAL[[#This Row],[Mes]])</f>
        <v>#N/A</v>
      </c>
      <c r="DG132" s="108" t="e">
        <f ca="1">IF((COND_INTERSTICIAL[[#This Row],[Pn]]&gt;=COND_INTERSTICIAL[[#This Row],[Psat]]),TRUE,FALSE)</f>
        <v>#N/A</v>
      </c>
      <c r="DH132" s="109" t="e" cm="1">
        <f t="array" aca="1" ref="DH132" ca="1">IF(COND_INTERSTICIAL[[#This Row],[Condensa]],COND_INTERSTICIAL[[#This Row],[Psat]],IF(COND_INTERSTICIAL[[#This Row],[Capa]]=N_capas,COND_INTERSTICIAL[[#This Row],[Pn]],""))</f>
        <v>#N/A</v>
      </c>
      <c r="DI132" s="109" t="e">
        <f ca="1">COND_INTERSTICIAL[[#This Row],[Mes]]&amp;"-"&amp;COND_INTERSTICIAL[[#This Row],[Sección]]&amp;"-"&amp;COND_INTERSTICIAL[[#This Row],[tramo cond]]</f>
        <v>#N/A</v>
      </c>
      <c r="DJ132" t="e" cm="1">
        <f t="array" aca="1" ref="DJ132" ca="1">IF(COND_INTERSTICIAL[[#This Row],[Capa]]=1,IF(COND_INTERSTICIAL[[#This Row],[Condensa]],2,1),IF(COND_INTERSTICIAL[[#This Row],[Condensa]],1,0)+INDIRECT(ADDRESS(ROW()-1,COLUMN(),4)))</f>
        <v>#N/A</v>
      </c>
      <c r="DK132" s="108" t="e" cm="1">
        <f t="array" aca="1" ref="DK132" ca="1">IF(COND_INTERSTICIAL[[#This Row],[tramo cond]]=1,0,IF((COND_INTERSTICIAL[[#This Row],[tramo cond]]&gt;INDIRECT(ADDRESS(ROW()-1,COLUMN(COND_INTERSTICIAL[[#This Row],[tramo cond]]),4)))+COND_INTERSTICIAL[[#This Row],[Condensa]],COND_INTERSTICIAL[[#This Row],[Capa]],INDIRECT(ADDRESS(ROW()-1,COLUMN(),4))))</f>
        <v>#N/A</v>
      </c>
      <c r="DL132" s="108" t="e" cm="1">
        <f t="array" aca="1" ref="DL132" ca="1">IF((COND_INTERSTICIAL[[#This Row],[Capa]]=N_capas)+(COND_INTERSTICIAL[[#This Row],[tramo cond]]=COUNTIFS(COND_INTERSTICIAL[Condensa],TRUE,COND_INTERSTICIAL[Mes],CW132,COND_INTERSTICIAL[Sección],CX132)+1),N_capas,INDEX(COND_INTERSTICIAL[capa lím inf cond],MATCH(COND_INTERSTICIAL[[#This Row],[Mes]]&amp;"-"&amp;COND_INTERSTICIAL[[#This Row],[Sección]]&amp;"-"&amp;(COND_INTERSTICIAL[[#This Row],[tramo cond]]+1),COND_INTERSTICIAL[llave tramo cond],0)))</f>
        <v>#N/A</v>
      </c>
      <c r="DM132" s="108" cm="1">
        <f t="array" aca="1" ref="DM13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2" s="110" t="e" cm="1">
        <f t="array" aca="1" ref="DN13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2" s="107" t="e">
        <f ca="1">COND_INTERSTICIAL[[#This Row],[gc]]+COND_INTERSTICIAL[[#This Row],[Ma_anterior cond]]</f>
        <v>#N/A</v>
      </c>
      <c r="DQ132" s="113" t="e">
        <f ca="1">IF((COND_INTERSTICIAL[[#This Row],[Ma_anterior cond]]&gt;0)*NOT(COND_INTERSTICIAL[[#This Row],[Condensa]]),TRUE,FALSE)</f>
        <v>#N/A</v>
      </c>
      <c r="DR132" s="112" t="e" cm="1">
        <f t="array" aca="1" ref="DR132" ca="1">IF(COND_INTERSTICIAL[[#This Row],[evapora]],COND_INTERSTICIAL[[#This Row],[Psat]],IF(COND_INTERSTICIAL[[#This Row],[Capa]]=N_capas,COND_INTERSTICIAL[[#This Row],[Pn]],""))</f>
        <v>#N/A</v>
      </c>
      <c r="DS132" s="112" t="e">
        <f ca="1">COND_INTERSTICIAL[[#This Row],[Mes]]&amp;"-"&amp;COND_INTERSTICIAL[[#This Row],[Sección]]&amp;"-"&amp;COND_INTERSTICIAL[[#This Row],[tramo ev]]</f>
        <v>#N/A</v>
      </c>
      <c r="DT132" s="111" t="e" cm="1">
        <f t="array" aca="1" ref="DT132" ca="1">IF(COND_INTERSTICIAL[[#This Row],[Capa]]=1,IF(COND_INTERSTICIAL[[#This Row],[evapora]],2,1),IF(COND_INTERSTICIAL[[#This Row],[evapora]],1,0)+INDIRECT(ADDRESS(ROW()-1,COLUMN(),4)))</f>
        <v>#N/A</v>
      </c>
      <c r="DU132" s="111" t="e" cm="1">
        <f t="array" aca="1" ref="DU132" ca="1">IF(COND_INTERSTICIAL[[#This Row],[tramo ev]]=1,0,IF((COND_INTERSTICIAL[[#This Row],[tramo ev]]&gt;INDIRECT(ADDRESS(ROW()-1,COLUMN(COND_INTERSTICIAL[[#This Row],[tramo ev]]),4)))+COND_INTERSTICIAL[[#This Row],[evapora]],COND_INTERSTICIAL[[#This Row],[Capa]],INDIRECT(ADDRESS(ROW()-1,COLUMN(),4))))</f>
        <v>#N/A</v>
      </c>
      <c r="DV132" s="111" t="e" cm="1">
        <f t="array" aca="1" ref="DV132" ca="1">IF((COND_INTERSTICIAL[[#This Row],[Capa]]=N_capas)+(COND_INTERSTICIAL[[#This Row],[tramo ev]]=COUNTIFS(COND_INTERSTICIAL[evapora],TRUE,COND_INTERSTICIAL[Mes],CW132,COND_INTERSTICIAL[Sección],CX132)+1),N_capas,INDEX(COND_INTERSTICIAL[capa lím inf ev],MATCH(COND_INTERSTICIAL[[#This Row],[Mes]]&amp;"-"&amp;COND_INTERSTICIAL[[#This Row],[Sección]]&amp;"-"&amp;(COND_INTERSTICIAL[[#This Row],[tramo ev]]+1),COND_INTERSTICIAL[llave tramo ev],0)))</f>
        <v>#N/A</v>
      </c>
      <c r="DW132" s="111" cm="1">
        <f t="array" aca="1" ref="DW13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2" s="113" t="e" cm="1">
        <f t="array" aca="1" ref="DX13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2" s="113" t="e">
        <f ca="1">COND_INTERSTICIAL[[#This Row],[gev]]+COND_INTERSTICIAL[[#This Row],[Ma anterior ev]]</f>
        <v>#N/A</v>
      </c>
      <c r="EA132" s="115" t="e">
        <f ca="1">IF(COND_INTERSTICIAL[[#This Row],[Ma cond]]+COND_INTERSTICIAL[[#This Row],[Ma ev]]&lt;=0,0,COND_INTERSTICIAL[[#This Row],[Ma cond]]+COND_INTERSTICIAL[[#This Row],[Ma ev]])</f>
        <v>#N/A</v>
      </c>
      <c r="EB132" s="115" t="e">
        <f ca="1">IF(COND_INTERSTICIAL[[#This Row],[Ma]]&gt;0,TRUE,FALSE)</f>
        <v>#N/A</v>
      </c>
      <c r="EC132" s="115" t="e" cm="1">
        <f t="array" aca="1" ref="EC132" ca="1">IF(COND_INTERSTICIAL[[#This Row],[agua líquida]],IF(COND_INTERSTICIAL[[#This Row],[Condensa]],COND_INTERSTICIAL[[#This Row],[P límite cond]],COND_INTERSTICIAL[[#This Row],[P límite ev]]),IF(COND_INTERSTICIAL[[#This Row],[Capa]]=N_capas,COND_INTERSTICIAL[[#This Row],[Pn]],""))</f>
        <v>#N/A</v>
      </c>
      <c r="ED132" s="115" t="e">
        <f ca="1">COND_INTERSTICIAL[[#This Row],[Mes]]&amp;"-"&amp;COND_INTERSTICIAL[[#This Row],[Sección]]&amp;"-"&amp;COND_INTERSTICIAL[[#This Row],[tramo gráf]]</f>
        <v>#N/A</v>
      </c>
      <c r="EE132" s="114" t="e" cm="1">
        <f t="array" aca="1" ref="EE132" ca="1">IF(COND_INTERSTICIAL[[#This Row],[Capa]]=1,IF(COND_INTERSTICIAL[[#This Row],[agua líquida]],2,1),IF(COND_INTERSTICIAL[[#This Row],[agua líquida]],1,0)+INDIRECT(ADDRESS(ROW()-1,COLUMN(),4)))</f>
        <v>#N/A</v>
      </c>
      <c r="EF132" s="114" t="e" cm="1">
        <f t="array" aca="1" ref="EF132" ca="1">IF(COND_INTERSTICIAL[[#This Row],[tramo gráf]]=1,0,IF((COND_INTERSTICIAL[[#This Row],[tramo gráf]]&gt;INDIRECT(ADDRESS(ROW()-1,COLUMN(COND_INTERSTICIAL[[#This Row],[tramo gráf]]),4)))+COND_INTERSTICIAL[[#This Row],[agua líquida]],COND_INTERSTICIAL[[#This Row],[Capa]],INDIRECT(ADDRESS(ROW()-1,COLUMN(),4))))</f>
        <v>#N/A</v>
      </c>
      <c r="EG132" s="114" t="e" cm="1">
        <f t="array" aca="1" ref="EG132" ca="1">IF((COND_INTERSTICIAL[[#This Row],[Capa]]=N_capas)+(COND_INTERSTICIAL[[#This Row],[tramo gráf]]=COUNTIFS(COND_INTERSTICIAL[agua líquida],TRUE,COND_INTERSTICIAL[Mes],CW132,COND_INTERSTICIAL[Sección],CX132)+1),N_capas,INDEX(COND_INTERSTICIAL[capa lím inf gráf],MATCH(COND_INTERSTICIAL[[#This Row],[Mes]]&amp;"-"&amp;COND_INTERSTICIAL[[#This Row],[Sección]]&amp;"-"&amp;(COND_INTERSTICIAL[[#This Row],[tramo gráf]]+1),COND_INTERSTICIAL[llave tramo gráf],0)))</f>
        <v>#N/A</v>
      </c>
      <c r="EH132" s="114" cm="1">
        <f t="array" aca="1" ref="EH13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2" s="116" t="e" cm="1">
        <f t="array" aca="1" ref="EI13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3" spans="101:139" x14ac:dyDescent="0.45">
      <c r="CW133" s="1" cm="1">
        <f t="array" ref="CW133">ROUNDUP((ROW()-$CN$18+(Mes_inicial_de_análisis-1)*N_capas*N_secciones)/(N_capas*N_secciones),0)-12*IF(ROW()-$CN$18&gt;(12-Mes_inicial_de_análisis+1)*N_capas*N_secciones,1,0)</f>
        <v>3</v>
      </c>
      <c r="CX133" cm="1">
        <f t="array" ref="CX133">ROUNDUP((ROW()-$CN$18)/N_capas-(ROUNDUP((ROW()-$CN$18)/(N_capas*N_secciones),0)-1)*N_secciones,0)</f>
        <v>1</v>
      </c>
      <c r="CY133" cm="1">
        <f t="array" ref="CY133">(ROW()-$CN$18)-(COND_INTERSTICIAL[[#This Row],[Sección]]-1)*N_capas-(ROUNDUP((ROW()-$CN$18)/(N_capas*N_secciones),0)-1)*N_capas*N_secciones</f>
        <v>2</v>
      </c>
      <c r="CZ133" t="str">
        <f>COND_INTERSTICIAL[[#This Row],[Mes]]&amp;"-"&amp;COND_INTERSTICIAL[[#This Row],[Sección]]&amp;"-"&amp;COND_INTERSTICIAL[[#This Row],[Capa]]</f>
        <v>3-1-2</v>
      </c>
      <c r="DA133">
        <f ca="1">INDEX(SECCIONES_CAPAS[R''n],MATCH(COND_INTERSTICIAL[[#This Row],[Sección]]&amp;"-"&amp;COND_INTERSTICIAL[[#This Row],[Capa]],SECCIONES_CAPAS[llave],0))</f>
        <v>0.04</v>
      </c>
      <c r="DB133" s="172" t="e" cm="1">
        <f t="array" aca="1" ref="DB133" ca="1">INDEX(CLIMA[ϴe],COND_INTERSTICIAL[[#This Row],[Mes]])+COND_INTERSTICIAL[[#This Row],[Rn]]*(INDEX(CLIMA[ϴi],COND_INTERSTICIAL[[#This Row],[Mes]])-INDEX(CLIMA[ϴe],COND_INTERSTICIAL[[#This Row],[Mes]]))/(INDEX(SECCIONES[Rtsección_condensación],COND_INTERSTICIAL[[#This Row],[Sección]]))</f>
        <v>#N/A</v>
      </c>
      <c r="DC133">
        <f>INDEX(SECCIONES_CAPAS[Sd],MATCH(COND_INTERSTICIAL[[#This Row],[Sección]]&amp;"-"&amp;COND_INTERSTICIAL[[#This Row],[Capa]],SECCIONES_CAPAS[llave],0))</f>
        <v>0</v>
      </c>
      <c r="DD133">
        <f ca="1">INDEX(SECCIONES_CAPAS[S''d],MATCH(COND_INTERSTICIAL[[#This Row],[Sección]]&amp;"-"&amp;COND_INTERSTICIAL[[#This Row],[Capa]],SECCIONES_CAPAS[llave],0))</f>
        <v>0</v>
      </c>
      <c r="DE133" s="90" t="e">
        <f ca="1">IF(COND_INTERSTICIAL[[#This Row],[ϴn]]&gt;=0,610.5*EXP((17.269*COND_INTERSTICIAL[[#This Row],[ϴn]])/(237.3+COND_INTERSTICIAL[[#This Row],[ϴn]])),610.5*EXP((21.875*COND_INTERSTICIAL[[#This Row],[ϴn]])/(265.5+COND_INTERSTICIAL[[#This Row],[ϴn]])))</f>
        <v>#N/A</v>
      </c>
      <c r="DF133" s="90" t="e" cm="1">
        <f t="array" aca="1" ref="DF133" ca="1">COND_INTERSTICIAL[[#This Row],[S''d]]*((INDEX(CLIMA[Pi],COND_INTERSTICIAL[[#This Row],[Mes]])-INDEX(CLIMA[Pe],COND_INTERSTICIAL[[#This Row],[Mes]]))/INDEX(SECCIONES[SdT],COND_INTERSTICIAL[[#This Row],[Sección]]))+INDEX(CLIMA[Pe],COND_INTERSTICIAL[[#This Row],[Mes]])</f>
        <v>#N/A</v>
      </c>
      <c r="DG133" s="108" t="e">
        <f ca="1">IF((COND_INTERSTICIAL[[#This Row],[Pn]]&gt;=COND_INTERSTICIAL[[#This Row],[Psat]]),TRUE,FALSE)</f>
        <v>#N/A</v>
      </c>
      <c r="DH133" s="109" t="e" cm="1">
        <f t="array" aca="1" ref="DH133" ca="1">IF(COND_INTERSTICIAL[[#This Row],[Condensa]],COND_INTERSTICIAL[[#This Row],[Psat]],IF(COND_INTERSTICIAL[[#This Row],[Capa]]=N_capas,COND_INTERSTICIAL[[#This Row],[Pn]],""))</f>
        <v>#N/A</v>
      </c>
      <c r="DI133" s="109" t="e">
        <f ca="1">COND_INTERSTICIAL[[#This Row],[Mes]]&amp;"-"&amp;COND_INTERSTICIAL[[#This Row],[Sección]]&amp;"-"&amp;COND_INTERSTICIAL[[#This Row],[tramo cond]]</f>
        <v>#N/A</v>
      </c>
      <c r="DJ133" t="e" cm="1">
        <f t="array" aca="1" ref="DJ133" ca="1">IF(COND_INTERSTICIAL[[#This Row],[Capa]]=1,IF(COND_INTERSTICIAL[[#This Row],[Condensa]],2,1),IF(COND_INTERSTICIAL[[#This Row],[Condensa]],1,0)+INDIRECT(ADDRESS(ROW()-1,COLUMN(),4)))</f>
        <v>#N/A</v>
      </c>
      <c r="DK133" s="108" t="e" cm="1">
        <f t="array" aca="1" ref="DK133" ca="1">IF(COND_INTERSTICIAL[[#This Row],[tramo cond]]=1,0,IF((COND_INTERSTICIAL[[#This Row],[tramo cond]]&gt;INDIRECT(ADDRESS(ROW()-1,COLUMN(COND_INTERSTICIAL[[#This Row],[tramo cond]]),4)))+COND_INTERSTICIAL[[#This Row],[Condensa]],COND_INTERSTICIAL[[#This Row],[Capa]],INDIRECT(ADDRESS(ROW()-1,COLUMN(),4))))</f>
        <v>#N/A</v>
      </c>
      <c r="DL133" s="108" t="e" cm="1">
        <f t="array" aca="1" ref="DL133" ca="1">IF((COND_INTERSTICIAL[[#This Row],[Capa]]=N_capas)+(COND_INTERSTICIAL[[#This Row],[tramo cond]]=COUNTIFS(COND_INTERSTICIAL[Condensa],TRUE,COND_INTERSTICIAL[Mes],CW133,COND_INTERSTICIAL[Sección],CX133)+1),N_capas,INDEX(COND_INTERSTICIAL[capa lím inf cond],MATCH(COND_INTERSTICIAL[[#This Row],[Mes]]&amp;"-"&amp;COND_INTERSTICIAL[[#This Row],[Sección]]&amp;"-"&amp;(COND_INTERSTICIAL[[#This Row],[tramo cond]]+1),COND_INTERSTICIAL[llave tramo cond],0)))</f>
        <v>#N/A</v>
      </c>
      <c r="DM133" s="108" cm="1">
        <f t="array" aca="1" ref="DM13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3" s="110" t="e" cm="1">
        <f t="array" aca="1" ref="DN13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3" s="107" t="e">
        <f ca="1">COND_INTERSTICIAL[[#This Row],[gc]]+COND_INTERSTICIAL[[#This Row],[Ma_anterior cond]]</f>
        <v>#N/A</v>
      </c>
      <c r="DQ133" s="113" t="e">
        <f ca="1">IF((COND_INTERSTICIAL[[#This Row],[Ma_anterior cond]]&gt;0)*NOT(COND_INTERSTICIAL[[#This Row],[Condensa]]),TRUE,FALSE)</f>
        <v>#N/A</v>
      </c>
      <c r="DR133" s="112" t="e" cm="1">
        <f t="array" aca="1" ref="DR133" ca="1">IF(COND_INTERSTICIAL[[#This Row],[evapora]],COND_INTERSTICIAL[[#This Row],[Psat]],IF(COND_INTERSTICIAL[[#This Row],[Capa]]=N_capas,COND_INTERSTICIAL[[#This Row],[Pn]],""))</f>
        <v>#N/A</v>
      </c>
      <c r="DS133" s="112" t="e">
        <f ca="1">COND_INTERSTICIAL[[#This Row],[Mes]]&amp;"-"&amp;COND_INTERSTICIAL[[#This Row],[Sección]]&amp;"-"&amp;COND_INTERSTICIAL[[#This Row],[tramo ev]]</f>
        <v>#N/A</v>
      </c>
      <c r="DT133" s="111" t="e" cm="1">
        <f t="array" aca="1" ref="DT133" ca="1">IF(COND_INTERSTICIAL[[#This Row],[Capa]]=1,IF(COND_INTERSTICIAL[[#This Row],[evapora]],2,1),IF(COND_INTERSTICIAL[[#This Row],[evapora]],1,0)+INDIRECT(ADDRESS(ROW()-1,COLUMN(),4)))</f>
        <v>#N/A</v>
      </c>
      <c r="DU133" s="111" t="e" cm="1">
        <f t="array" aca="1" ref="DU133" ca="1">IF(COND_INTERSTICIAL[[#This Row],[tramo ev]]=1,0,IF((COND_INTERSTICIAL[[#This Row],[tramo ev]]&gt;INDIRECT(ADDRESS(ROW()-1,COLUMN(COND_INTERSTICIAL[[#This Row],[tramo ev]]),4)))+COND_INTERSTICIAL[[#This Row],[evapora]],COND_INTERSTICIAL[[#This Row],[Capa]],INDIRECT(ADDRESS(ROW()-1,COLUMN(),4))))</f>
        <v>#N/A</v>
      </c>
      <c r="DV133" s="111" t="e" cm="1">
        <f t="array" aca="1" ref="DV133" ca="1">IF((COND_INTERSTICIAL[[#This Row],[Capa]]=N_capas)+(COND_INTERSTICIAL[[#This Row],[tramo ev]]=COUNTIFS(COND_INTERSTICIAL[evapora],TRUE,COND_INTERSTICIAL[Mes],CW133,COND_INTERSTICIAL[Sección],CX133)+1),N_capas,INDEX(COND_INTERSTICIAL[capa lím inf ev],MATCH(COND_INTERSTICIAL[[#This Row],[Mes]]&amp;"-"&amp;COND_INTERSTICIAL[[#This Row],[Sección]]&amp;"-"&amp;(COND_INTERSTICIAL[[#This Row],[tramo ev]]+1),COND_INTERSTICIAL[llave tramo ev],0)))</f>
        <v>#N/A</v>
      </c>
      <c r="DW133" s="111" cm="1">
        <f t="array" aca="1" ref="DW13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3" s="113" t="e" cm="1">
        <f t="array" aca="1" ref="DX13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3" s="113" t="e">
        <f ca="1">COND_INTERSTICIAL[[#This Row],[gev]]+COND_INTERSTICIAL[[#This Row],[Ma anterior ev]]</f>
        <v>#N/A</v>
      </c>
      <c r="EA133" s="115" t="e">
        <f ca="1">IF(COND_INTERSTICIAL[[#This Row],[Ma cond]]+COND_INTERSTICIAL[[#This Row],[Ma ev]]&lt;=0,0,COND_INTERSTICIAL[[#This Row],[Ma cond]]+COND_INTERSTICIAL[[#This Row],[Ma ev]])</f>
        <v>#N/A</v>
      </c>
      <c r="EB133" s="115" t="e">
        <f ca="1">IF(COND_INTERSTICIAL[[#This Row],[Ma]]&gt;0,TRUE,FALSE)</f>
        <v>#N/A</v>
      </c>
      <c r="EC133" s="115" t="e" cm="1">
        <f t="array" aca="1" ref="EC133" ca="1">IF(COND_INTERSTICIAL[[#This Row],[agua líquida]],IF(COND_INTERSTICIAL[[#This Row],[Condensa]],COND_INTERSTICIAL[[#This Row],[P límite cond]],COND_INTERSTICIAL[[#This Row],[P límite ev]]),IF(COND_INTERSTICIAL[[#This Row],[Capa]]=N_capas,COND_INTERSTICIAL[[#This Row],[Pn]],""))</f>
        <v>#N/A</v>
      </c>
      <c r="ED133" s="115" t="e">
        <f ca="1">COND_INTERSTICIAL[[#This Row],[Mes]]&amp;"-"&amp;COND_INTERSTICIAL[[#This Row],[Sección]]&amp;"-"&amp;COND_INTERSTICIAL[[#This Row],[tramo gráf]]</f>
        <v>#N/A</v>
      </c>
      <c r="EE133" s="114" t="e" cm="1">
        <f t="array" aca="1" ref="EE133" ca="1">IF(COND_INTERSTICIAL[[#This Row],[Capa]]=1,IF(COND_INTERSTICIAL[[#This Row],[agua líquida]],2,1),IF(COND_INTERSTICIAL[[#This Row],[agua líquida]],1,0)+INDIRECT(ADDRESS(ROW()-1,COLUMN(),4)))</f>
        <v>#N/A</v>
      </c>
      <c r="EF133" s="114" t="e" cm="1">
        <f t="array" aca="1" ref="EF133" ca="1">IF(COND_INTERSTICIAL[[#This Row],[tramo gráf]]=1,0,IF((COND_INTERSTICIAL[[#This Row],[tramo gráf]]&gt;INDIRECT(ADDRESS(ROW()-1,COLUMN(COND_INTERSTICIAL[[#This Row],[tramo gráf]]),4)))+COND_INTERSTICIAL[[#This Row],[agua líquida]],COND_INTERSTICIAL[[#This Row],[Capa]],INDIRECT(ADDRESS(ROW()-1,COLUMN(),4))))</f>
        <v>#N/A</v>
      </c>
      <c r="EG133" s="114" t="e" cm="1">
        <f t="array" aca="1" ref="EG133" ca="1">IF((COND_INTERSTICIAL[[#This Row],[Capa]]=N_capas)+(COND_INTERSTICIAL[[#This Row],[tramo gráf]]=COUNTIFS(COND_INTERSTICIAL[agua líquida],TRUE,COND_INTERSTICIAL[Mes],CW133,COND_INTERSTICIAL[Sección],CX133)+1),N_capas,INDEX(COND_INTERSTICIAL[capa lím inf gráf],MATCH(COND_INTERSTICIAL[[#This Row],[Mes]]&amp;"-"&amp;COND_INTERSTICIAL[[#This Row],[Sección]]&amp;"-"&amp;(COND_INTERSTICIAL[[#This Row],[tramo gráf]]+1),COND_INTERSTICIAL[llave tramo gráf],0)))</f>
        <v>#N/A</v>
      </c>
      <c r="EH133" s="114" cm="1">
        <f t="array" aca="1" ref="EH13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3" s="116" t="e" cm="1">
        <f t="array" aca="1" ref="EI13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4" spans="101:139" x14ac:dyDescent="0.45">
      <c r="CW134" s="1" cm="1">
        <f t="array" ref="CW134">ROUNDUP((ROW()-$CN$18+(Mes_inicial_de_análisis-1)*N_capas*N_secciones)/(N_capas*N_secciones),0)-12*IF(ROW()-$CN$18&gt;(12-Mes_inicial_de_análisis+1)*N_capas*N_secciones,1,0)</f>
        <v>3</v>
      </c>
      <c r="CX134" cm="1">
        <f t="array" ref="CX134">ROUNDUP((ROW()-$CN$18)/N_capas-(ROUNDUP((ROW()-$CN$18)/(N_capas*N_secciones),0)-1)*N_secciones,0)</f>
        <v>1</v>
      </c>
      <c r="CY134" cm="1">
        <f t="array" ref="CY134">(ROW()-$CN$18)-(COND_INTERSTICIAL[[#This Row],[Sección]]-1)*N_capas-(ROUNDUP((ROW()-$CN$18)/(N_capas*N_secciones),0)-1)*N_capas*N_secciones</f>
        <v>3</v>
      </c>
      <c r="CZ134" t="str">
        <f>COND_INTERSTICIAL[[#This Row],[Mes]]&amp;"-"&amp;COND_INTERSTICIAL[[#This Row],[Sección]]&amp;"-"&amp;COND_INTERSTICIAL[[#This Row],[Capa]]</f>
        <v>3-1-3</v>
      </c>
      <c r="DA134">
        <f ca="1">INDEX(SECCIONES_CAPAS[R''n],MATCH(COND_INTERSTICIAL[[#This Row],[Sección]]&amp;"-"&amp;COND_INTERSTICIAL[[#This Row],[Capa]],SECCIONES_CAPAS[llave],0))</f>
        <v>0.04</v>
      </c>
      <c r="DB134" s="172" t="e" cm="1">
        <f t="array" aca="1" ref="DB134" ca="1">INDEX(CLIMA[ϴe],COND_INTERSTICIAL[[#This Row],[Mes]])+COND_INTERSTICIAL[[#This Row],[Rn]]*(INDEX(CLIMA[ϴi],COND_INTERSTICIAL[[#This Row],[Mes]])-INDEX(CLIMA[ϴe],COND_INTERSTICIAL[[#This Row],[Mes]]))/(INDEX(SECCIONES[Rtsección_condensación],COND_INTERSTICIAL[[#This Row],[Sección]]))</f>
        <v>#N/A</v>
      </c>
      <c r="DC134">
        <f>INDEX(SECCIONES_CAPAS[Sd],MATCH(COND_INTERSTICIAL[[#This Row],[Sección]]&amp;"-"&amp;COND_INTERSTICIAL[[#This Row],[Capa]],SECCIONES_CAPAS[llave],0))</f>
        <v>0</v>
      </c>
      <c r="DD134">
        <f ca="1">INDEX(SECCIONES_CAPAS[S''d],MATCH(COND_INTERSTICIAL[[#This Row],[Sección]]&amp;"-"&amp;COND_INTERSTICIAL[[#This Row],[Capa]],SECCIONES_CAPAS[llave],0))</f>
        <v>0</v>
      </c>
      <c r="DE134" s="90" t="e">
        <f ca="1">IF(COND_INTERSTICIAL[[#This Row],[ϴn]]&gt;=0,610.5*EXP((17.269*COND_INTERSTICIAL[[#This Row],[ϴn]])/(237.3+COND_INTERSTICIAL[[#This Row],[ϴn]])),610.5*EXP((21.875*COND_INTERSTICIAL[[#This Row],[ϴn]])/(265.5+COND_INTERSTICIAL[[#This Row],[ϴn]])))</f>
        <v>#N/A</v>
      </c>
      <c r="DF134" s="90" t="e" cm="1">
        <f t="array" aca="1" ref="DF134" ca="1">COND_INTERSTICIAL[[#This Row],[S''d]]*((INDEX(CLIMA[Pi],COND_INTERSTICIAL[[#This Row],[Mes]])-INDEX(CLIMA[Pe],COND_INTERSTICIAL[[#This Row],[Mes]]))/INDEX(SECCIONES[SdT],COND_INTERSTICIAL[[#This Row],[Sección]]))+INDEX(CLIMA[Pe],COND_INTERSTICIAL[[#This Row],[Mes]])</f>
        <v>#N/A</v>
      </c>
      <c r="DG134" s="108" t="e">
        <f ca="1">IF((COND_INTERSTICIAL[[#This Row],[Pn]]&gt;=COND_INTERSTICIAL[[#This Row],[Psat]]),TRUE,FALSE)</f>
        <v>#N/A</v>
      </c>
      <c r="DH134" s="109" t="e" cm="1">
        <f t="array" aca="1" ref="DH134" ca="1">IF(COND_INTERSTICIAL[[#This Row],[Condensa]],COND_INTERSTICIAL[[#This Row],[Psat]],IF(COND_INTERSTICIAL[[#This Row],[Capa]]=N_capas,COND_INTERSTICIAL[[#This Row],[Pn]],""))</f>
        <v>#N/A</v>
      </c>
      <c r="DI134" s="109" t="e">
        <f ca="1">COND_INTERSTICIAL[[#This Row],[Mes]]&amp;"-"&amp;COND_INTERSTICIAL[[#This Row],[Sección]]&amp;"-"&amp;COND_INTERSTICIAL[[#This Row],[tramo cond]]</f>
        <v>#N/A</v>
      </c>
      <c r="DJ134" t="e" cm="1">
        <f t="array" aca="1" ref="DJ134" ca="1">IF(COND_INTERSTICIAL[[#This Row],[Capa]]=1,IF(COND_INTERSTICIAL[[#This Row],[Condensa]],2,1),IF(COND_INTERSTICIAL[[#This Row],[Condensa]],1,0)+INDIRECT(ADDRESS(ROW()-1,COLUMN(),4)))</f>
        <v>#N/A</v>
      </c>
      <c r="DK134" s="108" t="e" cm="1">
        <f t="array" aca="1" ref="DK134" ca="1">IF(COND_INTERSTICIAL[[#This Row],[tramo cond]]=1,0,IF((COND_INTERSTICIAL[[#This Row],[tramo cond]]&gt;INDIRECT(ADDRESS(ROW()-1,COLUMN(COND_INTERSTICIAL[[#This Row],[tramo cond]]),4)))+COND_INTERSTICIAL[[#This Row],[Condensa]],COND_INTERSTICIAL[[#This Row],[Capa]],INDIRECT(ADDRESS(ROW()-1,COLUMN(),4))))</f>
        <v>#N/A</v>
      </c>
      <c r="DL134" s="108" t="e" cm="1">
        <f t="array" aca="1" ref="DL134" ca="1">IF((COND_INTERSTICIAL[[#This Row],[Capa]]=N_capas)+(COND_INTERSTICIAL[[#This Row],[tramo cond]]=COUNTIFS(COND_INTERSTICIAL[Condensa],TRUE,COND_INTERSTICIAL[Mes],CW134,COND_INTERSTICIAL[Sección],CX134)+1),N_capas,INDEX(COND_INTERSTICIAL[capa lím inf cond],MATCH(COND_INTERSTICIAL[[#This Row],[Mes]]&amp;"-"&amp;COND_INTERSTICIAL[[#This Row],[Sección]]&amp;"-"&amp;(COND_INTERSTICIAL[[#This Row],[tramo cond]]+1),COND_INTERSTICIAL[llave tramo cond],0)))</f>
        <v>#N/A</v>
      </c>
      <c r="DM134" s="108" cm="1">
        <f t="array" aca="1" ref="DM13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4" s="110" t="e" cm="1">
        <f t="array" aca="1" ref="DN13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4" s="107" t="e">
        <f ca="1">COND_INTERSTICIAL[[#This Row],[gc]]+COND_INTERSTICIAL[[#This Row],[Ma_anterior cond]]</f>
        <v>#N/A</v>
      </c>
      <c r="DQ134" s="113" t="e">
        <f ca="1">IF((COND_INTERSTICIAL[[#This Row],[Ma_anterior cond]]&gt;0)*NOT(COND_INTERSTICIAL[[#This Row],[Condensa]]),TRUE,FALSE)</f>
        <v>#N/A</v>
      </c>
      <c r="DR134" s="112" t="e" cm="1">
        <f t="array" aca="1" ref="DR134" ca="1">IF(COND_INTERSTICIAL[[#This Row],[evapora]],COND_INTERSTICIAL[[#This Row],[Psat]],IF(COND_INTERSTICIAL[[#This Row],[Capa]]=N_capas,COND_INTERSTICIAL[[#This Row],[Pn]],""))</f>
        <v>#N/A</v>
      </c>
      <c r="DS134" s="112" t="e">
        <f ca="1">COND_INTERSTICIAL[[#This Row],[Mes]]&amp;"-"&amp;COND_INTERSTICIAL[[#This Row],[Sección]]&amp;"-"&amp;COND_INTERSTICIAL[[#This Row],[tramo ev]]</f>
        <v>#N/A</v>
      </c>
      <c r="DT134" s="111" t="e" cm="1">
        <f t="array" aca="1" ref="DT134" ca="1">IF(COND_INTERSTICIAL[[#This Row],[Capa]]=1,IF(COND_INTERSTICIAL[[#This Row],[evapora]],2,1),IF(COND_INTERSTICIAL[[#This Row],[evapora]],1,0)+INDIRECT(ADDRESS(ROW()-1,COLUMN(),4)))</f>
        <v>#N/A</v>
      </c>
      <c r="DU134" s="111" t="e" cm="1">
        <f t="array" aca="1" ref="DU134" ca="1">IF(COND_INTERSTICIAL[[#This Row],[tramo ev]]=1,0,IF((COND_INTERSTICIAL[[#This Row],[tramo ev]]&gt;INDIRECT(ADDRESS(ROW()-1,COLUMN(COND_INTERSTICIAL[[#This Row],[tramo ev]]),4)))+COND_INTERSTICIAL[[#This Row],[evapora]],COND_INTERSTICIAL[[#This Row],[Capa]],INDIRECT(ADDRESS(ROW()-1,COLUMN(),4))))</f>
        <v>#N/A</v>
      </c>
      <c r="DV134" s="111" t="e" cm="1">
        <f t="array" aca="1" ref="DV134" ca="1">IF((COND_INTERSTICIAL[[#This Row],[Capa]]=N_capas)+(COND_INTERSTICIAL[[#This Row],[tramo ev]]=COUNTIFS(COND_INTERSTICIAL[evapora],TRUE,COND_INTERSTICIAL[Mes],CW134,COND_INTERSTICIAL[Sección],CX134)+1),N_capas,INDEX(COND_INTERSTICIAL[capa lím inf ev],MATCH(COND_INTERSTICIAL[[#This Row],[Mes]]&amp;"-"&amp;COND_INTERSTICIAL[[#This Row],[Sección]]&amp;"-"&amp;(COND_INTERSTICIAL[[#This Row],[tramo ev]]+1),COND_INTERSTICIAL[llave tramo ev],0)))</f>
        <v>#N/A</v>
      </c>
      <c r="DW134" s="111" cm="1">
        <f t="array" aca="1" ref="DW13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4" s="113" t="e" cm="1">
        <f t="array" aca="1" ref="DX13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4" s="113" t="e">
        <f ca="1">COND_INTERSTICIAL[[#This Row],[gev]]+COND_INTERSTICIAL[[#This Row],[Ma anterior ev]]</f>
        <v>#N/A</v>
      </c>
      <c r="EA134" s="115" t="e">
        <f ca="1">IF(COND_INTERSTICIAL[[#This Row],[Ma cond]]+COND_INTERSTICIAL[[#This Row],[Ma ev]]&lt;=0,0,COND_INTERSTICIAL[[#This Row],[Ma cond]]+COND_INTERSTICIAL[[#This Row],[Ma ev]])</f>
        <v>#N/A</v>
      </c>
      <c r="EB134" s="115" t="e">
        <f ca="1">IF(COND_INTERSTICIAL[[#This Row],[Ma]]&gt;0,TRUE,FALSE)</f>
        <v>#N/A</v>
      </c>
      <c r="EC134" s="115" t="e" cm="1">
        <f t="array" aca="1" ref="EC134" ca="1">IF(COND_INTERSTICIAL[[#This Row],[agua líquida]],IF(COND_INTERSTICIAL[[#This Row],[Condensa]],COND_INTERSTICIAL[[#This Row],[P límite cond]],COND_INTERSTICIAL[[#This Row],[P límite ev]]),IF(COND_INTERSTICIAL[[#This Row],[Capa]]=N_capas,COND_INTERSTICIAL[[#This Row],[Pn]],""))</f>
        <v>#N/A</v>
      </c>
      <c r="ED134" s="115" t="e">
        <f ca="1">COND_INTERSTICIAL[[#This Row],[Mes]]&amp;"-"&amp;COND_INTERSTICIAL[[#This Row],[Sección]]&amp;"-"&amp;COND_INTERSTICIAL[[#This Row],[tramo gráf]]</f>
        <v>#N/A</v>
      </c>
      <c r="EE134" s="114" t="e" cm="1">
        <f t="array" aca="1" ref="EE134" ca="1">IF(COND_INTERSTICIAL[[#This Row],[Capa]]=1,IF(COND_INTERSTICIAL[[#This Row],[agua líquida]],2,1),IF(COND_INTERSTICIAL[[#This Row],[agua líquida]],1,0)+INDIRECT(ADDRESS(ROW()-1,COLUMN(),4)))</f>
        <v>#N/A</v>
      </c>
      <c r="EF134" s="114" t="e" cm="1">
        <f t="array" aca="1" ref="EF134" ca="1">IF(COND_INTERSTICIAL[[#This Row],[tramo gráf]]=1,0,IF((COND_INTERSTICIAL[[#This Row],[tramo gráf]]&gt;INDIRECT(ADDRESS(ROW()-1,COLUMN(COND_INTERSTICIAL[[#This Row],[tramo gráf]]),4)))+COND_INTERSTICIAL[[#This Row],[agua líquida]],COND_INTERSTICIAL[[#This Row],[Capa]],INDIRECT(ADDRESS(ROW()-1,COLUMN(),4))))</f>
        <v>#N/A</v>
      </c>
      <c r="EG134" s="114" t="e" cm="1">
        <f t="array" aca="1" ref="EG134" ca="1">IF((COND_INTERSTICIAL[[#This Row],[Capa]]=N_capas)+(COND_INTERSTICIAL[[#This Row],[tramo gráf]]=COUNTIFS(COND_INTERSTICIAL[agua líquida],TRUE,COND_INTERSTICIAL[Mes],CW134,COND_INTERSTICIAL[Sección],CX134)+1),N_capas,INDEX(COND_INTERSTICIAL[capa lím inf gráf],MATCH(COND_INTERSTICIAL[[#This Row],[Mes]]&amp;"-"&amp;COND_INTERSTICIAL[[#This Row],[Sección]]&amp;"-"&amp;(COND_INTERSTICIAL[[#This Row],[tramo gráf]]+1),COND_INTERSTICIAL[llave tramo gráf],0)))</f>
        <v>#N/A</v>
      </c>
      <c r="EH134" s="114" cm="1">
        <f t="array" aca="1" ref="EH13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4" s="116" t="e" cm="1">
        <f t="array" aca="1" ref="EI13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5" spans="101:139" x14ac:dyDescent="0.45">
      <c r="CW135" s="1" cm="1">
        <f t="array" ref="CW135">ROUNDUP((ROW()-$CN$18+(Mes_inicial_de_análisis-1)*N_capas*N_secciones)/(N_capas*N_secciones),0)-12*IF(ROW()-$CN$18&gt;(12-Mes_inicial_de_análisis+1)*N_capas*N_secciones,1,0)</f>
        <v>3</v>
      </c>
      <c r="CX135" cm="1">
        <f t="array" ref="CX135">ROUNDUP((ROW()-$CN$18)/N_capas-(ROUNDUP((ROW()-$CN$18)/(N_capas*N_secciones),0)-1)*N_secciones,0)</f>
        <v>1</v>
      </c>
      <c r="CY135" cm="1">
        <f t="array" ref="CY135">(ROW()-$CN$18)-(COND_INTERSTICIAL[[#This Row],[Sección]]-1)*N_capas-(ROUNDUP((ROW()-$CN$18)/(N_capas*N_secciones),0)-1)*N_capas*N_secciones</f>
        <v>4</v>
      </c>
      <c r="CZ135" t="str">
        <f>COND_INTERSTICIAL[[#This Row],[Mes]]&amp;"-"&amp;COND_INTERSTICIAL[[#This Row],[Sección]]&amp;"-"&amp;COND_INTERSTICIAL[[#This Row],[Capa]]</f>
        <v>3-1-4</v>
      </c>
      <c r="DA135">
        <f ca="1">INDEX(SECCIONES_CAPAS[R''n],MATCH(COND_INTERSTICIAL[[#This Row],[Sección]]&amp;"-"&amp;COND_INTERSTICIAL[[#This Row],[Capa]],SECCIONES_CAPAS[llave],0))</f>
        <v>0.04</v>
      </c>
      <c r="DB135" s="172" t="e" cm="1">
        <f t="array" aca="1" ref="DB135" ca="1">INDEX(CLIMA[ϴe],COND_INTERSTICIAL[[#This Row],[Mes]])+COND_INTERSTICIAL[[#This Row],[Rn]]*(INDEX(CLIMA[ϴi],COND_INTERSTICIAL[[#This Row],[Mes]])-INDEX(CLIMA[ϴe],COND_INTERSTICIAL[[#This Row],[Mes]]))/(INDEX(SECCIONES[Rtsección_condensación],COND_INTERSTICIAL[[#This Row],[Sección]]))</f>
        <v>#N/A</v>
      </c>
      <c r="DC135">
        <f>INDEX(SECCIONES_CAPAS[Sd],MATCH(COND_INTERSTICIAL[[#This Row],[Sección]]&amp;"-"&amp;COND_INTERSTICIAL[[#This Row],[Capa]],SECCIONES_CAPAS[llave],0))</f>
        <v>0</v>
      </c>
      <c r="DD135">
        <f ca="1">INDEX(SECCIONES_CAPAS[S''d],MATCH(COND_INTERSTICIAL[[#This Row],[Sección]]&amp;"-"&amp;COND_INTERSTICIAL[[#This Row],[Capa]],SECCIONES_CAPAS[llave],0))</f>
        <v>0</v>
      </c>
      <c r="DE135" s="90" t="e">
        <f ca="1">IF(COND_INTERSTICIAL[[#This Row],[ϴn]]&gt;=0,610.5*EXP((17.269*COND_INTERSTICIAL[[#This Row],[ϴn]])/(237.3+COND_INTERSTICIAL[[#This Row],[ϴn]])),610.5*EXP((21.875*COND_INTERSTICIAL[[#This Row],[ϴn]])/(265.5+COND_INTERSTICIAL[[#This Row],[ϴn]])))</f>
        <v>#N/A</v>
      </c>
      <c r="DF135" s="90" t="e" cm="1">
        <f t="array" aca="1" ref="DF135" ca="1">COND_INTERSTICIAL[[#This Row],[S''d]]*((INDEX(CLIMA[Pi],COND_INTERSTICIAL[[#This Row],[Mes]])-INDEX(CLIMA[Pe],COND_INTERSTICIAL[[#This Row],[Mes]]))/INDEX(SECCIONES[SdT],COND_INTERSTICIAL[[#This Row],[Sección]]))+INDEX(CLIMA[Pe],COND_INTERSTICIAL[[#This Row],[Mes]])</f>
        <v>#N/A</v>
      </c>
      <c r="DG135" s="108" t="e">
        <f ca="1">IF((COND_INTERSTICIAL[[#This Row],[Pn]]&gt;=COND_INTERSTICIAL[[#This Row],[Psat]]),TRUE,FALSE)</f>
        <v>#N/A</v>
      </c>
      <c r="DH135" s="109" t="e" cm="1">
        <f t="array" aca="1" ref="DH135" ca="1">IF(COND_INTERSTICIAL[[#This Row],[Condensa]],COND_INTERSTICIAL[[#This Row],[Psat]],IF(COND_INTERSTICIAL[[#This Row],[Capa]]=N_capas,COND_INTERSTICIAL[[#This Row],[Pn]],""))</f>
        <v>#N/A</v>
      </c>
      <c r="DI135" s="109" t="e">
        <f ca="1">COND_INTERSTICIAL[[#This Row],[Mes]]&amp;"-"&amp;COND_INTERSTICIAL[[#This Row],[Sección]]&amp;"-"&amp;COND_INTERSTICIAL[[#This Row],[tramo cond]]</f>
        <v>#N/A</v>
      </c>
      <c r="DJ135" t="e" cm="1">
        <f t="array" aca="1" ref="DJ135" ca="1">IF(COND_INTERSTICIAL[[#This Row],[Capa]]=1,IF(COND_INTERSTICIAL[[#This Row],[Condensa]],2,1),IF(COND_INTERSTICIAL[[#This Row],[Condensa]],1,0)+INDIRECT(ADDRESS(ROW()-1,COLUMN(),4)))</f>
        <v>#N/A</v>
      </c>
      <c r="DK135" s="108" t="e" cm="1">
        <f t="array" aca="1" ref="DK135" ca="1">IF(COND_INTERSTICIAL[[#This Row],[tramo cond]]=1,0,IF((COND_INTERSTICIAL[[#This Row],[tramo cond]]&gt;INDIRECT(ADDRESS(ROW()-1,COLUMN(COND_INTERSTICIAL[[#This Row],[tramo cond]]),4)))+COND_INTERSTICIAL[[#This Row],[Condensa]],COND_INTERSTICIAL[[#This Row],[Capa]],INDIRECT(ADDRESS(ROW()-1,COLUMN(),4))))</f>
        <v>#N/A</v>
      </c>
      <c r="DL135" s="108" t="e" cm="1">
        <f t="array" aca="1" ref="DL135" ca="1">IF((COND_INTERSTICIAL[[#This Row],[Capa]]=N_capas)+(COND_INTERSTICIAL[[#This Row],[tramo cond]]=COUNTIFS(COND_INTERSTICIAL[Condensa],TRUE,COND_INTERSTICIAL[Mes],CW135,COND_INTERSTICIAL[Sección],CX135)+1),N_capas,INDEX(COND_INTERSTICIAL[capa lím inf cond],MATCH(COND_INTERSTICIAL[[#This Row],[Mes]]&amp;"-"&amp;COND_INTERSTICIAL[[#This Row],[Sección]]&amp;"-"&amp;(COND_INTERSTICIAL[[#This Row],[tramo cond]]+1),COND_INTERSTICIAL[llave tramo cond],0)))</f>
        <v>#N/A</v>
      </c>
      <c r="DM135" s="108" cm="1">
        <f t="array" aca="1" ref="DM13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5" s="110" t="e" cm="1">
        <f t="array" aca="1" ref="DN13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5" s="107" t="e">
        <f ca="1">COND_INTERSTICIAL[[#This Row],[gc]]+COND_INTERSTICIAL[[#This Row],[Ma_anterior cond]]</f>
        <v>#N/A</v>
      </c>
      <c r="DQ135" s="113" t="e">
        <f ca="1">IF((COND_INTERSTICIAL[[#This Row],[Ma_anterior cond]]&gt;0)*NOT(COND_INTERSTICIAL[[#This Row],[Condensa]]),TRUE,FALSE)</f>
        <v>#N/A</v>
      </c>
      <c r="DR135" s="112" t="e" cm="1">
        <f t="array" aca="1" ref="DR135" ca="1">IF(COND_INTERSTICIAL[[#This Row],[evapora]],COND_INTERSTICIAL[[#This Row],[Psat]],IF(COND_INTERSTICIAL[[#This Row],[Capa]]=N_capas,COND_INTERSTICIAL[[#This Row],[Pn]],""))</f>
        <v>#N/A</v>
      </c>
      <c r="DS135" s="112" t="e">
        <f ca="1">COND_INTERSTICIAL[[#This Row],[Mes]]&amp;"-"&amp;COND_INTERSTICIAL[[#This Row],[Sección]]&amp;"-"&amp;COND_INTERSTICIAL[[#This Row],[tramo ev]]</f>
        <v>#N/A</v>
      </c>
      <c r="DT135" s="111" t="e" cm="1">
        <f t="array" aca="1" ref="DT135" ca="1">IF(COND_INTERSTICIAL[[#This Row],[Capa]]=1,IF(COND_INTERSTICIAL[[#This Row],[evapora]],2,1),IF(COND_INTERSTICIAL[[#This Row],[evapora]],1,0)+INDIRECT(ADDRESS(ROW()-1,COLUMN(),4)))</f>
        <v>#N/A</v>
      </c>
      <c r="DU135" s="111" t="e" cm="1">
        <f t="array" aca="1" ref="DU135" ca="1">IF(COND_INTERSTICIAL[[#This Row],[tramo ev]]=1,0,IF((COND_INTERSTICIAL[[#This Row],[tramo ev]]&gt;INDIRECT(ADDRESS(ROW()-1,COLUMN(COND_INTERSTICIAL[[#This Row],[tramo ev]]),4)))+COND_INTERSTICIAL[[#This Row],[evapora]],COND_INTERSTICIAL[[#This Row],[Capa]],INDIRECT(ADDRESS(ROW()-1,COLUMN(),4))))</f>
        <v>#N/A</v>
      </c>
      <c r="DV135" s="111" t="e" cm="1">
        <f t="array" aca="1" ref="DV135" ca="1">IF((COND_INTERSTICIAL[[#This Row],[Capa]]=N_capas)+(COND_INTERSTICIAL[[#This Row],[tramo ev]]=COUNTIFS(COND_INTERSTICIAL[evapora],TRUE,COND_INTERSTICIAL[Mes],CW135,COND_INTERSTICIAL[Sección],CX135)+1),N_capas,INDEX(COND_INTERSTICIAL[capa lím inf ev],MATCH(COND_INTERSTICIAL[[#This Row],[Mes]]&amp;"-"&amp;COND_INTERSTICIAL[[#This Row],[Sección]]&amp;"-"&amp;(COND_INTERSTICIAL[[#This Row],[tramo ev]]+1),COND_INTERSTICIAL[llave tramo ev],0)))</f>
        <v>#N/A</v>
      </c>
      <c r="DW135" s="111" cm="1">
        <f t="array" aca="1" ref="DW13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5" s="113" t="e" cm="1">
        <f t="array" aca="1" ref="DX13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5" s="113" t="e">
        <f ca="1">COND_INTERSTICIAL[[#This Row],[gev]]+COND_INTERSTICIAL[[#This Row],[Ma anterior ev]]</f>
        <v>#N/A</v>
      </c>
      <c r="EA135" s="115" t="e">
        <f ca="1">IF(COND_INTERSTICIAL[[#This Row],[Ma cond]]+COND_INTERSTICIAL[[#This Row],[Ma ev]]&lt;=0,0,COND_INTERSTICIAL[[#This Row],[Ma cond]]+COND_INTERSTICIAL[[#This Row],[Ma ev]])</f>
        <v>#N/A</v>
      </c>
      <c r="EB135" s="115" t="e">
        <f ca="1">IF(COND_INTERSTICIAL[[#This Row],[Ma]]&gt;0,TRUE,FALSE)</f>
        <v>#N/A</v>
      </c>
      <c r="EC135" s="115" t="e" cm="1">
        <f t="array" aca="1" ref="EC135" ca="1">IF(COND_INTERSTICIAL[[#This Row],[agua líquida]],IF(COND_INTERSTICIAL[[#This Row],[Condensa]],COND_INTERSTICIAL[[#This Row],[P límite cond]],COND_INTERSTICIAL[[#This Row],[P límite ev]]),IF(COND_INTERSTICIAL[[#This Row],[Capa]]=N_capas,COND_INTERSTICIAL[[#This Row],[Pn]],""))</f>
        <v>#N/A</v>
      </c>
      <c r="ED135" s="115" t="e">
        <f ca="1">COND_INTERSTICIAL[[#This Row],[Mes]]&amp;"-"&amp;COND_INTERSTICIAL[[#This Row],[Sección]]&amp;"-"&amp;COND_INTERSTICIAL[[#This Row],[tramo gráf]]</f>
        <v>#N/A</v>
      </c>
      <c r="EE135" s="114" t="e" cm="1">
        <f t="array" aca="1" ref="EE135" ca="1">IF(COND_INTERSTICIAL[[#This Row],[Capa]]=1,IF(COND_INTERSTICIAL[[#This Row],[agua líquida]],2,1),IF(COND_INTERSTICIAL[[#This Row],[agua líquida]],1,0)+INDIRECT(ADDRESS(ROW()-1,COLUMN(),4)))</f>
        <v>#N/A</v>
      </c>
      <c r="EF135" s="114" t="e" cm="1">
        <f t="array" aca="1" ref="EF135" ca="1">IF(COND_INTERSTICIAL[[#This Row],[tramo gráf]]=1,0,IF((COND_INTERSTICIAL[[#This Row],[tramo gráf]]&gt;INDIRECT(ADDRESS(ROW()-1,COLUMN(COND_INTERSTICIAL[[#This Row],[tramo gráf]]),4)))+COND_INTERSTICIAL[[#This Row],[agua líquida]],COND_INTERSTICIAL[[#This Row],[Capa]],INDIRECT(ADDRESS(ROW()-1,COLUMN(),4))))</f>
        <v>#N/A</v>
      </c>
      <c r="EG135" s="114" t="e" cm="1">
        <f t="array" aca="1" ref="EG135" ca="1">IF((COND_INTERSTICIAL[[#This Row],[Capa]]=N_capas)+(COND_INTERSTICIAL[[#This Row],[tramo gráf]]=COUNTIFS(COND_INTERSTICIAL[agua líquida],TRUE,COND_INTERSTICIAL[Mes],CW135,COND_INTERSTICIAL[Sección],CX135)+1),N_capas,INDEX(COND_INTERSTICIAL[capa lím inf gráf],MATCH(COND_INTERSTICIAL[[#This Row],[Mes]]&amp;"-"&amp;COND_INTERSTICIAL[[#This Row],[Sección]]&amp;"-"&amp;(COND_INTERSTICIAL[[#This Row],[tramo gráf]]+1),COND_INTERSTICIAL[llave tramo gráf],0)))</f>
        <v>#N/A</v>
      </c>
      <c r="EH135" s="114" cm="1">
        <f t="array" aca="1" ref="EH13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5" s="116" t="e" cm="1">
        <f t="array" aca="1" ref="EI13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6" spans="101:139" x14ac:dyDescent="0.45">
      <c r="CW136" s="1" cm="1">
        <f t="array" ref="CW136">ROUNDUP((ROW()-$CN$18+(Mes_inicial_de_análisis-1)*N_capas*N_secciones)/(N_capas*N_secciones),0)-12*IF(ROW()-$CN$18&gt;(12-Mes_inicial_de_análisis+1)*N_capas*N_secciones,1,0)</f>
        <v>3</v>
      </c>
      <c r="CX136" cm="1">
        <f t="array" ref="CX136">ROUNDUP((ROW()-$CN$18)/N_capas-(ROUNDUP((ROW()-$CN$18)/(N_capas*N_secciones),0)-1)*N_secciones,0)</f>
        <v>1</v>
      </c>
      <c r="CY136" cm="1">
        <f t="array" ref="CY136">(ROW()-$CN$18)-(COND_INTERSTICIAL[[#This Row],[Sección]]-1)*N_capas-(ROUNDUP((ROW()-$CN$18)/(N_capas*N_secciones),0)-1)*N_capas*N_secciones</f>
        <v>5</v>
      </c>
      <c r="CZ136" t="str">
        <f>COND_INTERSTICIAL[[#This Row],[Mes]]&amp;"-"&amp;COND_INTERSTICIAL[[#This Row],[Sección]]&amp;"-"&amp;COND_INTERSTICIAL[[#This Row],[Capa]]</f>
        <v>3-1-5</v>
      </c>
      <c r="DA136">
        <f ca="1">INDEX(SECCIONES_CAPAS[R''n],MATCH(COND_INTERSTICIAL[[#This Row],[Sección]]&amp;"-"&amp;COND_INTERSTICIAL[[#This Row],[Capa]],SECCIONES_CAPAS[llave],0))</f>
        <v>0.04</v>
      </c>
      <c r="DB136" s="172" t="e" cm="1">
        <f t="array" aca="1" ref="DB136" ca="1">INDEX(CLIMA[ϴe],COND_INTERSTICIAL[[#This Row],[Mes]])+COND_INTERSTICIAL[[#This Row],[Rn]]*(INDEX(CLIMA[ϴi],COND_INTERSTICIAL[[#This Row],[Mes]])-INDEX(CLIMA[ϴe],COND_INTERSTICIAL[[#This Row],[Mes]]))/(INDEX(SECCIONES[Rtsección_condensación],COND_INTERSTICIAL[[#This Row],[Sección]]))</f>
        <v>#N/A</v>
      </c>
      <c r="DC136">
        <f>INDEX(SECCIONES_CAPAS[Sd],MATCH(COND_INTERSTICIAL[[#This Row],[Sección]]&amp;"-"&amp;COND_INTERSTICIAL[[#This Row],[Capa]],SECCIONES_CAPAS[llave],0))</f>
        <v>0</v>
      </c>
      <c r="DD136">
        <f ca="1">INDEX(SECCIONES_CAPAS[S''d],MATCH(COND_INTERSTICIAL[[#This Row],[Sección]]&amp;"-"&amp;COND_INTERSTICIAL[[#This Row],[Capa]],SECCIONES_CAPAS[llave],0))</f>
        <v>0</v>
      </c>
      <c r="DE136" s="90" t="e">
        <f ca="1">IF(COND_INTERSTICIAL[[#This Row],[ϴn]]&gt;=0,610.5*EXP((17.269*COND_INTERSTICIAL[[#This Row],[ϴn]])/(237.3+COND_INTERSTICIAL[[#This Row],[ϴn]])),610.5*EXP((21.875*COND_INTERSTICIAL[[#This Row],[ϴn]])/(265.5+COND_INTERSTICIAL[[#This Row],[ϴn]])))</f>
        <v>#N/A</v>
      </c>
      <c r="DF136" s="90" t="e" cm="1">
        <f t="array" aca="1" ref="DF136" ca="1">COND_INTERSTICIAL[[#This Row],[S''d]]*((INDEX(CLIMA[Pi],COND_INTERSTICIAL[[#This Row],[Mes]])-INDEX(CLIMA[Pe],COND_INTERSTICIAL[[#This Row],[Mes]]))/INDEX(SECCIONES[SdT],COND_INTERSTICIAL[[#This Row],[Sección]]))+INDEX(CLIMA[Pe],COND_INTERSTICIAL[[#This Row],[Mes]])</f>
        <v>#N/A</v>
      </c>
      <c r="DG136" s="108" t="e">
        <f ca="1">IF((COND_INTERSTICIAL[[#This Row],[Pn]]&gt;=COND_INTERSTICIAL[[#This Row],[Psat]]),TRUE,FALSE)</f>
        <v>#N/A</v>
      </c>
      <c r="DH136" s="109" t="e" cm="1">
        <f t="array" aca="1" ref="DH136" ca="1">IF(COND_INTERSTICIAL[[#This Row],[Condensa]],COND_INTERSTICIAL[[#This Row],[Psat]],IF(COND_INTERSTICIAL[[#This Row],[Capa]]=N_capas,COND_INTERSTICIAL[[#This Row],[Pn]],""))</f>
        <v>#N/A</v>
      </c>
      <c r="DI136" s="109" t="e">
        <f ca="1">COND_INTERSTICIAL[[#This Row],[Mes]]&amp;"-"&amp;COND_INTERSTICIAL[[#This Row],[Sección]]&amp;"-"&amp;COND_INTERSTICIAL[[#This Row],[tramo cond]]</f>
        <v>#N/A</v>
      </c>
      <c r="DJ136" t="e" cm="1">
        <f t="array" aca="1" ref="DJ136" ca="1">IF(COND_INTERSTICIAL[[#This Row],[Capa]]=1,IF(COND_INTERSTICIAL[[#This Row],[Condensa]],2,1),IF(COND_INTERSTICIAL[[#This Row],[Condensa]],1,0)+INDIRECT(ADDRESS(ROW()-1,COLUMN(),4)))</f>
        <v>#N/A</v>
      </c>
      <c r="DK136" s="108" t="e" cm="1">
        <f t="array" aca="1" ref="DK136" ca="1">IF(COND_INTERSTICIAL[[#This Row],[tramo cond]]=1,0,IF((COND_INTERSTICIAL[[#This Row],[tramo cond]]&gt;INDIRECT(ADDRESS(ROW()-1,COLUMN(COND_INTERSTICIAL[[#This Row],[tramo cond]]),4)))+COND_INTERSTICIAL[[#This Row],[Condensa]],COND_INTERSTICIAL[[#This Row],[Capa]],INDIRECT(ADDRESS(ROW()-1,COLUMN(),4))))</f>
        <v>#N/A</v>
      </c>
      <c r="DL136" s="108" t="e" cm="1">
        <f t="array" aca="1" ref="DL136" ca="1">IF((COND_INTERSTICIAL[[#This Row],[Capa]]=N_capas)+(COND_INTERSTICIAL[[#This Row],[tramo cond]]=COUNTIFS(COND_INTERSTICIAL[Condensa],TRUE,COND_INTERSTICIAL[Mes],CW136,COND_INTERSTICIAL[Sección],CX136)+1),N_capas,INDEX(COND_INTERSTICIAL[capa lím inf cond],MATCH(COND_INTERSTICIAL[[#This Row],[Mes]]&amp;"-"&amp;COND_INTERSTICIAL[[#This Row],[Sección]]&amp;"-"&amp;(COND_INTERSTICIAL[[#This Row],[tramo cond]]+1),COND_INTERSTICIAL[llave tramo cond],0)))</f>
        <v>#N/A</v>
      </c>
      <c r="DM136" s="108" cm="1">
        <f t="array" aca="1" ref="DM13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6" s="110" t="e" cm="1">
        <f t="array" aca="1" ref="DN13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6" s="107" t="e">
        <f ca="1">COND_INTERSTICIAL[[#This Row],[gc]]+COND_INTERSTICIAL[[#This Row],[Ma_anterior cond]]</f>
        <v>#N/A</v>
      </c>
      <c r="DQ136" s="113" t="e">
        <f ca="1">IF((COND_INTERSTICIAL[[#This Row],[Ma_anterior cond]]&gt;0)*NOT(COND_INTERSTICIAL[[#This Row],[Condensa]]),TRUE,FALSE)</f>
        <v>#N/A</v>
      </c>
      <c r="DR136" s="112" t="e" cm="1">
        <f t="array" aca="1" ref="DR136" ca="1">IF(COND_INTERSTICIAL[[#This Row],[evapora]],COND_INTERSTICIAL[[#This Row],[Psat]],IF(COND_INTERSTICIAL[[#This Row],[Capa]]=N_capas,COND_INTERSTICIAL[[#This Row],[Pn]],""))</f>
        <v>#N/A</v>
      </c>
      <c r="DS136" s="112" t="e">
        <f ca="1">COND_INTERSTICIAL[[#This Row],[Mes]]&amp;"-"&amp;COND_INTERSTICIAL[[#This Row],[Sección]]&amp;"-"&amp;COND_INTERSTICIAL[[#This Row],[tramo ev]]</f>
        <v>#N/A</v>
      </c>
      <c r="DT136" s="111" t="e" cm="1">
        <f t="array" aca="1" ref="DT136" ca="1">IF(COND_INTERSTICIAL[[#This Row],[Capa]]=1,IF(COND_INTERSTICIAL[[#This Row],[evapora]],2,1),IF(COND_INTERSTICIAL[[#This Row],[evapora]],1,0)+INDIRECT(ADDRESS(ROW()-1,COLUMN(),4)))</f>
        <v>#N/A</v>
      </c>
      <c r="DU136" s="111" t="e" cm="1">
        <f t="array" aca="1" ref="DU136" ca="1">IF(COND_INTERSTICIAL[[#This Row],[tramo ev]]=1,0,IF((COND_INTERSTICIAL[[#This Row],[tramo ev]]&gt;INDIRECT(ADDRESS(ROW()-1,COLUMN(COND_INTERSTICIAL[[#This Row],[tramo ev]]),4)))+COND_INTERSTICIAL[[#This Row],[evapora]],COND_INTERSTICIAL[[#This Row],[Capa]],INDIRECT(ADDRESS(ROW()-1,COLUMN(),4))))</f>
        <v>#N/A</v>
      </c>
      <c r="DV136" s="111" t="e" cm="1">
        <f t="array" aca="1" ref="DV136" ca="1">IF((COND_INTERSTICIAL[[#This Row],[Capa]]=N_capas)+(COND_INTERSTICIAL[[#This Row],[tramo ev]]=COUNTIFS(COND_INTERSTICIAL[evapora],TRUE,COND_INTERSTICIAL[Mes],CW136,COND_INTERSTICIAL[Sección],CX136)+1),N_capas,INDEX(COND_INTERSTICIAL[capa lím inf ev],MATCH(COND_INTERSTICIAL[[#This Row],[Mes]]&amp;"-"&amp;COND_INTERSTICIAL[[#This Row],[Sección]]&amp;"-"&amp;(COND_INTERSTICIAL[[#This Row],[tramo ev]]+1),COND_INTERSTICIAL[llave tramo ev],0)))</f>
        <v>#N/A</v>
      </c>
      <c r="DW136" s="111" cm="1">
        <f t="array" aca="1" ref="DW13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6" s="113" t="e" cm="1">
        <f t="array" aca="1" ref="DX13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6" s="113" t="e">
        <f ca="1">COND_INTERSTICIAL[[#This Row],[gev]]+COND_INTERSTICIAL[[#This Row],[Ma anterior ev]]</f>
        <v>#N/A</v>
      </c>
      <c r="EA136" s="115" t="e">
        <f ca="1">IF(COND_INTERSTICIAL[[#This Row],[Ma cond]]+COND_INTERSTICIAL[[#This Row],[Ma ev]]&lt;=0,0,COND_INTERSTICIAL[[#This Row],[Ma cond]]+COND_INTERSTICIAL[[#This Row],[Ma ev]])</f>
        <v>#N/A</v>
      </c>
      <c r="EB136" s="115" t="e">
        <f ca="1">IF(COND_INTERSTICIAL[[#This Row],[Ma]]&gt;0,TRUE,FALSE)</f>
        <v>#N/A</v>
      </c>
      <c r="EC136" s="115" t="e" cm="1">
        <f t="array" aca="1" ref="EC136" ca="1">IF(COND_INTERSTICIAL[[#This Row],[agua líquida]],IF(COND_INTERSTICIAL[[#This Row],[Condensa]],COND_INTERSTICIAL[[#This Row],[P límite cond]],COND_INTERSTICIAL[[#This Row],[P límite ev]]),IF(COND_INTERSTICIAL[[#This Row],[Capa]]=N_capas,COND_INTERSTICIAL[[#This Row],[Pn]],""))</f>
        <v>#N/A</v>
      </c>
      <c r="ED136" s="115" t="e">
        <f ca="1">COND_INTERSTICIAL[[#This Row],[Mes]]&amp;"-"&amp;COND_INTERSTICIAL[[#This Row],[Sección]]&amp;"-"&amp;COND_INTERSTICIAL[[#This Row],[tramo gráf]]</f>
        <v>#N/A</v>
      </c>
      <c r="EE136" s="114" t="e" cm="1">
        <f t="array" aca="1" ref="EE136" ca="1">IF(COND_INTERSTICIAL[[#This Row],[Capa]]=1,IF(COND_INTERSTICIAL[[#This Row],[agua líquida]],2,1),IF(COND_INTERSTICIAL[[#This Row],[agua líquida]],1,0)+INDIRECT(ADDRESS(ROW()-1,COLUMN(),4)))</f>
        <v>#N/A</v>
      </c>
      <c r="EF136" s="114" t="e" cm="1">
        <f t="array" aca="1" ref="EF136" ca="1">IF(COND_INTERSTICIAL[[#This Row],[tramo gráf]]=1,0,IF((COND_INTERSTICIAL[[#This Row],[tramo gráf]]&gt;INDIRECT(ADDRESS(ROW()-1,COLUMN(COND_INTERSTICIAL[[#This Row],[tramo gráf]]),4)))+COND_INTERSTICIAL[[#This Row],[agua líquida]],COND_INTERSTICIAL[[#This Row],[Capa]],INDIRECT(ADDRESS(ROW()-1,COLUMN(),4))))</f>
        <v>#N/A</v>
      </c>
      <c r="EG136" s="114" t="e" cm="1">
        <f t="array" aca="1" ref="EG136" ca="1">IF((COND_INTERSTICIAL[[#This Row],[Capa]]=N_capas)+(COND_INTERSTICIAL[[#This Row],[tramo gráf]]=COUNTIFS(COND_INTERSTICIAL[agua líquida],TRUE,COND_INTERSTICIAL[Mes],CW136,COND_INTERSTICIAL[Sección],CX136)+1),N_capas,INDEX(COND_INTERSTICIAL[capa lím inf gráf],MATCH(COND_INTERSTICIAL[[#This Row],[Mes]]&amp;"-"&amp;COND_INTERSTICIAL[[#This Row],[Sección]]&amp;"-"&amp;(COND_INTERSTICIAL[[#This Row],[tramo gráf]]+1),COND_INTERSTICIAL[llave tramo gráf],0)))</f>
        <v>#N/A</v>
      </c>
      <c r="EH136" s="114" cm="1">
        <f t="array" aca="1" ref="EH13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6" s="116" t="e" cm="1">
        <f t="array" aca="1" ref="EI13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7" spans="101:139" x14ac:dyDescent="0.45">
      <c r="CW137" s="1" cm="1">
        <f t="array" ref="CW137">ROUNDUP((ROW()-$CN$18+(Mes_inicial_de_análisis-1)*N_capas*N_secciones)/(N_capas*N_secciones),0)-12*IF(ROW()-$CN$18&gt;(12-Mes_inicial_de_análisis+1)*N_capas*N_secciones,1,0)</f>
        <v>3</v>
      </c>
      <c r="CX137" cm="1">
        <f t="array" ref="CX137">ROUNDUP((ROW()-$CN$18)/N_capas-(ROUNDUP((ROW()-$CN$18)/(N_capas*N_secciones),0)-1)*N_secciones,0)</f>
        <v>1</v>
      </c>
      <c r="CY137" cm="1">
        <f t="array" ref="CY137">(ROW()-$CN$18)-(COND_INTERSTICIAL[[#This Row],[Sección]]-1)*N_capas-(ROUNDUP((ROW()-$CN$18)/(N_capas*N_secciones),0)-1)*N_capas*N_secciones</f>
        <v>6</v>
      </c>
      <c r="CZ137" t="str">
        <f>COND_INTERSTICIAL[[#This Row],[Mes]]&amp;"-"&amp;COND_INTERSTICIAL[[#This Row],[Sección]]&amp;"-"&amp;COND_INTERSTICIAL[[#This Row],[Capa]]</f>
        <v>3-1-6</v>
      </c>
      <c r="DA137">
        <f ca="1">INDEX(SECCIONES_CAPAS[R''n],MATCH(COND_INTERSTICIAL[[#This Row],[Sección]]&amp;"-"&amp;COND_INTERSTICIAL[[#This Row],[Capa]],SECCIONES_CAPAS[llave],0))</f>
        <v>0.04</v>
      </c>
      <c r="DB137" s="172" t="e" cm="1">
        <f t="array" aca="1" ref="DB137" ca="1">INDEX(CLIMA[ϴe],COND_INTERSTICIAL[[#This Row],[Mes]])+COND_INTERSTICIAL[[#This Row],[Rn]]*(INDEX(CLIMA[ϴi],COND_INTERSTICIAL[[#This Row],[Mes]])-INDEX(CLIMA[ϴe],COND_INTERSTICIAL[[#This Row],[Mes]]))/(INDEX(SECCIONES[Rtsección_condensación],COND_INTERSTICIAL[[#This Row],[Sección]]))</f>
        <v>#N/A</v>
      </c>
      <c r="DC137">
        <f>INDEX(SECCIONES_CAPAS[Sd],MATCH(COND_INTERSTICIAL[[#This Row],[Sección]]&amp;"-"&amp;COND_INTERSTICIAL[[#This Row],[Capa]],SECCIONES_CAPAS[llave],0))</f>
        <v>0</v>
      </c>
      <c r="DD137">
        <f ca="1">INDEX(SECCIONES_CAPAS[S''d],MATCH(COND_INTERSTICIAL[[#This Row],[Sección]]&amp;"-"&amp;COND_INTERSTICIAL[[#This Row],[Capa]],SECCIONES_CAPAS[llave],0))</f>
        <v>0</v>
      </c>
      <c r="DE137" s="90" t="e">
        <f ca="1">IF(COND_INTERSTICIAL[[#This Row],[ϴn]]&gt;=0,610.5*EXP((17.269*COND_INTERSTICIAL[[#This Row],[ϴn]])/(237.3+COND_INTERSTICIAL[[#This Row],[ϴn]])),610.5*EXP((21.875*COND_INTERSTICIAL[[#This Row],[ϴn]])/(265.5+COND_INTERSTICIAL[[#This Row],[ϴn]])))</f>
        <v>#N/A</v>
      </c>
      <c r="DF137" s="90" t="e" cm="1">
        <f t="array" aca="1" ref="DF137" ca="1">COND_INTERSTICIAL[[#This Row],[S''d]]*((INDEX(CLIMA[Pi],COND_INTERSTICIAL[[#This Row],[Mes]])-INDEX(CLIMA[Pe],COND_INTERSTICIAL[[#This Row],[Mes]]))/INDEX(SECCIONES[SdT],COND_INTERSTICIAL[[#This Row],[Sección]]))+INDEX(CLIMA[Pe],COND_INTERSTICIAL[[#This Row],[Mes]])</f>
        <v>#N/A</v>
      </c>
      <c r="DG137" s="108" t="e">
        <f ca="1">IF((COND_INTERSTICIAL[[#This Row],[Pn]]&gt;=COND_INTERSTICIAL[[#This Row],[Psat]]),TRUE,FALSE)</f>
        <v>#N/A</v>
      </c>
      <c r="DH137" s="109" t="e" cm="1">
        <f t="array" aca="1" ref="DH137" ca="1">IF(COND_INTERSTICIAL[[#This Row],[Condensa]],COND_INTERSTICIAL[[#This Row],[Psat]],IF(COND_INTERSTICIAL[[#This Row],[Capa]]=N_capas,COND_INTERSTICIAL[[#This Row],[Pn]],""))</f>
        <v>#N/A</v>
      </c>
      <c r="DI137" s="109" t="e">
        <f ca="1">COND_INTERSTICIAL[[#This Row],[Mes]]&amp;"-"&amp;COND_INTERSTICIAL[[#This Row],[Sección]]&amp;"-"&amp;COND_INTERSTICIAL[[#This Row],[tramo cond]]</f>
        <v>#N/A</v>
      </c>
      <c r="DJ137" t="e" cm="1">
        <f t="array" aca="1" ref="DJ137" ca="1">IF(COND_INTERSTICIAL[[#This Row],[Capa]]=1,IF(COND_INTERSTICIAL[[#This Row],[Condensa]],2,1),IF(COND_INTERSTICIAL[[#This Row],[Condensa]],1,0)+INDIRECT(ADDRESS(ROW()-1,COLUMN(),4)))</f>
        <v>#N/A</v>
      </c>
      <c r="DK137" s="108" t="e" cm="1">
        <f t="array" aca="1" ref="DK137" ca="1">IF(COND_INTERSTICIAL[[#This Row],[tramo cond]]=1,0,IF((COND_INTERSTICIAL[[#This Row],[tramo cond]]&gt;INDIRECT(ADDRESS(ROW()-1,COLUMN(COND_INTERSTICIAL[[#This Row],[tramo cond]]),4)))+COND_INTERSTICIAL[[#This Row],[Condensa]],COND_INTERSTICIAL[[#This Row],[Capa]],INDIRECT(ADDRESS(ROW()-1,COLUMN(),4))))</f>
        <v>#N/A</v>
      </c>
      <c r="DL137" s="108" t="e" cm="1">
        <f t="array" aca="1" ref="DL137" ca="1">IF((COND_INTERSTICIAL[[#This Row],[Capa]]=N_capas)+(COND_INTERSTICIAL[[#This Row],[tramo cond]]=COUNTIFS(COND_INTERSTICIAL[Condensa],TRUE,COND_INTERSTICIAL[Mes],CW137,COND_INTERSTICIAL[Sección],CX137)+1),N_capas,INDEX(COND_INTERSTICIAL[capa lím inf cond],MATCH(COND_INTERSTICIAL[[#This Row],[Mes]]&amp;"-"&amp;COND_INTERSTICIAL[[#This Row],[Sección]]&amp;"-"&amp;(COND_INTERSTICIAL[[#This Row],[tramo cond]]+1),COND_INTERSTICIAL[llave tramo cond],0)))</f>
        <v>#N/A</v>
      </c>
      <c r="DM137" s="108" cm="1">
        <f t="array" aca="1" ref="DM13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7" s="110" t="e" cm="1">
        <f t="array" aca="1" ref="DN13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7" s="107" t="e">
        <f ca="1">COND_INTERSTICIAL[[#This Row],[gc]]+COND_INTERSTICIAL[[#This Row],[Ma_anterior cond]]</f>
        <v>#N/A</v>
      </c>
      <c r="DQ137" s="113" t="e">
        <f ca="1">IF((COND_INTERSTICIAL[[#This Row],[Ma_anterior cond]]&gt;0)*NOT(COND_INTERSTICIAL[[#This Row],[Condensa]]),TRUE,FALSE)</f>
        <v>#N/A</v>
      </c>
      <c r="DR137" s="112" t="e" cm="1">
        <f t="array" aca="1" ref="DR137" ca="1">IF(COND_INTERSTICIAL[[#This Row],[evapora]],COND_INTERSTICIAL[[#This Row],[Psat]],IF(COND_INTERSTICIAL[[#This Row],[Capa]]=N_capas,COND_INTERSTICIAL[[#This Row],[Pn]],""))</f>
        <v>#N/A</v>
      </c>
      <c r="DS137" s="112" t="e">
        <f ca="1">COND_INTERSTICIAL[[#This Row],[Mes]]&amp;"-"&amp;COND_INTERSTICIAL[[#This Row],[Sección]]&amp;"-"&amp;COND_INTERSTICIAL[[#This Row],[tramo ev]]</f>
        <v>#N/A</v>
      </c>
      <c r="DT137" s="111" t="e" cm="1">
        <f t="array" aca="1" ref="DT137" ca="1">IF(COND_INTERSTICIAL[[#This Row],[Capa]]=1,IF(COND_INTERSTICIAL[[#This Row],[evapora]],2,1),IF(COND_INTERSTICIAL[[#This Row],[evapora]],1,0)+INDIRECT(ADDRESS(ROW()-1,COLUMN(),4)))</f>
        <v>#N/A</v>
      </c>
      <c r="DU137" s="111" t="e" cm="1">
        <f t="array" aca="1" ref="DU137" ca="1">IF(COND_INTERSTICIAL[[#This Row],[tramo ev]]=1,0,IF((COND_INTERSTICIAL[[#This Row],[tramo ev]]&gt;INDIRECT(ADDRESS(ROW()-1,COLUMN(COND_INTERSTICIAL[[#This Row],[tramo ev]]),4)))+COND_INTERSTICIAL[[#This Row],[evapora]],COND_INTERSTICIAL[[#This Row],[Capa]],INDIRECT(ADDRESS(ROW()-1,COLUMN(),4))))</f>
        <v>#N/A</v>
      </c>
      <c r="DV137" s="111" t="e" cm="1">
        <f t="array" aca="1" ref="DV137" ca="1">IF((COND_INTERSTICIAL[[#This Row],[Capa]]=N_capas)+(COND_INTERSTICIAL[[#This Row],[tramo ev]]=COUNTIFS(COND_INTERSTICIAL[evapora],TRUE,COND_INTERSTICIAL[Mes],CW137,COND_INTERSTICIAL[Sección],CX137)+1),N_capas,INDEX(COND_INTERSTICIAL[capa lím inf ev],MATCH(COND_INTERSTICIAL[[#This Row],[Mes]]&amp;"-"&amp;COND_INTERSTICIAL[[#This Row],[Sección]]&amp;"-"&amp;(COND_INTERSTICIAL[[#This Row],[tramo ev]]+1),COND_INTERSTICIAL[llave tramo ev],0)))</f>
        <v>#N/A</v>
      </c>
      <c r="DW137" s="111" cm="1">
        <f t="array" aca="1" ref="DW13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7" s="113" t="e" cm="1">
        <f t="array" aca="1" ref="DX13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7" s="113" t="e">
        <f ca="1">COND_INTERSTICIAL[[#This Row],[gev]]+COND_INTERSTICIAL[[#This Row],[Ma anterior ev]]</f>
        <v>#N/A</v>
      </c>
      <c r="EA137" s="115" t="e">
        <f ca="1">IF(COND_INTERSTICIAL[[#This Row],[Ma cond]]+COND_INTERSTICIAL[[#This Row],[Ma ev]]&lt;=0,0,COND_INTERSTICIAL[[#This Row],[Ma cond]]+COND_INTERSTICIAL[[#This Row],[Ma ev]])</f>
        <v>#N/A</v>
      </c>
      <c r="EB137" s="115" t="e">
        <f ca="1">IF(COND_INTERSTICIAL[[#This Row],[Ma]]&gt;0,TRUE,FALSE)</f>
        <v>#N/A</v>
      </c>
      <c r="EC137" s="115" t="e" cm="1">
        <f t="array" aca="1" ref="EC137" ca="1">IF(COND_INTERSTICIAL[[#This Row],[agua líquida]],IF(COND_INTERSTICIAL[[#This Row],[Condensa]],COND_INTERSTICIAL[[#This Row],[P límite cond]],COND_INTERSTICIAL[[#This Row],[P límite ev]]),IF(COND_INTERSTICIAL[[#This Row],[Capa]]=N_capas,COND_INTERSTICIAL[[#This Row],[Pn]],""))</f>
        <v>#N/A</v>
      </c>
      <c r="ED137" s="115" t="e">
        <f ca="1">COND_INTERSTICIAL[[#This Row],[Mes]]&amp;"-"&amp;COND_INTERSTICIAL[[#This Row],[Sección]]&amp;"-"&amp;COND_INTERSTICIAL[[#This Row],[tramo gráf]]</f>
        <v>#N/A</v>
      </c>
      <c r="EE137" s="114" t="e" cm="1">
        <f t="array" aca="1" ref="EE137" ca="1">IF(COND_INTERSTICIAL[[#This Row],[Capa]]=1,IF(COND_INTERSTICIAL[[#This Row],[agua líquida]],2,1),IF(COND_INTERSTICIAL[[#This Row],[agua líquida]],1,0)+INDIRECT(ADDRESS(ROW()-1,COLUMN(),4)))</f>
        <v>#N/A</v>
      </c>
      <c r="EF137" s="114" t="e" cm="1">
        <f t="array" aca="1" ref="EF137" ca="1">IF(COND_INTERSTICIAL[[#This Row],[tramo gráf]]=1,0,IF((COND_INTERSTICIAL[[#This Row],[tramo gráf]]&gt;INDIRECT(ADDRESS(ROW()-1,COLUMN(COND_INTERSTICIAL[[#This Row],[tramo gráf]]),4)))+COND_INTERSTICIAL[[#This Row],[agua líquida]],COND_INTERSTICIAL[[#This Row],[Capa]],INDIRECT(ADDRESS(ROW()-1,COLUMN(),4))))</f>
        <v>#N/A</v>
      </c>
      <c r="EG137" s="114" t="e" cm="1">
        <f t="array" aca="1" ref="EG137" ca="1">IF((COND_INTERSTICIAL[[#This Row],[Capa]]=N_capas)+(COND_INTERSTICIAL[[#This Row],[tramo gráf]]=COUNTIFS(COND_INTERSTICIAL[agua líquida],TRUE,COND_INTERSTICIAL[Mes],CW137,COND_INTERSTICIAL[Sección],CX137)+1),N_capas,INDEX(COND_INTERSTICIAL[capa lím inf gráf],MATCH(COND_INTERSTICIAL[[#This Row],[Mes]]&amp;"-"&amp;COND_INTERSTICIAL[[#This Row],[Sección]]&amp;"-"&amp;(COND_INTERSTICIAL[[#This Row],[tramo gráf]]+1),COND_INTERSTICIAL[llave tramo gráf],0)))</f>
        <v>#N/A</v>
      </c>
      <c r="EH137" s="114" cm="1">
        <f t="array" aca="1" ref="EH13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7" s="116" t="e" cm="1">
        <f t="array" aca="1" ref="EI13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8" spans="101:139" x14ac:dyDescent="0.45">
      <c r="CW138" s="1" cm="1">
        <f t="array" ref="CW138">ROUNDUP((ROW()-$CN$18+(Mes_inicial_de_análisis-1)*N_capas*N_secciones)/(N_capas*N_secciones),0)-12*IF(ROW()-$CN$18&gt;(12-Mes_inicial_de_análisis+1)*N_capas*N_secciones,1,0)</f>
        <v>3</v>
      </c>
      <c r="CX138" cm="1">
        <f t="array" ref="CX138">ROUNDUP((ROW()-$CN$18)/N_capas-(ROUNDUP((ROW()-$CN$18)/(N_capas*N_secciones),0)-1)*N_secciones,0)</f>
        <v>1</v>
      </c>
      <c r="CY138" cm="1">
        <f t="array" ref="CY138">(ROW()-$CN$18)-(COND_INTERSTICIAL[[#This Row],[Sección]]-1)*N_capas-(ROUNDUP((ROW()-$CN$18)/(N_capas*N_secciones),0)-1)*N_capas*N_secciones</f>
        <v>7</v>
      </c>
      <c r="CZ138" t="str">
        <f>COND_INTERSTICIAL[[#This Row],[Mes]]&amp;"-"&amp;COND_INTERSTICIAL[[#This Row],[Sección]]&amp;"-"&amp;COND_INTERSTICIAL[[#This Row],[Capa]]</f>
        <v>3-1-7</v>
      </c>
      <c r="DA138">
        <f ca="1">INDEX(SECCIONES_CAPAS[R''n],MATCH(COND_INTERSTICIAL[[#This Row],[Sección]]&amp;"-"&amp;COND_INTERSTICIAL[[#This Row],[Capa]],SECCIONES_CAPAS[llave],0))</f>
        <v>0.04</v>
      </c>
      <c r="DB138" s="172" t="e" cm="1">
        <f t="array" aca="1" ref="DB138" ca="1">INDEX(CLIMA[ϴe],COND_INTERSTICIAL[[#This Row],[Mes]])+COND_INTERSTICIAL[[#This Row],[Rn]]*(INDEX(CLIMA[ϴi],COND_INTERSTICIAL[[#This Row],[Mes]])-INDEX(CLIMA[ϴe],COND_INTERSTICIAL[[#This Row],[Mes]]))/(INDEX(SECCIONES[Rtsección_condensación],COND_INTERSTICIAL[[#This Row],[Sección]]))</f>
        <v>#N/A</v>
      </c>
      <c r="DC138">
        <f>INDEX(SECCIONES_CAPAS[Sd],MATCH(COND_INTERSTICIAL[[#This Row],[Sección]]&amp;"-"&amp;COND_INTERSTICIAL[[#This Row],[Capa]],SECCIONES_CAPAS[llave],0))</f>
        <v>0</v>
      </c>
      <c r="DD138">
        <f ca="1">INDEX(SECCIONES_CAPAS[S''d],MATCH(COND_INTERSTICIAL[[#This Row],[Sección]]&amp;"-"&amp;COND_INTERSTICIAL[[#This Row],[Capa]],SECCIONES_CAPAS[llave],0))</f>
        <v>0</v>
      </c>
      <c r="DE138" s="90" t="e">
        <f ca="1">IF(COND_INTERSTICIAL[[#This Row],[ϴn]]&gt;=0,610.5*EXP((17.269*COND_INTERSTICIAL[[#This Row],[ϴn]])/(237.3+COND_INTERSTICIAL[[#This Row],[ϴn]])),610.5*EXP((21.875*COND_INTERSTICIAL[[#This Row],[ϴn]])/(265.5+COND_INTERSTICIAL[[#This Row],[ϴn]])))</f>
        <v>#N/A</v>
      </c>
      <c r="DF138" s="90" t="e" cm="1">
        <f t="array" aca="1" ref="DF138" ca="1">COND_INTERSTICIAL[[#This Row],[S''d]]*((INDEX(CLIMA[Pi],COND_INTERSTICIAL[[#This Row],[Mes]])-INDEX(CLIMA[Pe],COND_INTERSTICIAL[[#This Row],[Mes]]))/INDEX(SECCIONES[SdT],COND_INTERSTICIAL[[#This Row],[Sección]]))+INDEX(CLIMA[Pe],COND_INTERSTICIAL[[#This Row],[Mes]])</f>
        <v>#N/A</v>
      </c>
      <c r="DG138" s="108" t="e">
        <f ca="1">IF((COND_INTERSTICIAL[[#This Row],[Pn]]&gt;=COND_INTERSTICIAL[[#This Row],[Psat]]),TRUE,FALSE)</f>
        <v>#N/A</v>
      </c>
      <c r="DH138" s="109" t="e" cm="1">
        <f t="array" aca="1" ref="DH138" ca="1">IF(COND_INTERSTICIAL[[#This Row],[Condensa]],COND_INTERSTICIAL[[#This Row],[Psat]],IF(COND_INTERSTICIAL[[#This Row],[Capa]]=N_capas,COND_INTERSTICIAL[[#This Row],[Pn]],""))</f>
        <v>#N/A</v>
      </c>
      <c r="DI138" s="109" t="e">
        <f ca="1">COND_INTERSTICIAL[[#This Row],[Mes]]&amp;"-"&amp;COND_INTERSTICIAL[[#This Row],[Sección]]&amp;"-"&amp;COND_INTERSTICIAL[[#This Row],[tramo cond]]</f>
        <v>#N/A</v>
      </c>
      <c r="DJ138" t="e" cm="1">
        <f t="array" aca="1" ref="DJ138" ca="1">IF(COND_INTERSTICIAL[[#This Row],[Capa]]=1,IF(COND_INTERSTICIAL[[#This Row],[Condensa]],2,1),IF(COND_INTERSTICIAL[[#This Row],[Condensa]],1,0)+INDIRECT(ADDRESS(ROW()-1,COLUMN(),4)))</f>
        <v>#N/A</v>
      </c>
      <c r="DK138" s="108" t="e" cm="1">
        <f t="array" aca="1" ref="DK138" ca="1">IF(COND_INTERSTICIAL[[#This Row],[tramo cond]]=1,0,IF((COND_INTERSTICIAL[[#This Row],[tramo cond]]&gt;INDIRECT(ADDRESS(ROW()-1,COLUMN(COND_INTERSTICIAL[[#This Row],[tramo cond]]),4)))+COND_INTERSTICIAL[[#This Row],[Condensa]],COND_INTERSTICIAL[[#This Row],[Capa]],INDIRECT(ADDRESS(ROW()-1,COLUMN(),4))))</f>
        <v>#N/A</v>
      </c>
      <c r="DL138" s="108" t="e" cm="1">
        <f t="array" aca="1" ref="DL138" ca="1">IF((COND_INTERSTICIAL[[#This Row],[Capa]]=N_capas)+(COND_INTERSTICIAL[[#This Row],[tramo cond]]=COUNTIFS(COND_INTERSTICIAL[Condensa],TRUE,COND_INTERSTICIAL[Mes],CW138,COND_INTERSTICIAL[Sección],CX138)+1),N_capas,INDEX(COND_INTERSTICIAL[capa lím inf cond],MATCH(COND_INTERSTICIAL[[#This Row],[Mes]]&amp;"-"&amp;COND_INTERSTICIAL[[#This Row],[Sección]]&amp;"-"&amp;(COND_INTERSTICIAL[[#This Row],[tramo cond]]+1),COND_INTERSTICIAL[llave tramo cond],0)))</f>
        <v>#N/A</v>
      </c>
      <c r="DM138" s="108" cm="1">
        <f t="array" aca="1" ref="DM13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8" s="110" t="e" cm="1">
        <f t="array" aca="1" ref="DN13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8" s="107" t="e">
        <f ca="1">COND_INTERSTICIAL[[#This Row],[gc]]+COND_INTERSTICIAL[[#This Row],[Ma_anterior cond]]</f>
        <v>#N/A</v>
      </c>
      <c r="DQ138" s="113" t="e">
        <f ca="1">IF((COND_INTERSTICIAL[[#This Row],[Ma_anterior cond]]&gt;0)*NOT(COND_INTERSTICIAL[[#This Row],[Condensa]]),TRUE,FALSE)</f>
        <v>#N/A</v>
      </c>
      <c r="DR138" s="112" t="e" cm="1">
        <f t="array" aca="1" ref="DR138" ca="1">IF(COND_INTERSTICIAL[[#This Row],[evapora]],COND_INTERSTICIAL[[#This Row],[Psat]],IF(COND_INTERSTICIAL[[#This Row],[Capa]]=N_capas,COND_INTERSTICIAL[[#This Row],[Pn]],""))</f>
        <v>#N/A</v>
      </c>
      <c r="DS138" s="112" t="e">
        <f ca="1">COND_INTERSTICIAL[[#This Row],[Mes]]&amp;"-"&amp;COND_INTERSTICIAL[[#This Row],[Sección]]&amp;"-"&amp;COND_INTERSTICIAL[[#This Row],[tramo ev]]</f>
        <v>#N/A</v>
      </c>
      <c r="DT138" s="111" t="e" cm="1">
        <f t="array" aca="1" ref="DT138" ca="1">IF(COND_INTERSTICIAL[[#This Row],[Capa]]=1,IF(COND_INTERSTICIAL[[#This Row],[evapora]],2,1),IF(COND_INTERSTICIAL[[#This Row],[evapora]],1,0)+INDIRECT(ADDRESS(ROW()-1,COLUMN(),4)))</f>
        <v>#N/A</v>
      </c>
      <c r="DU138" s="111" t="e" cm="1">
        <f t="array" aca="1" ref="DU138" ca="1">IF(COND_INTERSTICIAL[[#This Row],[tramo ev]]=1,0,IF((COND_INTERSTICIAL[[#This Row],[tramo ev]]&gt;INDIRECT(ADDRESS(ROW()-1,COLUMN(COND_INTERSTICIAL[[#This Row],[tramo ev]]),4)))+COND_INTERSTICIAL[[#This Row],[evapora]],COND_INTERSTICIAL[[#This Row],[Capa]],INDIRECT(ADDRESS(ROW()-1,COLUMN(),4))))</f>
        <v>#N/A</v>
      </c>
      <c r="DV138" s="111" t="e" cm="1">
        <f t="array" aca="1" ref="DV138" ca="1">IF((COND_INTERSTICIAL[[#This Row],[Capa]]=N_capas)+(COND_INTERSTICIAL[[#This Row],[tramo ev]]=COUNTIFS(COND_INTERSTICIAL[evapora],TRUE,COND_INTERSTICIAL[Mes],CW138,COND_INTERSTICIAL[Sección],CX138)+1),N_capas,INDEX(COND_INTERSTICIAL[capa lím inf ev],MATCH(COND_INTERSTICIAL[[#This Row],[Mes]]&amp;"-"&amp;COND_INTERSTICIAL[[#This Row],[Sección]]&amp;"-"&amp;(COND_INTERSTICIAL[[#This Row],[tramo ev]]+1),COND_INTERSTICIAL[llave tramo ev],0)))</f>
        <v>#N/A</v>
      </c>
      <c r="DW138" s="111" cm="1">
        <f t="array" aca="1" ref="DW13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8" s="113" t="e" cm="1">
        <f t="array" aca="1" ref="DX13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8" s="113" t="e">
        <f ca="1">COND_INTERSTICIAL[[#This Row],[gev]]+COND_INTERSTICIAL[[#This Row],[Ma anterior ev]]</f>
        <v>#N/A</v>
      </c>
      <c r="EA138" s="115" t="e">
        <f ca="1">IF(COND_INTERSTICIAL[[#This Row],[Ma cond]]+COND_INTERSTICIAL[[#This Row],[Ma ev]]&lt;=0,0,COND_INTERSTICIAL[[#This Row],[Ma cond]]+COND_INTERSTICIAL[[#This Row],[Ma ev]])</f>
        <v>#N/A</v>
      </c>
      <c r="EB138" s="115" t="e">
        <f ca="1">IF(COND_INTERSTICIAL[[#This Row],[Ma]]&gt;0,TRUE,FALSE)</f>
        <v>#N/A</v>
      </c>
      <c r="EC138" s="115" t="e" cm="1">
        <f t="array" aca="1" ref="EC138" ca="1">IF(COND_INTERSTICIAL[[#This Row],[agua líquida]],IF(COND_INTERSTICIAL[[#This Row],[Condensa]],COND_INTERSTICIAL[[#This Row],[P límite cond]],COND_INTERSTICIAL[[#This Row],[P límite ev]]),IF(COND_INTERSTICIAL[[#This Row],[Capa]]=N_capas,COND_INTERSTICIAL[[#This Row],[Pn]],""))</f>
        <v>#N/A</v>
      </c>
      <c r="ED138" s="115" t="e">
        <f ca="1">COND_INTERSTICIAL[[#This Row],[Mes]]&amp;"-"&amp;COND_INTERSTICIAL[[#This Row],[Sección]]&amp;"-"&amp;COND_INTERSTICIAL[[#This Row],[tramo gráf]]</f>
        <v>#N/A</v>
      </c>
      <c r="EE138" s="114" t="e" cm="1">
        <f t="array" aca="1" ref="EE138" ca="1">IF(COND_INTERSTICIAL[[#This Row],[Capa]]=1,IF(COND_INTERSTICIAL[[#This Row],[agua líquida]],2,1),IF(COND_INTERSTICIAL[[#This Row],[agua líquida]],1,0)+INDIRECT(ADDRESS(ROW()-1,COLUMN(),4)))</f>
        <v>#N/A</v>
      </c>
      <c r="EF138" s="114" t="e" cm="1">
        <f t="array" aca="1" ref="EF138" ca="1">IF(COND_INTERSTICIAL[[#This Row],[tramo gráf]]=1,0,IF((COND_INTERSTICIAL[[#This Row],[tramo gráf]]&gt;INDIRECT(ADDRESS(ROW()-1,COLUMN(COND_INTERSTICIAL[[#This Row],[tramo gráf]]),4)))+COND_INTERSTICIAL[[#This Row],[agua líquida]],COND_INTERSTICIAL[[#This Row],[Capa]],INDIRECT(ADDRESS(ROW()-1,COLUMN(),4))))</f>
        <v>#N/A</v>
      </c>
      <c r="EG138" s="114" t="e" cm="1">
        <f t="array" aca="1" ref="EG138" ca="1">IF((COND_INTERSTICIAL[[#This Row],[Capa]]=N_capas)+(COND_INTERSTICIAL[[#This Row],[tramo gráf]]=COUNTIFS(COND_INTERSTICIAL[agua líquida],TRUE,COND_INTERSTICIAL[Mes],CW138,COND_INTERSTICIAL[Sección],CX138)+1),N_capas,INDEX(COND_INTERSTICIAL[capa lím inf gráf],MATCH(COND_INTERSTICIAL[[#This Row],[Mes]]&amp;"-"&amp;COND_INTERSTICIAL[[#This Row],[Sección]]&amp;"-"&amp;(COND_INTERSTICIAL[[#This Row],[tramo gráf]]+1),COND_INTERSTICIAL[llave tramo gráf],0)))</f>
        <v>#N/A</v>
      </c>
      <c r="EH138" s="114" cm="1">
        <f t="array" aca="1" ref="EH13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8" s="116" t="e" cm="1">
        <f t="array" aca="1" ref="EI13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9" spans="101:139" x14ac:dyDescent="0.45">
      <c r="CW139" s="1" cm="1">
        <f t="array" ref="CW139">ROUNDUP((ROW()-$CN$18+(Mes_inicial_de_análisis-1)*N_capas*N_secciones)/(N_capas*N_secciones),0)-12*IF(ROW()-$CN$18&gt;(12-Mes_inicial_de_análisis+1)*N_capas*N_secciones,1,0)</f>
        <v>3</v>
      </c>
      <c r="CX139" cm="1">
        <f t="array" ref="CX139">ROUNDUP((ROW()-$CN$18)/N_capas-(ROUNDUP((ROW()-$CN$18)/(N_capas*N_secciones),0)-1)*N_secciones,0)</f>
        <v>2</v>
      </c>
      <c r="CY139" cm="1">
        <f t="array" ref="CY139">(ROW()-$CN$18)-(COND_INTERSTICIAL[[#This Row],[Sección]]-1)*N_capas-(ROUNDUP((ROW()-$CN$18)/(N_capas*N_secciones),0)-1)*N_capas*N_secciones</f>
        <v>1</v>
      </c>
      <c r="CZ139" t="str">
        <f>COND_INTERSTICIAL[[#This Row],[Mes]]&amp;"-"&amp;COND_INTERSTICIAL[[#This Row],[Sección]]&amp;"-"&amp;COND_INTERSTICIAL[[#This Row],[Capa]]</f>
        <v>3-2-1</v>
      </c>
      <c r="DA139">
        <f ca="1">INDEX(SECCIONES_CAPAS[R''n],MATCH(COND_INTERSTICIAL[[#This Row],[Sección]]&amp;"-"&amp;COND_INTERSTICIAL[[#This Row],[Capa]],SECCIONES_CAPAS[llave],0))</f>
        <v>0.04</v>
      </c>
      <c r="DB139" s="172" t="e" cm="1">
        <f t="array" aca="1" ref="DB139" ca="1">INDEX(CLIMA[ϴe],COND_INTERSTICIAL[[#This Row],[Mes]])+COND_INTERSTICIAL[[#This Row],[Rn]]*(INDEX(CLIMA[ϴi],COND_INTERSTICIAL[[#This Row],[Mes]])-INDEX(CLIMA[ϴe],COND_INTERSTICIAL[[#This Row],[Mes]]))/(INDEX(SECCIONES[Rtsección_condensación],COND_INTERSTICIAL[[#This Row],[Sección]]))</f>
        <v>#N/A</v>
      </c>
      <c r="DC139">
        <f>INDEX(SECCIONES_CAPAS[Sd],MATCH(COND_INTERSTICIAL[[#This Row],[Sección]]&amp;"-"&amp;COND_INTERSTICIAL[[#This Row],[Capa]],SECCIONES_CAPAS[llave],0))</f>
        <v>0</v>
      </c>
      <c r="DD139">
        <f ca="1">INDEX(SECCIONES_CAPAS[S''d],MATCH(COND_INTERSTICIAL[[#This Row],[Sección]]&amp;"-"&amp;COND_INTERSTICIAL[[#This Row],[Capa]],SECCIONES_CAPAS[llave],0))</f>
        <v>0</v>
      </c>
      <c r="DE139" s="90" t="e">
        <f ca="1">IF(COND_INTERSTICIAL[[#This Row],[ϴn]]&gt;=0,610.5*EXP((17.269*COND_INTERSTICIAL[[#This Row],[ϴn]])/(237.3+COND_INTERSTICIAL[[#This Row],[ϴn]])),610.5*EXP((21.875*COND_INTERSTICIAL[[#This Row],[ϴn]])/(265.5+COND_INTERSTICIAL[[#This Row],[ϴn]])))</f>
        <v>#N/A</v>
      </c>
      <c r="DF139" s="90" t="e" cm="1">
        <f t="array" aca="1" ref="DF139" ca="1">COND_INTERSTICIAL[[#This Row],[S''d]]*((INDEX(CLIMA[Pi],COND_INTERSTICIAL[[#This Row],[Mes]])-INDEX(CLIMA[Pe],COND_INTERSTICIAL[[#This Row],[Mes]]))/INDEX(SECCIONES[SdT],COND_INTERSTICIAL[[#This Row],[Sección]]))+INDEX(CLIMA[Pe],COND_INTERSTICIAL[[#This Row],[Mes]])</f>
        <v>#N/A</v>
      </c>
      <c r="DG139" s="108" t="e">
        <f ca="1">IF((COND_INTERSTICIAL[[#This Row],[Pn]]&gt;=COND_INTERSTICIAL[[#This Row],[Psat]]),TRUE,FALSE)</f>
        <v>#N/A</v>
      </c>
      <c r="DH139" s="109" t="e" cm="1">
        <f t="array" aca="1" ref="DH139" ca="1">IF(COND_INTERSTICIAL[[#This Row],[Condensa]],COND_INTERSTICIAL[[#This Row],[Psat]],IF(COND_INTERSTICIAL[[#This Row],[Capa]]=N_capas,COND_INTERSTICIAL[[#This Row],[Pn]],""))</f>
        <v>#N/A</v>
      </c>
      <c r="DI139" s="109" t="e">
        <f ca="1">COND_INTERSTICIAL[[#This Row],[Mes]]&amp;"-"&amp;COND_INTERSTICIAL[[#This Row],[Sección]]&amp;"-"&amp;COND_INTERSTICIAL[[#This Row],[tramo cond]]</f>
        <v>#N/A</v>
      </c>
      <c r="DJ139" t="e" cm="1">
        <f t="array" aca="1" ref="DJ139" ca="1">IF(COND_INTERSTICIAL[[#This Row],[Capa]]=1,IF(COND_INTERSTICIAL[[#This Row],[Condensa]],2,1),IF(COND_INTERSTICIAL[[#This Row],[Condensa]],1,0)+INDIRECT(ADDRESS(ROW()-1,COLUMN(),4)))</f>
        <v>#N/A</v>
      </c>
      <c r="DK139" s="108" t="e" cm="1">
        <f t="array" aca="1" ref="DK139" ca="1">IF(COND_INTERSTICIAL[[#This Row],[tramo cond]]=1,0,IF((COND_INTERSTICIAL[[#This Row],[tramo cond]]&gt;INDIRECT(ADDRESS(ROW()-1,COLUMN(COND_INTERSTICIAL[[#This Row],[tramo cond]]),4)))+COND_INTERSTICIAL[[#This Row],[Condensa]],COND_INTERSTICIAL[[#This Row],[Capa]],INDIRECT(ADDRESS(ROW()-1,COLUMN(),4))))</f>
        <v>#N/A</v>
      </c>
      <c r="DL139" s="108" t="e" cm="1">
        <f t="array" aca="1" ref="DL139" ca="1">IF((COND_INTERSTICIAL[[#This Row],[Capa]]=N_capas)+(COND_INTERSTICIAL[[#This Row],[tramo cond]]=COUNTIFS(COND_INTERSTICIAL[Condensa],TRUE,COND_INTERSTICIAL[Mes],CW139,COND_INTERSTICIAL[Sección],CX139)+1),N_capas,INDEX(COND_INTERSTICIAL[capa lím inf cond],MATCH(COND_INTERSTICIAL[[#This Row],[Mes]]&amp;"-"&amp;COND_INTERSTICIAL[[#This Row],[Sección]]&amp;"-"&amp;(COND_INTERSTICIAL[[#This Row],[tramo cond]]+1),COND_INTERSTICIAL[llave tramo cond],0)))</f>
        <v>#N/A</v>
      </c>
      <c r="DM139" s="108" cm="1">
        <f t="array" aca="1" ref="DM13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9" s="110" t="e" cm="1">
        <f t="array" aca="1" ref="DN13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9" s="107" t="e">
        <f ca="1">COND_INTERSTICIAL[[#This Row],[gc]]+COND_INTERSTICIAL[[#This Row],[Ma_anterior cond]]</f>
        <v>#N/A</v>
      </c>
      <c r="DQ139" s="113" t="e">
        <f ca="1">IF((COND_INTERSTICIAL[[#This Row],[Ma_anterior cond]]&gt;0)*NOT(COND_INTERSTICIAL[[#This Row],[Condensa]]),TRUE,FALSE)</f>
        <v>#N/A</v>
      </c>
      <c r="DR139" s="112" t="e" cm="1">
        <f t="array" aca="1" ref="DR139" ca="1">IF(COND_INTERSTICIAL[[#This Row],[evapora]],COND_INTERSTICIAL[[#This Row],[Psat]],IF(COND_INTERSTICIAL[[#This Row],[Capa]]=N_capas,COND_INTERSTICIAL[[#This Row],[Pn]],""))</f>
        <v>#N/A</v>
      </c>
      <c r="DS139" s="112" t="e">
        <f ca="1">COND_INTERSTICIAL[[#This Row],[Mes]]&amp;"-"&amp;COND_INTERSTICIAL[[#This Row],[Sección]]&amp;"-"&amp;COND_INTERSTICIAL[[#This Row],[tramo ev]]</f>
        <v>#N/A</v>
      </c>
      <c r="DT139" s="111" t="e" cm="1">
        <f t="array" aca="1" ref="DT139" ca="1">IF(COND_INTERSTICIAL[[#This Row],[Capa]]=1,IF(COND_INTERSTICIAL[[#This Row],[evapora]],2,1),IF(COND_INTERSTICIAL[[#This Row],[evapora]],1,0)+INDIRECT(ADDRESS(ROW()-1,COLUMN(),4)))</f>
        <v>#N/A</v>
      </c>
      <c r="DU139" s="111" t="e" cm="1">
        <f t="array" aca="1" ref="DU139" ca="1">IF(COND_INTERSTICIAL[[#This Row],[tramo ev]]=1,0,IF((COND_INTERSTICIAL[[#This Row],[tramo ev]]&gt;INDIRECT(ADDRESS(ROW()-1,COLUMN(COND_INTERSTICIAL[[#This Row],[tramo ev]]),4)))+COND_INTERSTICIAL[[#This Row],[evapora]],COND_INTERSTICIAL[[#This Row],[Capa]],INDIRECT(ADDRESS(ROW()-1,COLUMN(),4))))</f>
        <v>#N/A</v>
      </c>
      <c r="DV139" s="111" t="e" cm="1">
        <f t="array" aca="1" ref="DV139" ca="1">IF((COND_INTERSTICIAL[[#This Row],[Capa]]=N_capas)+(COND_INTERSTICIAL[[#This Row],[tramo ev]]=COUNTIFS(COND_INTERSTICIAL[evapora],TRUE,COND_INTERSTICIAL[Mes],CW139,COND_INTERSTICIAL[Sección],CX139)+1),N_capas,INDEX(COND_INTERSTICIAL[capa lím inf ev],MATCH(COND_INTERSTICIAL[[#This Row],[Mes]]&amp;"-"&amp;COND_INTERSTICIAL[[#This Row],[Sección]]&amp;"-"&amp;(COND_INTERSTICIAL[[#This Row],[tramo ev]]+1),COND_INTERSTICIAL[llave tramo ev],0)))</f>
        <v>#N/A</v>
      </c>
      <c r="DW139" s="111" cm="1">
        <f t="array" aca="1" ref="DW13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9" s="113" t="e" cm="1">
        <f t="array" aca="1" ref="DX13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9" s="113" t="e">
        <f ca="1">COND_INTERSTICIAL[[#This Row],[gev]]+COND_INTERSTICIAL[[#This Row],[Ma anterior ev]]</f>
        <v>#N/A</v>
      </c>
      <c r="EA139" s="115" t="e">
        <f ca="1">IF(COND_INTERSTICIAL[[#This Row],[Ma cond]]+COND_INTERSTICIAL[[#This Row],[Ma ev]]&lt;=0,0,COND_INTERSTICIAL[[#This Row],[Ma cond]]+COND_INTERSTICIAL[[#This Row],[Ma ev]])</f>
        <v>#N/A</v>
      </c>
      <c r="EB139" s="115" t="e">
        <f ca="1">IF(COND_INTERSTICIAL[[#This Row],[Ma]]&gt;0,TRUE,FALSE)</f>
        <v>#N/A</v>
      </c>
      <c r="EC139" s="115" t="e" cm="1">
        <f t="array" aca="1" ref="EC139" ca="1">IF(COND_INTERSTICIAL[[#This Row],[agua líquida]],IF(COND_INTERSTICIAL[[#This Row],[Condensa]],COND_INTERSTICIAL[[#This Row],[P límite cond]],COND_INTERSTICIAL[[#This Row],[P límite ev]]),IF(COND_INTERSTICIAL[[#This Row],[Capa]]=N_capas,COND_INTERSTICIAL[[#This Row],[Pn]],""))</f>
        <v>#N/A</v>
      </c>
      <c r="ED139" s="115" t="e">
        <f ca="1">COND_INTERSTICIAL[[#This Row],[Mes]]&amp;"-"&amp;COND_INTERSTICIAL[[#This Row],[Sección]]&amp;"-"&amp;COND_INTERSTICIAL[[#This Row],[tramo gráf]]</f>
        <v>#N/A</v>
      </c>
      <c r="EE139" s="114" t="e" cm="1">
        <f t="array" aca="1" ref="EE139" ca="1">IF(COND_INTERSTICIAL[[#This Row],[Capa]]=1,IF(COND_INTERSTICIAL[[#This Row],[agua líquida]],2,1),IF(COND_INTERSTICIAL[[#This Row],[agua líquida]],1,0)+INDIRECT(ADDRESS(ROW()-1,COLUMN(),4)))</f>
        <v>#N/A</v>
      </c>
      <c r="EF139" s="114" t="e" cm="1">
        <f t="array" aca="1" ref="EF139" ca="1">IF(COND_INTERSTICIAL[[#This Row],[tramo gráf]]=1,0,IF((COND_INTERSTICIAL[[#This Row],[tramo gráf]]&gt;INDIRECT(ADDRESS(ROW()-1,COLUMN(COND_INTERSTICIAL[[#This Row],[tramo gráf]]),4)))+COND_INTERSTICIAL[[#This Row],[agua líquida]],COND_INTERSTICIAL[[#This Row],[Capa]],INDIRECT(ADDRESS(ROW()-1,COLUMN(),4))))</f>
        <v>#N/A</v>
      </c>
      <c r="EG139" s="114" t="e" cm="1">
        <f t="array" aca="1" ref="EG139" ca="1">IF((COND_INTERSTICIAL[[#This Row],[Capa]]=N_capas)+(COND_INTERSTICIAL[[#This Row],[tramo gráf]]=COUNTIFS(COND_INTERSTICIAL[agua líquida],TRUE,COND_INTERSTICIAL[Mes],CW139,COND_INTERSTICIAL[Sección],CX139)+1),N_capas,INDEX(COND_INTERSTICIAL[capa lím inf gráf],MATCH(COND_INTERSTICIAL[[#This Row],[Mes]]&amp;"-"&amp;COND_INTERSTICIAL[[#This Row],[Sección]]&amp;"-"&amp;(COND_INTERSTICIAL[[#This Row],[tramo gráf]]+1),COND_INTERSTICIAL[llave tramo gráf],0)))</f>
        <v>#N/A</v>
      </c>
      <c r="EH139" s="114" cm="1">
        <f t="array" aca="1" ref="EH13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9" s="116" t="e" cm="1">
        <f t="array" aca="1" ref="EI13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0" spans="101:139" x14ac:dyDescent="0.45">
      <c r="CW140" s="1" cm="1">
        <f t="array" ref="CW140">ROUNDUP((ROW()-$CN$18+(Mes_inicial_de_análisis-1)*N_capas*N_secciones)/(N_capas*N_secciones),0)-12*IF(ROW()-$CN$18&gt;(12-Mes_inicial_de_análisis+1)*N_capas*N_secciones,1,0)</f>
        <v>3</v>
      </c>
      <c r="CX140" cm="1">
        <f t="array" ref="CX140">ROUNDUP((ROW()-$CN$18)/N_capas-(ROUNDUP((ROW()-$CN$18)/(N_capas*N_secciones),0)-1)*N_secciones,0)</f>
        <v>2</v>
      </c>
      <c r="CY140" cm="1">
        <f t="array" ref="CY140">(ROW()-$CN$18)-(COND_INTERSTICIAL[[#This Row],[Sección]]-1)*N_capas-(ROUNDUP((ROW()-$CN$18)/(N_capas*N_secciones),0)-1)*N_capas*N_secciones</f>
        <v>2</v>
      </c>
      <c r="CZ140" t="str">
        <f>COND_INTERSTICIAL[[#This Row],[Mes]]&amp;"-"&amp;COND_INTERSTICIAL[[#This Row],[Sección]]&amp;"-"&amp;COND_INTERSTICIAL[[#This Row],[Capa]]</f>
        <v>3-2-2</v>
      </c>
      <c r="DA140">
        <f ca="1">INDEX(SECCIONES_CAPAS[R''n],MATCH(COND_INTERSTICIAL[[#This Row],[Sección]]&amp;"-"&amp;COND_INTERSTICIAL[[#This Row],[Capa]],SECCIONES_CAPAS[llave],0))</f>
        <v>0.04</v>
      </c>
      <c r="DB140" s="172" t="e" cm="1">
        <f t="array" aca="1" ref="DB140" ca="1">INDEX(CLIMA[ϴe],COND_INTERSTICIAL[[#This Row],[Mes]])+COND_INTERSTICIAL[[#This Row],[Rn]]*(INDEX(CLIMA[ϴi],COND_INTERSTICIAL[[#This Row],[Mes]])-INDEX(CLIMA[ϴe],COND_INTERSTICIAL[[#This Row],[Mes]]))/(INDEX(SECCIONES[Rtsección_condensación],COND_INTERSTICIAL[[#This Row],[Sección]]))</f>
        <v>#N/A</v>
      </c>
      <c r="DC140">
        <f>INDEX(SECCIONES_CAPAS[Sd],MATCH(COND_INTERSTICIAL[[#This Row],[Sección]]&amp;"-"&amp;COND_INTERSTICIAL[[#This Row],[Capa]],SECCIONES_CAPAS[llave],0))</f>
        <v>0</v>
      </c>
      <c r="DD140">
        <f ca="1">INDEX(SECCIONES_CAPAS[S''d],MATCH(COND_INTERSTICIAL[[#This Row],[Sección]]&amp;"-"&amp;COND_INTERSTICIAL[[#This Row],[Capa]],SECCIONES_CAPAS[llave],0))</f>
        <v>0</v>
      </c>
      <c r="DE140" s="90" t="e">
        <f ca="1">IF(COND_INTERSTICIAL[[#This Row],[ϴn]]&gt;=0,610.5*EXP((17.269*COND_INTERSTICIAL[[#This Row],[ϴn]])/(237.3+COND_INTERSTICIAL[[#This Row],[ϴn]])),610.5*EXP((21.875*COND_INTERSTICIAL[[#This Row],[ϴn]])/(265.5+COND_INTERSTICIAL[[#This Row],[ϴn]])))</f>
        <v>#N/A</v>
      </c>
      <c r="DF140" s="90" t="e" cm="1">
        <f t="array" aca="1" ref="DF140" ca="1">COND_INTERSTICIAL[[#This Row],[S''d]]*((INDEX(CLIMA[Pi],COND_INTERSTICIAL[[#This Row],[Mes]])-INDEX(CLIMA[Pe],COND_INTERSTICIAL[[#This Row],[Mes]]))/INDEX(SECCIONES[SdT],COND_INTERSTICIAL[[#This Row],[Sección]]))+INDEX(CLIMA[Pe],COND_INTERSTICIAL[[#This Row],[Mes]])</f>
        <v>#N/A</v>
      </c>
      <c r="DG140" s="108" t="e">
        <f ca="1">IF((COND_INTERSTICIAL[[#This Row],[Pn]]&gt;=COND_INTERSTICIAL[[#This Row],[Psat]]),TRUE,FALSE)</f>
        <v>#N/A</v>
      </c>
      <c r="DH140" s="109" t="e" cm="1">
        <f t="array" aca="1" ref="DH140" ca="1">IF(COND_INTERSTICIAL[[#This Row],[Condensa]],COND_INTERSTICIAL[[#This Row],[Psat]],IF(COND_INTERSTICIAL[[#This Row],[Capa]]=N_capas,COND_INTERSTICIAL[[#This Row],[Pn]],""))</f>
        <v>#N/A</v>
      </c>
      <c r="DI140" s="109" t="e">
        <f ca="1">COND_INTERSTICIAL[[#This Row],[Mes]]&amp;"-"&amp;COND_INTERSTICIAL[[#This Row],[Sección]]&amp;"-"&amp;COND_INTERSTICIAL[[#This Row],[tramo cond]]</f>
        <v>#N/A</v>
      </c>
      <c r="DJ140" t="e" cm="1">
        <f t="array" aca="1" ref="DJ140" ca="1">IF(COND_INTERSTICIAL[[#This Row],[Capa]]=1,IF(COND_INTERSTICIAL[[#This Row],[Condensa]],2,1),IF(COND_INTERSTICIAL[[#This Row],[Condensa]],1,0)+INDIRECT(ADDRESS(ROW()-1,COLUMN(),4)))</f>
        <v>#N/A</v>
      </c>
      <c r="DK140" s="108" t="e" cm="1">
        <f t="array" aca="1" ref="DK140" ca="1">IF(COND_INTERSTICIAL[[#This Row],[tramo cond]]=1,0,IF((COND_INTERSTICIAL[[#This Row],[tramo cond]]&gt;INDIRECT(ADDRESS(ROW()-1,COLUMN(COND_INTERSTICIAL[[#This Row],[tramo cond]]),4)))+COND_INTERSTICIAL[[#This Row],[Condensa]],COND_INTERSTICIAL[[#This Row],[Capa]],INDIRECT(ADDRESS(ROW()-1,COLUMN(),4))))</f>
        <v>#N/A</v>
      </c>
      <c r="DL140" s="108" t="e" cm="1">
        <f t="array" aca="1" ref="DL140" ca="1">IF((COND_INTERSTICIAL[[#This Row],[Capa]]=N_capas)+(COND_INTERSTICIAL[[#This Row],[tramo cond]]=COUNTIFS(COND_INTERSTICIAL[Condensa],TRUE,COND_INTERSTICIAL[Mes],CW140,COND_INTERSTICIAL[Sección],CX140)+1),N_capas,INDEX(COND_INTERSTICIAL[capa lím inf cond],MATCH(COND_INTERSTICIAL[[#This Row],[Mes]]&amp;"-"&amp;COND_INTERSTICIAL[[#This Row],[Sección]]&amp;"-"&amp;(COND_INTERSTICIAL[[#This Row],[tramo cond]]+1),COND_INTERSTICIAL[llave tramo cond],0)))</f>
        <v>#N/A</v>
      </c>
      <c r="DM140" s="108" cm="1">
        <f t="array" aca="1" ref="DM14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0" s="110" t="e" cm="1">
        <f t="array" aca="1" ref="DN14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0" s="107" t="e">
        <f ca="1">COND_INTERSTICIAL[[#This Row],[gc]]+COND_INTERSTICIAL[[#This Row],[Ma_anterior cond]]</f>
        <v>#N/A</v>
      </c>
      <c r="DQ140" s="113" t="e">
        <f ca="1">IF((COND_INTERSTICIAL[[#This Row],[Ma_anterior cond]]&gt;0)*NOT(COND_INTERSTICIAL[[#This Row],[Condensa]]),TRUE,FALSE)</f>
        <v>#N/A</v>
      </c>
      <c r="DR140" s="112" t="e" cm="1">
        <f t="array" aca="1" ref="DR140" ca="1">IF(COND_INTERSTICIAL[[#This Row],[evapora]],COND_INTERSTICIAL[[#This Row],[Psat]],IF(COND_INTERSTICIAL[[#This Row],[Capa]]=N_capas,COND_INTERSTICIAL[[#This Row],[Pn]],""))</f>
        <v>#N/A</v>
      </c>
      <c r="DS140" s="112" t="e">
        <f ca="1">COND_INTERSTICIAL[[#This Row],[Mes]]&amp;"-"&amp;COND_INTERSTICIAL[[#This Row],[Sección]]&amp;"-"&amp;COND_INTERSTICIAL[[#This Row],[tramo ev]]</f>
        <v>#N/A</v>
      </c>
      <c r="DT140" s="111" t="e" cm="1">
        <f t="array" aca="1" ref="DT140" ca="1">IF(COND_INTERSTICIAL[[#This Row],[Capa]]=1,IF(COND_INTERSTICIAL[[#This Row],[evapora]],2,1),IF(COND_INTERSTICIAL[[#This Row],[evapora]],1,0)+INDIRECT(ADDRESS(ROW()-1,COLUMN(),4)))</f>
        <v>#N/A</v>
      </c>
      <c r="DU140" s="111" t="e" cm="1">
        <f t="array" aca="1" ref="DU140" ca="1">IF(COND_INTERSTICIAL[[#This Row],[tramo ev]]=1,0,IF((COND_INTERSTICIAL[[#This Row],[tramo ev]]&gt;INDIRECT(ADDRESS(ROW()-1,COLUMN(COND_INTERSTICIAL[[#This Row],[tramo ev]]),4)))+COND_INTERSTICIAL[[#This Row],[evapora]],COND_INTERSTICIAL[[#This Row],[Capa]],INDIRECT(ADDRESS(ROW()-1,COLUMN(),4))))</f>
        <v>#N/A</v>
      </c>
      <c r="DV140" s="111" t="e" cm="1">
        <f t="array" aca="1" ref="DV140" ca="1">IF((COND_INTERSTICIAL[[#This Row],[Capa]]=N_capas)+(COND_INTERSTICIAL[[#This Row],[tramo ev]]=COUNTIFS(COND_INTERSTICIAL[evapora],TRUE,COND_INTERSTICIAL[Mes],CW140,COND_INTERSTICIAL[Sección],CX140)+1),N_capas,INDEX(COND_INTERSTICIAL[capa lím inf ev],MATCH(COND_INTERSTICIAL[[#This Row],[Mes]]&amp;"-"&amp;COND_INTERSTICIAL[[#This Row],[Sección]]&amp;"-"&amp;(COND_INTERSTICIAL[[#This Row],[tramo ev]]+1),COND_INTERSTICIAL[llave tramo ev],0)))</f>
        <v>#N/A</v>
      </c>
      <c r="DW140" s="111" cm="1">
        <f t="array" aca="1" ref="DW14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0" s="113" t="e" cm="1">
        <f t="array" aca="1" ref="DX14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0" s="113" t="e">
        <f ca="1">COND_INTERSTICIAL[[#This Row],[gev]]+COND_INTERSTICIAL[[#This Row],[Ma anterior ev]]</f>
        <v>#N/A</v>
      </c>
      <c r="EA140" s="115" t="e">
        <f ca="1">IF(COND_INTERSTICIAL[[#This Row],[Ma cond]]+COND_INTERSTICIAL[[#This Row],[Ma ev]]&lt;=0,0,COND_INTERSTICIAL[[#This Row],[Ma cond]]+COND_INTERSTICIAL[[#This Row],[Ma ev]])</f>
        <v>#N/A</v>
      </c>
      <c r="EB140" s="115" t="e">
        <f ca="1">IF(COND_INTERSTICIAL[[#This Row],[Ma]]&gt;0,TRUE,FALSE)</f>
        <v>#N/A</v>
      </c>
      <c r="EC140" s="115" t="e" cm="1">
        <f t="array" aca="1" ref="EC140" ca="1">IF(COND_INTERSTICIAL[[#This Row],[agua líquida]],IF(COND_INTERSTICIAL[[#This Row],[Condensa]],COND_INTERSTICIAL[[#This Row],[P límite cond]],COND_INTERSTICIAL[[#This Row],[P límite ev]]),IF(COND_INTERSTICIAL[[#This Row],[Capa]]=N_capas,COND_INTERSTICIAL[[#This Row],[Pn]],""))</f>
        <v>#N/A</v>
      </c>
      <c r="ED140" s="115" t="e">
        <f ca="1">COND_INTERSTICIAL[[#This Row],[Mes]]&amp;"-"&amp;COND_INTERSTICIAL[[#This Row],[Sección]]&amp;"-"&amp;COND_INTERSTICIAL[[#This Row],[tramo gráf]]</f>
        <v>#N/A</v>
      </c>
      <c r="EE140" s="114" t="e" cm="1">
        <f t="array" aca="1" ref="EE140" ca="1">IF(COND_INTERSTICIAL[[#This Row],[Capa]]=1,IF(COND_INTERSTICIAL[[#This Row],[agua líquida]],2,1),IF(COND_INTERSTICIAL[[#This Row],[agua líquida]],1,0)+INDIRECT(ADDRESS(ROW()-1,COLUMN(),4)))</f>
        <v>#N/A</v>
      </c>
      <c r="EF140" s="114" t="e" cm="1">
        <f t="array" aca="1" ref="EF140" ca="1">IF(COND_INTERSTICIAL[[#This Row],[tramo gráf]]=1,0,IF((COND_INTERSTICIAL[[#This Row],[tramo gráf]]&gt;INDIRECT(ADDRESS(ROW()-1,COLUMN(COND_INTERSTICIAL[[#This Row],[tramo gráf]]),4)))+COND_INTERSTICIAL[[#This Row],[agua líquida]],COND_INTERSTICIAL[[#This Row],[Capa]],INDIRECT(ADDRESS(ROW()-1,COLUMN(),4))))</f>
        <v>#N/A</v>
      </c>
      <c r="EG140" s="114" t="e" cm="1">
        <f t="array" aca="1" ref="EG140" ca="1">IF((COND_INTERSTICIAL[[#This Row],[Capa]]=N_capas)+(COND_INTERSTICIAL[[#This Row],[tramo gráf]]=COUNTIFS(COND_INTERSTICIAL[agua líquida],TRUE,COND_INTERSTICIAL[Mes],CW140,COND_INTERSTICIAL[Sección],CX140)+1),N_capas,INDEX(COND_INTERSTICIAL[capa lím inf gráf],MATCH(COND_INTERSTICIAL[[#This Row],[Mes]]&amp;"-"&amp;COND_INTERSTICIAL[[#This Row],[Sección]]&amp;"-"&amp;(COND_INTERSTICIAL[[#This Row],[tramo gráf]]+1),COND_INTERSTICIAL[llave tramo gráf],0)))</f>
        <v>#N/A</v>
      </c>
      <c r="EH140" s="114" cm="1">
        <f t="array" aca="1" ref="EH14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0" s="116" t="e" cm="1">
        <f t="array" aca="1" ref="EI14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1" spans="101:139" x14ac:dyDescent="0.45">
      <c r="CW141" s="1" cm="1">
        <f t="array" ref="CW141">ROUNDUP((ROW()-$CN$18+(Mes_inicial_de_análisis-1)*N_capas*N_secciones)/(N_capas*N_secciones),0)-12*IF(ROW()-$CN$18&gt;(12-Mes_inicial_de_análisis+1)*N_capas*N_secciones,1,0)</f>
        <v>3</v>
      </c>
      <c r="CX141" cm="1">
        <f t="array" ref="CX141">ROUNDUP((ROW()-$CN$18)/N_capas-(ROUNDUP((ROW()-$CN$18)/(N_capas*N_secciones),0)-1)*N_secciones,0)</f>
        <v>2</v>
      </c>
      <c r="CY141" cm="1">
        <f t="array" ref="CY141">(ROW()-$CN$18)-(COND_INTERSTICIAL[[#This Row],[Sección]]-1)*N_capas-(ROUNDUP((ROW()-$CN$18)/(N_capas*N_secciones),0)-1)*N_capas*N_secciones</f>
        <v>3</v>
      </c>
      <c r="CZ141" t="str">
        <f>COND_INTERSTICIAL[[#This Row],[Mes]]&amp;"-"&amp;COND_INTERSTICIAL[[#This Row],[Sección]]&amp;"-"&amp;COND_INTERSTICIAL[[#This Row],[Capa]]</f>
        <v>3-2-3</v>
      </c>
      <c r="DA141">
        <f ca="1">INDEX(SECCIONES_CAPAS[R''n],MATCH(COND_INTERSTICIAL[[#This Row],[Sección]]&amp;"-"&amp;COND_INTERSTICIAL[[#This Row],[Capa]],SECCIONES_CAPAS[llave],0))</f>
        <v>0.04</v>
      </c>
      <c r="DB141" s="172" t="e" cm="1">
        <f t="array" aca="1" ref="DB141" ca="1">INDEX(CLIMA[ϴe],COND_INTERSTICIAL[[#This Row],[Mes]])+COND_INTERSTICIAL[[#This Row],[Rn]]*(INDEX(CLIMA[ϴi],COND_INTERSTICIAL[[#This Row],[Mes]])-INDEX(CLIMA[ϴe],COND_INTERSTICIAL[[#This Row],[Mes]]))/(INDEX(SECCIONES[Rtsección_condensación],COND_INTERSTICIAL[[#This Row],[Sección]]))</f>
        <v>#N/A</v>
      </c>
      <c r="DC141">
        <f>INDEX(SECCIONES_CAPAS[Sd],MATCH(COND_INTERSTICIAL[[#This Row],[Sección]]&amp;"-"&amp;COND_INTERSTICIAL[[#This Row],[Capa]],SECCIONES_CAPAS[llave],0))</f>
        <v>0</v>
      </c>
      <c r="DD141">
        <f ca="1">INDEX(SECCIONES_CAPAS[S''d],MATCH(COND_INTERSTICIAL[[#This Row],[Sección]]&amp;"-"&amp;COND_INTERSTICIAL[[#This Row],[Capa]],SECCIONES_CAPAS[llave],0))</f>
        <v>0</v>
      </c>
      <c r="DE141" s="90" t="e">
        <f ca="1">IF(COND_INTERSTICIAL[[#This Row],[ϴn]]&gt;=0,610.5*EXP((17.269*COND_INTERSTICIAL[[#This Row],[ϴn]])/(237.3+COND_INTERSTICIAL[[#This Row],[ϴn]])),610.5*EXP((21.875*COND_INTERSTICIAL[[#This Row],[ϴn]])/(265.5+COND_INTERSTICIAL[[#This Row],[ϴn]])))</f>
        <v>#N/A</v>
      </c>
      <c r="DF141" s="90" t="e" cm="1">
        <f t="array" aca="1" ref="DF141" ca="1">COND_INTERSTICIAL[[#This Row],[S''d]]*((INDEX(CLIMA[Pi],COND_INTERSTICIAL[[#This Row],[Mes]])-INDEX(CLIMA[Pe],COND_INTERSTICIAL[[#This Row],[Mes]]))/INDEX(SECCIONES[SdT],COND_INTERSTICIAL[[#This Row],[Sección]]))+INDEX(CLIMA[Pe],COND_INTERSTICIAL[[#This Row],[Mes]])</f>
        <v>#N/A</v>
      </c>
      <c r="DG141" s="108" t="e">
        <f ca="1">IF((COND_INTERSTICIAL[[#This Row],[Pn]]&gt;=COND_INTERSTICIAL[[#This Row],[Psat]]),TRUE,FALSE)</f>
        <v>#N/A</v>
      </c>
      <c r="DH141" s="109" t="e" cm="1">
        <f t="array" aca="1" ref="DH141" ca="1">IF(COND_INTERSTICIAL[[#This Row],[Condensa]],COND_INTERSTICIAL[[#This Row],[Psat]],IF(COND_INTERSTICIAL[[#This Row],[Capa]]=N_capas,COND_INTERSTICIAL[[#This Row],[Pn]],""))</f>
        <v>#N/A</v>
      </c>
      <c r="DI141" s="109" t="e">
        <f ca="1">COND_INTERSTICIAL[[#This Row],[Mes]]&amp;"-"&amp;COND_INTERSTICIAL[[#This Row],[Sección]]&amp;"-"&amp;COND_INTERSTICIAL[[#This Row],[tramo cond]]</f>
        <v>#N/A</v>
      </c>
      <c r="DJ141" t="e" cm="1">
        <f t="array" aca="1" ref="DJ141" ca="1">IF(COND_INTERSTICIAL[[#This Row],[Capa]]=1,IF(COND_INTERSTICIAL[[#This Row],[Condensa]],2,1),IF(COND_INTERSTICIAL[[#This Row],[Condensa]],1,0)+INDIRECT(ADDRESS(ROW()-1,COLUMN(),4)))</f>
        <v>#N/A</v>
      </c>
      <c r="DK141" s="108" t="e" cm="1">
        <f t="array" aca="1" ref="DK141" ca="1">IF(COND_INTERSTICIAL[[#This Row],[tramo cond]]=1,0,IF((COND_INTERSTICIAL[[#This Row],[tramo cond]]&gt;INDIRECT(ADDRESS(ROW()-1,COLUMN(COND_INTERSTICIAL[[#This Row],[tramo cond]]),4)))+COND_INTERSTICIAL[[#This Row],[Condensa]],COND_INTERSTICIAL[[#This Row],[Capa]],INDIRECT(ADDRESS(ROW()-1,COLUMN(),4))))</f>
        <v>#N/A</v>
      </c>
      <c r="DL141" s="108" t="e" cm="1">
        <f t="array" aca="1" ref="DL141" ca="1">IF((COND_INTERSTICIAL[[#This Row],[Capa]]=N_capas)+(COND_INTERSTICIAL[[#This Row],[tramo cond]]=COUNTIFS(COND_INTERSTICIAL[Condensa],TRUE,COND_INTERSTICIAL[Mes],CW141,COND_INTERSTICIAL[Sección],CX141)+1),N_capas,INDEX(COND_INTERSTICIAL[capa lím inf cond],MATCH(COND_INTERSTICIAL[[#This Row],[Mes]]&amp;"-"&amp;COND_INTERSTICIAL[[#This Row],[Sección]]&amp;"-"&amp;(COND_INTERSTICIAL[[#This Row],[tramo cond]]+1),COND_INTERSTICIAL[llave tramo cond],0)))</f>
        <v>#N/A</v>
      </c>
      <c r="DM141" s="108" cm="1">
        <f t="array" aca="1" ref="DM14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1" s="110" t="e" cm="1">
        <f t="array" aca="1" ref="DN14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1" s="107" t="e">
        <f ca="1">COND_INTERSTICIAL[[#This Row],[gc]]+COND_INTERSTICIAL[[#This Row],[Ma_anterior cond]]</f>
        <v>#N/A</v>
      </c>
      <c r="DQ141" s="113" t="e">
        <f ca="1">IF((COND_INTERSTICIAL[[#This Row],[Ma_anterior cond]]&gt;0)*NOT(COND_INTERSTICIAL[[#This Row],[Condensa]]),TRUE,FALSE)</f>
        <v>#N/A</v>
      </c>
      <c r="DR141" s="112" t="e" cm="1">
        <f t="array" aca="1" ref="DR141" ca="1">IF(COND_INTERSTICIAL[[#This Row],[evapora]],COND_INTERSTICIAL[[#This Row],[Psat]],IF(COND_INTERSTICIAL[[#This Row],[Capa]]=N_capas,COND_INTERSTICIAL[[#This Row],[Pn]],""))</f>
        <v>#N/A</v>
      </c>
      <c r="DS141" s="112" t="e">
        <f ca="1">COND_INTERSTICIAL[[#This Row],[Mes]]&amp;"-"&amp;COND_INTERSTICIAL[[#This Row],[Sección]]&amp;"-"&amp;COND_INTERSTICIAL[[#This Row],[tramo ev]]</f>
        <v>#N/A</v>
      </c>
      <c r="DT141" s="111" t="e" cm="1">
        <f t="array" aca="1" ref="DT141" ca="1">IF(COND_INTERSTICIAL[[#This Row],[Capa]]=1,IF(COND_INTERSTICIAL[[#This Row],[evapora]],2,1),IF(COND_INTERSTICIAL[[#This Row],[evapora]],1,0)+INDIRECT(ADDRESS(ROW()-1,COLUMN(),4)))</f>
        <v>#N/A</v>
      </c>
      <c r="DU141" s="111" t="e" cm="1">
        <f t="array" aca="1" ref="DU141" ca="1">IF(COND_INTERSTICIAL[[#This Row],[tramo ev]]=1,0,IF((COND_INTERSTICIAL[[#This Row],[tramo ev]]&gt;INDIRECT(ADDRESS(ROW()-1,COLUMN(COND_INTERSTICIAL[[#This Row],[tramo ev]]),4)))+COND_INTERSTICIAL[[#This Row],[evapora]],COND_INTERSTICIAL[[#This Row],[Capa]],INDIRECT(ADDRESS(ROW()-1,COLUMN(),4))))</f>
        <v>#N/A</v>
      </c>
      <c r="DV141" s="111" t="e" cm="1">
        <f t="array" aca="1" ref="DV141" ca="1">IF((COND_INTERSTICIAL[[#This Row],[Capa]]=N_capas)+(COND_INTERSTICIAL[[#This Row],[tramo ev]]=COUNTIFS(COND_INTERSTICIAL[evapora],TRUE,COND_INTERSTICIAL[Mes],CW141,COND_INTERSTICIAL[Sección],CX141)+1),N_capas,INDEX(COND_INTERSTICIAL[capa lím inf ev],MATCH(COND_INTERSTICIAL[[#This Row],[Mes]]&amp;"-"&amp;COND_INTERSTICIAL[[#This Row],[Sección]]&amp;"-"&amp;(COND_INTERSTICIAL[[#This Row],[tramo ev]]+1),COND_INTERSTICIAL[llave tramo ev],0)))</f>
        <v>#N/A</v>
      </c>
      <c r="DW141" s="111" cm="1">
        <f t="array" aca="1" ref="DW14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1" s="113" t="e" cm="1">
        <f t="array" aca="1" ref="DX14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1" s="113" t="e">
        <f ca="1">COND_INTERSTICIAL[[#This Row],[gev]]+COND_INTERSTICIAL[[#This Row],[Ma anterior ev]]</f>
        <v>#N/A</v>
      </c>
      <c r="EA141" s="115" t="e">
        <f ca="1">IF(COND_INTERSTICIAL[[#This Row],[Ma cond]]+COND_INTERSTICIAL[[#This Row],[Ma ev]]&lt;=0,0,COND_INTERSTICIAL[[#This Row],[Ma cond]]+COND_INTERSTICIAL[[#This Row],[Ma ev]])</f>
        <v>#N/A</v>
      </c>
      <c r="EB141" s="115" t="e">
        <f ca="1">IF(COND_INTERSTICIAL[[#This Row],[Ma]]&gt;0,TRUE,FALSE)</f>
        <v>#N/A</v>
      </c>
      <c r="EC141" s="115" t="e" cm="1">
        <f t="array" aca="1" ref="EC141" ca="1">IF(COND_INTERSTICIAL[[#This Row],[agua líquida]],IF(COND_INTERSTICIAL[[#This Row],[Condensa]],COND_INTERSTICIAL[[#This Row],[P límite cond]],COND_INTERSTICIAL[[#This Row],[P límite ev]]),IF(COND_INTERSTICIAL[[#This Row],[Capa]]=N_capas,COND_INTERSTICIAL[[#This Row],[Pn]],""))</f>
        <v>#N/A</v>
      </c>
      <c r="ED141" s="115" t="e">
        <f ca="1">COND_INTERSTICIAL[[#This Row],[Mes]]&amp;"-"&amp;COND_INTERSTICIAL[[#This Row],[Sección]]&amp;"-"&amp;COND_INTERSTICIAL[[#This Row],[tramo gráf]]</f>
        <v>#N/A</v>
      </c>
      <c r="EE141" s="114" t="e" cm="1">
        <f t="array" aca="1" ref="EE141" ca="1">IF(COND_INTERSTICIAL[[#This Row],[Capa]]=1,IF(COND_INTERSTICIAL[[#This Row],[agua líquida]],2,1),IF(COND_INTERSTICIAL[[#This Row],[agua líquida]],1,0)+INDIRECT(ADDRESS(ROW()-1,COLUMN(),4)))</f>
        <v>#N/A</v>
      </c>
      <c r="EF141" s="114" t="e" cm="1">
        <f t="array" aca="1" ref="EF141" ca="1">IF(COND_INTERSTICIAL[[#This Row],[tramo gráf]]=1,0,IF((COND_INTERSTICIAL[[#This Row],[tramo gráf]]&gt;INDIRECT(ADDRESS(ROW()-1,COLUMN(COND_INTERSTICIAL[[#This Row],[tramo gráf]]),4)))+COND_INTERSTICIAL[[#This Row],[agua líquida]],COND_INTERSTICIAL[[#This Row],[Capa]],INDIRECT(ADDRESS(ROW()-1,COLUMN(),4))))</f>
        <v>#N/A</v>
      </c>
      <c r="EG141" s="114" t="e" cm="1">
        <f t="array" aca="1" ref="EG141" ca="1">IF((COND_INTERSTICIAL[[#This Row],[Capa]]=N_capas)+(COND_INTERSTICIAL[[#This Row],[tramo gráf]]=COUNTIFS(COND_INTERSTICIAL[agua líquida],TRUE,COND_INTERSTICIAL[Mes],CW141,COND_INTERSTICIAL[Sección],CX141)+1),N_capas,INDEX(COND_INTERSTICIAL[capa lím inf gráf],MATCH(COND_INTERSTICIAL[[#This Row],[Mes]]&amp;"-"&amp;COND_INTERSTICIAL[[#This Row],[Sección]]&amp;"-"&amp;(COND_INTERSTICIAL[[#This Row],[tramo gráf]]+1),COND_INTERSTICIAL[llave tramo gráf],0)))</f>
        <v>#N/A</v>
      </c>
      <c r="EH141" s="114" cm="1">
        <f t="array" aca="1" ref="EH14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1" s="116" t="e" cm="1">
        <f t="array" aca="1" ref="EI14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2" spans="101:139" x14ac:dyDescent="0.45">
      <c r="CW142" s="1" cm="1">
        <f t="array" ref="CW142">ROUNDUP((ROW()-$CN$18+(Mes_inicial_de_análisis-1)*N_capas*N_secciones)/(N_capas*N_secciones),0)-12*IF(ROW()-$CN$18&gt;(12-Mes_inicial_de_análisis+1)*N_capas*N_secciones,1,0)</f>
        <v>3</v>
      </c>
      <c r="CX142" cm="1">
        <f t="array" ref="CX142">ROUNDUP((ROW()-$CN$18)/N_capas-(ROUNDUP((ROW()-$CN$18)/(N_capas*N_secciones),0)-1)*N_secciones,0)</f>
        <v>2</v>
      </c>
      <c r="CY142" cm="1">
        <f t="array" ref="CY142">(ROW()-$CN$18)-(COND_INTERSTICIAL[[#This Row],[Sección]]-1)*N_capas-(ROUNDUP((ROW()-$CN$18)/(N_capas*N_secciones),0)-1)*N_capas*N_secciones</f>
        <v>4</v>
      </c>
      <c r="CZ142" t="str">
        <f>COND_INTERSTICIAL[[#This Row],[Mes]]&amp;"-"&amp;COND_INTERSTICIAL[[#This Row],[Sección]]&amp;"-"&amp;COND_INTERSTICIAL[[#This Row],[Capa]]</f>
        <v>3-2-4</v>
      </c>
      <c r="DA142">
        <f ca="1">INDEX(SECCIONES_CAPAS[R''n],MATCH(COND_INTERSTICIAL[[#This Row],[Sección]]&amp;"-"&amp;COND_INTERSTICIAL[[#This Row],[Capa]],SECCIONES_CAPAS[llave],0))</f>
        <v>0.04</v>
      </c>
      <c r="DB142" s="172" t="e" cm="1">
        <f t="array" aca="1" ref="DB142" ca="1">INDEX(CLIMA[ϴe],COND_INTERSTICIAL[[#This Row],[Mes]])+COND_INTERSTICIAL[[#This Row],[Rn]]*(INDEX(CLIMA[ϴi],COND_INTERSTICIAL[[#This Row],[Mes]])-INDEX(CLIMA[ϴe],COND_INTERSTICIAL[[#This Row],[Mes]]))/(INDEX(SECCIONES[Rtsección_condensación],COND_INTERSTICIAL[[#This Row],[Sección]]))</f>
        <v>#N/A</v>
      </c>
      <c r="DC142">
        <f>INDEX(SECCIONES_CAPAS[Sd],MATCH(COND_INTERSTICIAL[[#This Row],[Sección]]&amp;"-"&amp;COND_INTERSTICIAL[[#This Row],[Capa]],SECCIONES_CAPAS[llave],0))</f>
        <v>0</v>
      </c>
      <c r="DD142">
        <f ca="1">INDEX(SECCIONES_CAPAS[S''d],MATCH(COND_INTERSTICIAL[[#This Row],[Sección]]&amp;"-"&amp;COND_INTERSTICIAL[[#This Row],[Capa]],SECCIONES_CAPAS[llave],0))</f>
        <v>0</v>
      </c>
      <c r="DE142" s="90" t="e">
        <f ca="1">IF(COND_INTERSTICIAL[[#This Row],[ϴn]]&gt;=0,610.5*EXP((17.269*COND_INTERSTICIAL[[#This Row],[ϴn]])/(237.3+COND_INTERSTICIAL[[#This Row],[ϴn]])),610.5*EXP((21.875*COND_INTERSTICIAL[[#This Row],[ϴn]])/(265.5+COND_INTERSTICIAL[[#This Row],[ϴn]])))</f>
        <v>#N/A</v>
      </c>
      <c r="DF142" s="90" t="e" cm="1">
        <f t="array" aca="1" ref="DF142" ca="1">COND_INTERSTICIAL[[#This Row],[S''d]]*((INDEX(CLIMA[Pi],COND_INTERSTICIAL[[#This Row],[Mes]])-INDEX(CLIMA[Pe],COND_INTERSTICIAL[[#This Row],[Mes]]))/INDEX(SECCIONES[SdT],COND_INTERSTICIAL[[#This Row],[Sección]]))+INDEX(CLIMA[Pe],COND_INTERSTICIAL[[#This Row],[Mes]])</f>
        <v>#N/A</v>
      </c>
      <c r="DG142" s="108" t="e">
        <f ca="1">IF((COND_INTERSTICIAL[[#This Row],[Pn]]&gt;=COND_INTERSTICIAL[[#This Row],[Psat]]),TRUE,FALSE)</f>
        <v>#N/A</v>
      </c>
      <c r="DH142" s="109" t="e" cm="1">
        <f t="array" aca="1" ref="DH142" ca="1">IF(COND_INTERSTICIAL[[#This Row],[Condensa]],COND_INTERSTICIAL[[#This Row],[Psat]],IF(COND_INTERSTICIAL[[#This Row],[Capa]]=N_capas,COND_INTERSTICIAL[[#This Row],[Pn]],""))</f>
        <v>#N/A</v>
      </c>
      <c r="DI142" s="109" t="e">
        <f ca="1">COND_INTERSTICIAL[[#This Row],[Mes]]&amp;"-"&amp;COND_INTERSTICIAL[[#This Row],[Sección]]&amp;"-"&amp;COND_INTERSTICIAL[[#This Row],[tramo cond]]</f>
        <v>#N/A</v>
      </c>
      <c r="DJ142" t="e" cm="1">
        <f t="array" aca="1" ref="DJ142" ca="1">IF(COND_INTERSTICIAL[[#This Row],[Capa]]=1,IF(COND_INTERSTICIAL[[#This Row],[Condensa]],2,1),IF(COND_INTERSTICIAL[[#This Row],[Condensa]],1,0)+INDIRECT(ADDRESS(ROW()-1,COLUMN(),4)))</f>
        <v>#N/A</v>
      </c>
      <c r="DK142" s="108" t="e" cm="1">
        <f t="array" aca="1" ref="DK142" ca="1">IF(COND_INTERSTICIAL[[#This Row],[tramo cond]]=1,0,IF((COND_INTERSTICIAL[[#This Row],[tramo cond]]&gt;INDIRECT(ADDRESS(ROW()-1,COLUMN(COND_INTERSTICIAL[[#This Row],[tramo cond]]),4)))+COND_INTERSTICIAL[[#This Row],[Condensa]],COND_INTERSTICIAL[[#This Row],[Capa]],INDIRECT(ADDRESS(ROW()-1,COLUMN(),4))))</f>
        <v>#N/A</v>
      </c>
      <c r="DL142" s="108" t="e" cm="1">
        <f t="array" aca="1" ref="DL142" ca="1">IF((COND_INTERSTICIAL[[#This Row],[Capa]]=N_capas)+(COND_INTERSTICIAL[[#This Row],[tramo cond]]=COUNTIFS(COND_INTERSTICIAL[Condensa],TRUE,COND_INTERSTICIAL[Mes],CW142,COND_INTERSTICIAL[Sección],CX142)+1),N_capas,INDEX(COND_INTERSTICIAL[capa lím inf cond],MATCH(COND_INTERSTICIAL[[#This Row],[Mes]]&amp;"-"&amp;COND_INTERSTICIAL[[#This Row],[Sección]]&amp;"-"&amp;(COND_INTERSTICIAL[[#This Row],[tramo cond]]+1),COND_INTERSTICIAL[llave tramo cond],0)))</f>
        <v>#N/A</v>
      </c>
      <c r="DM142" s="108" cm="1">
        <f t="array" aca="1" ref="DM14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2" s="110" t="e" cm="1">
        <f t="array" aca="1" ref="DN14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2" s="107" t="e">
        <f ca="1">COND_INTERSTICIAL[[#This Row],[gc]]+COND_INTERSTICIAL[[#This Row],[Ma_anterior cond]]</f>
        <v>#N/A</v>
      </c>
      <c r="DQ142" s="113" t="e">
        <f ca="1">IF((COND_INTERSTICIAL[[#This Row],[Ma_anterior cond]]&gt;0)*NOT(COND_INTERSTICIAL[[#This Row],[Condensa]]),TRUE,FALSE)</f>
        <v>#N/A</v>
      </c>
      <c r="DR142" s="112" t="e" cm="1">
        <f t="array" aca="1" ref="DR142" ca="1">IF(COND_INTERSTICIAL[[#This Row],[evapora]],COND_INTERSTICIAL[[#This Row],[Psat]],IF(COND_INTERSTICIAL[[#This Row],[Capa]]=N_capas,COND_INTERSTICIAL[[#This Row],[Pn]],""))</f>
        <v>#N/A</v>
      </c>
      <c r="DS142" s="112" t="e">
        <f ca="1">COND_INTERSTICIAL[[#This Row],[Mes]]&amp;"-"&amp;COND_INTERSTICIAL[[#This Row],[Sección]]&amp;"-"&amp;COND_INTERSTICIAL[[#This Row],[tramo ev]]</f>
        <v>#N/A</v>
      </c>
      <c r="DT142" s="111" t="e" cm="1">
        <f t="array" aca="1" ref="DT142" ca="1">IF(COND_INTERSTICIAL[[#This Row],[Capa]]=1,IF(COND_INTERSTICIAL[[#This Row],[evapora]],2,1),IF(COND_INTERSTICIAL[[#This Row],[evapora]],1,0)+INDIRECT(ADDRESS(ROW()-1,COLUMN(),4)))</f>
        <v>#N/A</v>
      </c>
      <c r="DU142" s="111" t="e" cm="1">
        <f t="array" aca="1" ref="DU142" ca="1">IF(COND_INTERSTICIAL[[#This Row],[tramo ev]]=1,0,IF((COND_INTERSTICIAL[[#This Row],[tramo ev]]&gt;INDIRECT(ADDRESS(ROW()-1,COLUMN(COND_INTERSTICIAL[[#This Row],[tramo ev]]),4)))+COND_INTERSTICIAL[[#This Row],[evapora]],COND_INTERSTICIAL[[#This Row],[Capa]],INDIRECT(ADDRESS(ROW()-1,COLUMN(),4))))</f>
        <v>#N/A</v>
      </c>
      <c r="DV142" s="111" t="e" cm="1">
        <f t="array" aca="1" ref="DV142" ca="1">IF((COND_INTERSTICIAL[[#This Row],[Capa]]=N_capas)+(COND_INTERSTICIAL[[#This Row],[tramo ev]]=COUNTIFS(COND_INTERSTICIAL[evapora],TRUE,COND_INTERSTICIAL[Mes],CW142,COND_INTERSTICIAL[Sección],CX142)+1),N_capas,INDEX(COND_INTERSTICIAL[capa lím inf ev],MATCH(COND_INTERSTICIAL[[#This Row],[Mes]]&amp;"-"&amp;COND_INTERSTICIAL[[#This Row],[Sección]]&amp;"-"&amp;(COND_INTERSTICIAL[[#This Row],[tramo ev]]+1),COND_INTERSTICIAL[llave tramo ev],0)))</f>
        <v>#N/A</v>
      </c>
      <c r="DW142" s="111" cm="1">
        <f t="array" aca="1" ref="DW14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2" s="113" t="e" cm="1">
        <f t="array" aca="1" ref="DX14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2" s="113" t="e">
        <f ca="1">COND_INTERSTICIAL[[#This Row],[gev]]+COND_INTERSTICIAL[[#This Row],[Ma anterior ev]]</f>
        <v>#N/A</v>
      </c>
      <c r="EA142" s="115" t="e">
        <f ca="1">IF(COND_INTERSTICIAL[[#This Row],[Ma cond]]+COND_INTERSTICIAL[[#This Row],[Ma ev]]&lt;=0,0,COND_INTERSTICIAL[[#This Row],[Ma cond]]+COND_INTERSTICIAL[[#This Row],[Ma ev]])</f>
        <v>#N/A</v>
      </c>
      <c r="EB142" s="115" t="e">
        <f ca="1">IF(COND_INTERSTICIAL[[#This Row],[Ma]]&gt;0,TRUE,FALSE)</f>
        <v>#N/A</v>
      </c>
      <c r="EC142" s="115" t="e" cm="1">
        <f t="array" aca="1" ref="EC142" ca="1">IF(COND_INTERSTICIAL[[#This Row],[agua líquida]],IF(COND_INTERSTICIAL[[#This Row],[Condensa]],COND_INTERSTICIAL[[#This Row],[P límite cond]],COND_INTERSTICIAL[[#This Row],[P límite ev]]),IF(COND_INTERSTICIAL[[#This Row],[Capa]]=N_capas,COND_INTERSTICIAL[[#This Row],[Pn]],""))</f>
        <v>#N/A</v>
      </c>
      <c r="ED142" s="115" t="e">
        <f ca="1">COND_INTERSTICIAL[[#This Row],[Mes]]&amp;"-"&amp;COND_INTERSTICIAL[[#This Row],[Sección]]&amp;"-"&amp;COND_INTERSTICIAL[[#This Row],[tramo gráf]]</f>
        <v>#N/A</v>
      </c>
      <c r="EE142" s="114" t="e" cm="1">
        <f t="array" aca="1" ref="EE142" ca="1">IF(COND_INTERSTICIAL[[#This Row],[Capa]]=1,IF(COND_INTERSTICIAL[[#This Row],[agua líquida]],2,1),IF(COND_INTERSTICIAL[[#This Row],[agua líquida]],1,0)+INDIRECT(ADDRESS(ROW()-1,COLUMN(),4)))</f>
        <v>#N/A</v>
      </c>
      <c r="EF142" s="114" t="e" cm="1">
        <f t="array" aca="1" ref="EF142" ca="1">IF(COND_INTERSTICIAL[[#This Row],[tramo gráf]]=1,0,IF((COND_INTERSTICIAL[[#This Row],[tramo gráf]]&gt;INDIRECT(ADDRESS(ROW()-1,COLUMN(COND_INTERSTICIAL[[#This Row],[tramo gráf]]),4)))+COND_INTERSTICIAL[[#This Row],[agua líquida]],COND_INTERSTICIAL[[#This Row],[Capa]],INDIRECT(ADDRESS(ROW()-1,COLUMN(),4))))</f>
        <v>#N/A</v>
      </c>
      <c r="EG142" s="114" t="e" cm="1">
        <f t="array" aca="1" ref="EG142" ca="1">IF((COND_INTERSTICIAL[[#This Row],[Capa]]=N_capas)+(COND_INTERSTICIAL[[#This Row],[tramo gráf]]=COUNTIFS(COND_INTERSTICIAL[agua líquida],TRUE,COND_INTERSTICIAL[Mes],CW142,COND_INTERSTICIAL[Sección],CX142)+1),N_capas,INDEX(COND_INTERSTICIAL[capa lím inf gráf],MATCH(COND_INTERSTICIAL[[#This Row],[Mes]]&amp;"-"&amp;COND_INTERSTICIAL[[#This Row],[Sección]]&amp;"-"&amp;(COND_INTERSTICIAL[[#This Row],[tramo gráf]]+1),COND_INTERSTICIAL[llave tramo gráf],0)))</f>
        <v>#N/A</v>
      </c>
      <c r="EH142" s="114" cm="1">
        <f t="array" aca="1" ref="EH14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2" s="116" t="e" cm="1">
        <f t="array" aca="1" ref="EI14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3" spans="101:139" x14ac:dyDescent="0.45">
      <c r="CW143" s="1" cm="1">
        <f t="array" ref="CW143">ROUNDUP((ROW()-$CN$18+(Mes_inicial_de_análisis-1)*N_capas*N_secciones)/(N_capas*N_secciones),0)-12*IF(ROW()-$CN$18&gt;(12-Mes_inicial_de_análisis+1)*N_capas*N_secciones,1,0)</f>
        <v>3</v>
      </c>
      <c r="CX143" cm="1">
        <f t="array" ref="CX143">ROUNDUP((ROW()-$CN$18)/N_capas-(ROUNDUP((ROW()-$CN$18)/(N_capas*N_secciones),0)-1)*N_secciones,0)</f>
        <v>2</v>
      </c>
      <c r="CY143" cm="1">
        <f t="array" ref="CY143">(ROW()-$CN$18)-(COND_INTERSTICIAL[[#This Row],[Sección]]-1)*N_capas-(ROUNDUP((ROW()-$CN$18)/(N_capas*N_secciones),0)-1)*N_capas*N_secciones</f>
        <v>5</v>
      </c>
      <c r="CZ143" t="str">
        <f>COND_INTERSTICIAL[[#This Row],[Mes]]&amp;"-"&amp;COND_INTERSTICIAL[[#This Row],[Sección]]&amp;"-"&amp;COND_INTERSTICIAL[[#This Row],[Capa]]</f>
        <v>3-2-5</v>
      </c>
      <c r="DA143">
        <f ca="1">INDEX(SECCIONES_CAPAS[R''n],MATCH(COND_INTERSTICIAL[[#This Row],[Sección]]&amp;"-"&amp;COND_INTERSTICIAL[[#This Row],[Capa]],SECCIONES_CAPAS[llave],0))</f>
        <v>0.04</v>
      </c>
      <c r="DB143" s="172" t="e" cm="1">
        <f t="array" aca="1" ref="DB143" ca="1">INDEX(CLIMA[ϴe],COND_INTERSTICIAL[[#This Row],[Mes]])+COND_INTERSTICIAL[[#This Row],[Rn]]*(INDEX(CLIMA[ϴi],COND_INTERSTICIAL[[#This Row],[Mes]])-INDEX(CLIMA[ϴe],COND_INTERSTICIAL[[#This Row],[Mes]]))/(INDEX(SECCIONES[Rtsección_condensación],COND_INTERSTICIAL[[#This Row],[Sección]]))</f>
        <v>#N/A</v>
      </c>
      <c r="DC143">
        <f>INDEX(SECCIONES_CAPAS[Sd],MATCH(COND_INTERSTICIAL[[#This Row],[Sección]]&amp;"-"&amp;COND_INTERSTICIAL[[#This Row],[Capa]],SECCIONES_CAPAS[llave],0))</f>
        <v>0</v>
      </c>
      <c r="DD143">
        <f ca="1">INDEX(SECCIONES_CAPAS[S''d],MATCH(COND_INTERSTICIAL[[#This Row],[Sección]]&amp;"-"&amp;COND_INTERSTICIAL[[#This Row],[Capa]],SECCIONES_CAPAS[llave],0))</f>
        <v>0</v>
      </c>
      <c r="DE143" s="90" t="e">
        <f ca="1">IF(COND_INTERSTICIAL[[#This Row],[ϴn]]&gt;=0,610.5*EXP((17.269*COND_INTERSTICIAL[[#This Row],[ϴn]])/(237.3+COND_INTERSTICIAL[[#This Row],[ϴn]])),610.5*EXP((21.875*COND_INTERSTICIAL[[#This Row],[ϴn]])/(265.5+COND_INTERSTICIAL[[#This Row],[ϴn]])))</f>
        <v>#N/A</v>
      </c>
      <c r="DF143" s="90" t="e" cm="1">
        <f t="array" aca="1" ref="DF143" ca="1">COND_INTERSTICIAL[[#This Row],[S''d]]*((INDEX(CLIMA[Pi],COND_INTERSTICIAL[[#This Row],[Mes]])-INDEX(CLIMA[Pe],COND_INTERSTICIAL[[#This Row],[Mes]]))/INDEX(SECCIONES[SdT],COND_INTERSTICIAL[[#This Row],[Sección]]))+INDEX(CLIMA[Pe],COND_INTERSTICIAL[[#This Row],[Mes]])</f>
        <v>#N/A</v>
      </c>
      <c r="DG143" s="108" t="e">
        <f ca="1">IF((COND_INTERSTICIAL[[#This Row],[Pn]]&gt;=COND_INTERSTICIAL[[#This Row],[Psat]]),TRUE,FALSE)</f>
        <v>#N/A</v>
      </c>
      <c r="DH143" s="109" t="e" cm="1">
        <f t="array" aca="1" ref="DH143" ca="1">IF(COND_INTERSTICIAL[[#This Row],[Condensa]],COND_INTERSTICIAL[[#This Row],[Psat]],IF(COND_INTERSTICIAL[[#This Row],[Capa]]=N_capas,COND_INTERSTICIAL[[#This Row],[Pn]],""))</f>
        <v>#N/A</v>
      </c>
      <c r="DI143" s="109" t="e">
        <f ca="1">COND_INTERSTICIAL[[#This Row],[Mes]]&amp;"-"&amp;COND_INTERSTICIAL[[#This Row],[Sección]]&amp;"-"&amp;COND_INTERSTICIAL[[#This Row],[tramo cond]]</f>
        <v>#N/A</v>
      </c>
      <c r="DJ143" t="e" cm="1">
        <f t="array" aca="1" ref="DJ143" ca="1">IF(COND_INTERSTICIAL[[#This Row],[Capa]]=1,IF(COND_INTERSTICIAL[[#This Row],[Condensa]],2,1),IF(COND_INTERSTICIAL[[#This Row],[Condensa]],1,0)+INDIRECT(ADDRESS(ROW()-1,COLUMN(),4)))</f>
        <v>#N/A</v>
      </c>
      <c r="DK143" s="108" t="e" cm="1">
        <f t="array" aca="1" ref="DK143" ca="1">IF(COND_INTERSTICIAL[[#This Row],[tramo cond]]=1,0,IF((COND_INTERSTICIAL[[#This Row],[tramo cond]]&gt;INDIRECT(ADDRESS(ROW()-1,COLUMN(COND_INTERSTICIAL[[#This Row],[tramo cond]]),4)))+COND_INTERSTICIAL[[#This Row],[Condensa]],COND_INTERSTICIAL[[#This Row],[Capa]],INDIRECT(ADDRESS(ROW()-1,COLUMN(),4))))</f>
        <v>#N/A</v>
      </c>
      <c r="DL143" s="108" t="e" cm="1">
        <f t="array" aca="1" ref="DL143" ca="1">IF((COND_INTERSTICIAL[[#This Row],[Capa]]=N_capas)+(COND_INTERSTICIAL[[#This Row],[tramo cond]]=COUNTIFS(COND_INTERSTICIAL[Condensa],TRUE,COND_INTERSTICIAL[Mes],CW143,COND_INTERSTICIAL[Sección],CX143)+1),N_capas,INDEX(COND_INTERSTICIAL[capa lím inf cond],MATCH(COND_INTERSTICIAL[[#This Row],[Mes]]&amp;"-"&amp;COND_INTERSTICIAL[[#This Row],[Sección]]&amp;"-"&amp;(COND_INTERSTICIAL[[#This Row],[tramo cond]]+1),COND_INTERSTICIAL[llave tramo cond],0)))</f>
        <v>#N/A</v>
      </c>
      <c r="DM143" s="108" cm="1">
        <f t="array" aca="1" ref="DM14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3" s="110" t="e" cm="1">
        <f t="array" aca="1" ref="DN14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3" s="107" t="e">
        <f ca="1">COND_INTERSTICIAL[[#This Row],[gc]]+COND_INTERSTICIAL[[#This Row],[Ma_anterior cond]]</f>
        <v>#N/A</v>
      </c>
      <c r="DQ143" s="113" t="e">
        <f ca="1">IF((COND_INTERSTICIAL[[#This Row],[Ma_anterior cond]]&gt;0)*NOT(COND_INTERSTICIAL[[#This Row],[Condensa]]),TRUE,FALSE)</f>
        <v>#N/A</v>
      </c>
      <c r="DR143" s="112" t="e" cm="1">
        <f t="array" aca="1" ref="DR143" ca="1">IF(COND_INTERSTICIAL[[#This Row],[evapora]],COND_INTERSTICIAL[[#This Row],[Psat]],IF(COND_INTERSTICIAL[[#This Row],[Capa]]=N_capas,COND_INTERSTICIAL[[#This Row],[Pn]],""))</f>
        <v>#N/A</v>
      </c>
      <c r="DS143" s="112" t="e">
        <f ca="1">COND_INTERSTICIAL[[#This Row],[Mes]]&amp;"-"&amp;COND_INTERSTICIAL[[#This Row],[Sección]]&amp;"-"&amp;COND_INTERSTICIAL[[#This Row],[tramo ev]]</f>
        <v>#N/A</v>
      </c>
      <c r="DT143" s="111" t="e" cm="1">
        <f t="array" aca="1" ref="DT143" ca="1">IF(COND_INTERSTICIAL[[#This Row],[Capa]]=1,IF(COND_INTERSTICIAL[[#This Row],[evapora]],2,1),IF(COND_INTERSTICIAL[[#This Row],[evapora]],1,0)+INDIRECT(ADDRESS(ROW()-1,COLUMN(),4)))</f>
        <v>#N/A</v>
      </c>
      <c r="DU143" s="111" t="e" cm="1">
        <f t="array" aca="1" ref="DU143" ca="1">IF(COND_INTERSTICIAL[[#This Row],[tramo ev]]=1,0,IF((COND_INTERSTICIAL[[#This Row],[tramo ev]]&gt;INDIRECT(ADDRESS(ROW()-1,COLUMN(COND_INTERSTICIAL[[#This Row],[tramo ev]]),4)))+COND_INTERSTICIAL[[#This Row],[evapora]],COND_INTERSTICIAL[[#This Row],[Capa]],INDIRECT(ADDRESS(ROW()-1,COLUMN(),4))))</f>
        <v>#N/A</v>
      </c>
      <c r="DV143" s="111" t="e" cm="1">
        <f t="array" aca="1" ref="DV143" ca="1">IF((COND_INTERSTICIAL[[#This Row],[Capa]]=N_capas)+(COND_INTERSTICIAL[[#This Row],[tramo ev]]=COUNTIFS(COND_INTERSTICIAL[evapora],TRUE,COND_INTERSTICIAL[Mes],CW143,COND_INTERSTICIAL[Sección],CX143)+1),N_capas,INDEX(COND_INTERSTICIAL[capa lím inf ev],MATCH(COND_INTERSTICIAL[[#This Row],[Mes]]&amp;"-"&amp;COND_INTERSTICIAL[[#This Row],[Sección]]&amp;"-"&amp;(COND_INTERSTICIAL[[#This Row],[tramo ev]]+1),COND_INTERSTICIAL[llave tramo ev],0)))</f>
        <v>#N/A</v>
      </c>
      <c r="DW143" s="111" cm="1">
        <f t="array" aca="1" ref="DW14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3" s="113" t="e" cm="1">
        <f t="array" aca="1" ref="DX14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3" s="113" t="e">
        <f ca="1">COND_INTERSTICIAL[[#This Row],[gev]]+COND_INTERSTICIAL[[#This Row],[Ma anterior ev]]</f>
        <v>#N/A</v>
      </c>
      <c r="EA143" s="115" t="e">
        <f ca="1">IF(COND_INTERSTICIAL[[#This Row],[Ma cond]]+COND_INTERSTICIAL[[#This Row],[Ma ev]]&lt;=0,0,COND_INTERSTICIAL[[#This Row],[Ma cond]]+COND_INTERSTICIAL[[#This Row],[Ma ev]])</f>
        <v>#N/A</v>
      </c>
      <c r="EB143" s="115" t="e">
        <f ca="1">IF(COND_INTERSTICIAL[[#This Row],[Ma]]&gt;0,TRUE,FALSE)</f>
        <v>#N/A</v>
      </c>
      <c r="EC143" s="115" t="e" cm="1">
        <f t="array" aca="1" ref="EC143" ca="1">IF(COND_INTERSTICIAL[[#This Row],[agua líquida]],IF(COND_INTERSTICIAL[[#This Row],[Condensa]],COND_INTERSTICIAL[[#This Row],[P límite cond]],COND_INTERSTICIAL[[#This Row],[P límite ev]]),IF(COND_INTERSTICIAL[[#This Row],[Capa]]=N_capas,COND_INTERSTICIAL[[#This Row],[Pn]],""))</f>
        <v>#N/A</v>
      </c>
      <c r="ED143" s="115" t="e">
        <f ca="1">COND_INTERSTICIAL[[#This Row],[Mes]]&amp;"-"&amp;COND_INTERSTICIAL[[#This Row],[Sección]]&amp;"-"&amp;COND_INTERSTICIAL[[#This Row],[tramo gráf]]</f>
        <v>#N/A</v>
      </c>
      <c r="EE143" s="114" t="e" cm="1">
        <f t="array" aca="1" ref="EE143" ca="1">IF(COND_INTERSTICIAL[[#This Row],[Capa]]=1,IF(COND_INTERSTICIAL[[#This Row],[agua líquida]],2,1),IF(COND_INTERSTICIAL[[#This Row],[agua líquida]],1,0)+INDIRECT(ADDRESS(ROW()-1,COLUMN(),4)))</f>
        <v>#N/A</v>
      </c>
      <c r="EF143" s="114" t="e" cm="1">
        <f t="array" aca="1" ref="EF143" ca="1">IF(COND_INTERSTICIAL[[#This Row],[tramo gráf]]=1,0,IF((COND_INTERSTICIAL[[#This Row],[tramo gráf]]&gt;INDIRECT(ADDRESS(ROW()-1,COLUMN(COND_INTERSTICIAL[[#This Row],[tramo gráf]]),4)))+COND_INTERSTICIAL[[#This Row],[agua líquida]],COND_INTERSTICIAL[[#This Row],[Capa]],INDIRECT(ADDRESS(ROW()-1,COLUMN(),4))))</f>
        <v>#N/A</v>
      </c>
      <c r="EG143" s="114" t="e" cm="1">
        <f t="array" aca="1" ref="EG143" ca="1">IF((COND_INTERSTICIAL[[#This Row],[Capa]]=N_capas)+(COND_INTERSTICIAL[[#This Row],[tramo gráf]]=COUNTIFS(COND_INTERSTICIAL[agua líquida],TRUE,COND_INTERSTICIAL[Mes],CW143,COND_INTERSTICIAL[Sección],CX143)+1),N_capas,INDEX(COND_INTERSTICIAL[capa lím inf gráf],MATCH(COND_INTERSTICIAL[[#This Row],[Mes]]&amp;"-"&amp;COND_INTERSTICIAL[[#This Row],[Sección]]&amp;"-"&amp;(COND_INTERSTICIAL[[#This Row],[tramo gráf]]+1),COND_INTERSTICIAL[llave tramo gráf],0)))</f>
        <v>#N/A</v>
      </c>
      <c r="EH143" s="114" cm="1">
        <f t="array" aca="1" ref="EH14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3" s="116" t="e" cm="1">
        <f t="array" aca="1" ref="EI14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4" spans="101:139" x14ac:dyDescent="0.45">
      <c r="CW144" s="1" cm="1">
        <f t="array" ref="CW144">ROUNDUP((ROW()-$CN$18+(Mes_inicial_de_análisis-1)*N_capas*N_secciones)/(N_capas*N_secciones),0)-12*IF(ROW()-$CN$18&gt;(12-Mes_inicial_de_análisis+1)*N_capas*N_secciones,1,0)</f>
        <v>3</v>
      </c>
      <c r="CX144" cm="1">
        <f t="array" ref="CX144">ROUNDUP((ROW()-$CN$18)/N_capas-(ROUNDUP((ROW()-$CN$18)/(N_capas*N_secciones),0)-1)*N_secciones,0)</f>
        <v>2</v>
      </c>
      <c r="CY144" cm="1">
        <f t="array" ref="CY144">(ROW()-$CN$18)-(COND_INTERSTICIAL[[#This Row],[Sección]]-1)*N_capas-(ROUNDUP((ROW()-$CN$18)/(N_capas*N_secciones),0)-1)*N_capas*N_secciones</f>
        <v>6</v>
      </c>
      <c r="CZ144" t="str">
        <f>COND_INTERSTICIAL[[#This Row],[Mes]]&amp;"-"&amp;COND_INTERSTICIAL[[#This Row],[Sección]]&amp;"-"&amp;COND_INTERSTICIAL[[#This Row],[Capa]]</f>
        <v>3-2-6</v>
      </c>
      <c r="DA144">
        <f ca="1">INDEX(SECCIONES_CAPAS[R''n],MATCH(COND_INTERSTICIAL[[#This Row],[Sección]]&amp;"-"&amp;COND_INTERSTICIAL[[#This Row],[Capa]],SECCIONES_CAPAS[llave],0))</f>
        <v>0.04</v>
      </c>
      <c r="DB144" s="172" t="e" cm="1">
        <f t="array" aca="1" ref="DB144" ca="1">INDEX(CLIMA[ϴe],COND_INTERSTICIAL[[#This Row],[Mes]])+COND_INTERSTICIAL[[#This Row],[Rn]]*(INDEX(CLIMA[ϴi],COND_INTERSTICIAL[[#This Row],[Mes]])-INDEX(CLIMA[ϴe],COND_INTERSTICIAL[[#This Row],[Mes]]))/(INDEX(SECCIONES[Rtsección_condensación],COND_INTERSTICIAL[[#This Row],[Sección]]))</f>
        <v>#N/A</v>
      </c>
      <c r="DC144">
        <f>INDEX(SECCIONES_CAPAS[Sd],MATCH(COND_INTERSTICIAL[[#This Row],[Sección]]&amp;"-"&amp;COND_INTERSTICIAL[[#This Row],[Capa]],SECCIONES_CAPAS[llave],0))</f>
        <v>0</v>
      </c>
      <c r="DD144">
        <f ca="1">INDEX(SECCIONES_CAPAS[S''d],MATCH(COND_INTERSTICIAL[[#This Row],[Sección]]&amp;"-"&amp;COND_INTERSTICIAL[[#This Row],[Capa]],SECCIONES_CAPAS[llave],0))</f>
        <v>0</v>
      </c>
      <c r="DE144" s="90" t="e">
        <f ca="1">IF(COND_INTERSTICIAL[[#This Row],[ϴn]]&gt;=0,610.5*EXP((17.269*COND_INTERSTICIAL[[#This Row],[ϴn]])/(237.3+COND_INTERSTICIAL[[#This Row],[ϴn]])),610.5*EXP((21.875*COND_INTERSTICIAL[[#This Row],[ϴn]])/(265.5+COND_INTERSTICIAL[[#This Row],[ϴn]])))</f>
        <v>#N/A</v>
      </c>
      <c r="DF144" s="90" t="e" cm="1">
        <f t="array" aca="1" ref="DF144" ca="1">COND_INTERSTICIAL[[#This Row],[S''d]]*((INDEX(CLIMA[Pi],COND_INTERSTICIAL[[#This Row],[Mes]])-INDEX(CLIMA[Pe],COND_INTERSTICIAL[[#This Row],[Mes]]))/INDEX(SECCIONES[SdT],COND_INTERSTICIAL[[#This Row],[Sección]]))+INDEX(CLIMA[Pe],COND_INTERSTICIAL[[#This Row],[Mes]])</f>
        <v>#N/A</v>
      </c>
      <c r="DG144" s="108" t="e">
        <f ca="1">IF((COND_INTERSTICIAL[[#This Row],[Pn]]&gt;=COND_INTERSTICIAL[[#This Row],[Psat]]),TRUE,FALSE)</f>
        <v>#N/A</v>
      </c>
      <c r="DH144" s="109" t="e" cm="1">
        <f t="array" aca="1" ref="DH144" ca="1">IF(COND_INTERSTICIAL[[#This Row],[Condensa]],COND_INTERSTICIAL[[#This Row],[Psat]],IF(COND_INTERSTICIAL[[#This Row],[Capa]]=N_capas,COND_INTERSTICIAL[[#This Row],[Pn]],""))</f>
        <v>#N/A</v>
      </c>
      <c r="DI144" s="109" t="e">
        <f ca="1">COND_INTERSTICIAL[[#This Row],[Mes]]&amp;"-"&amp;COND_INTERSTICIAL[[#This Row],[Sección]]&amp;"-"&amp;COND_INTERSTICIAL[[#This Row],[tramo cond]]</f>
        <v>#N/A</v>
      </c>
      <c r="DJ144" t="e" cm="1">
        <f t="array" aca="1" ref="DJ144" ca="1">IF(COND_INTERSTICIAL[[#This Row],[Capa]]=1,IF(COND_INTERSTICIAL[[#This Row],[Condensa]],2,1),IF(COND_INTERSTICIAL[[#This Row],[Condensa]],1,0)+INDIRECT(ADDRESS(ROW()-1,COLUMN(),4)))</f>
        <v>#N/A</v>
      </c>
      <c r="DK144" s="108" t="e" cm="1">
        <f t="array" aca="1" ref="DK144" ca="1">IF(COND_INTERSTICIAL[[#This Row],[tramo cond]]=1,0,IF((COND_INTERSTICIAL[[#This Row],[tramo cond]]&gt;INDIRECT(ADDRESS(ROW()-1,COLUMN(COND_INTERSTICIAL[[#This Row],[tramo cond]]),4)))+COND_INTERSTICIAL[[#This Row],[Condensa]],COND_INTERSTICIAL[[#This Row],[Capa]],INDIRECT(ADDRESS(ROW()-1,COLUMN(),4))))</f>
        <v>#N/A</v>
      </c>
      <c r="DL144" s="108" t="e" cm="1">
        <f t="array" aca="1" ref="DL144" ca="1">IF((COND_INTERSTICIAL[[#This Row],[Capa]]=N_capas)+(COND_INTERSTICIAL[[#This Row],[tramo cond]]=COUNTIFS(COND_INTERSTICIAL[Condensa],TRUE,COND_INTERSTICIAL[Mes],CW144,COND_INTERSTICIAL[Sección],CX144)+1),N_capas,INDEX(COND_INTERSTICIAL[capa lím inf cond],MATCH(COND_INTERSTICIAL[[#This Row],[Mes]]&amp;"-"&amp;COND_INTERSTICIAL[[#This Row],[Sección]]&amp;"-"&amp;(COND_INTERSTICIAL[[#This Row],[tramo cond]]+1),COND_INTERSTICIAL[llave tramo cond],0)))</f>
        <v>#N/A</v>
      </c>
      <c r="DM144" s="108" cm="1">
        <f t="array" aca="1" ref="DM14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4" s="110" t="e" cm="1">
        <f t="array" aca="1" ref="DN14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4" s="107" t="e">
        <f ca="1">COND_INTERSTICIAL[[#This Row],[gc]]+COND_INTERSTICIAL[[#This Row],[Ma_anterior cond]]</f>
        <v>#N/A</v>
      </c>
      <c r="DQ144" s="113" t="e">
        <f ca="1">IF((COND_INTERSTICIAL[[#This Row],[Ma_anterior cond]]&gt;0)*NOT(COND_INTERSTICIAL[[#This Row],[Condensa]]),TRUE,FALSE)</f>
        <v>#N/A</v>
      </c>
      <c r="DR144" s="112" t="e" cm="1">
        <f t="array" aca="1" ref="DR144" ca="1">IF(COND_INTERSTICIAL[[#This Row],[evapora]],COND_INTERSTICIAL[[#This Row],[Psat]],IF(COND_INTERSTICIAL[[#This Row],[Capa]]=N_capas,COND_INTERSTICIAL[[#This Row],[Pn]],""))</f>
        <v>#N/A</v>
      </c>
      <c r="DS144" s="112" t="e">
        <f ca="1">COND_INTERSTICIAL[[#This Row],[Mes]]&amp;"-"&amp;COND_INTERSTICIAL[[#This Row],[Sección]]&amp;"-"&amp;COND_INTERSTICIAL[[#This Row],[tramo ev]]</f>
        <v>#N/A</v>
      </c>
      <c r="DT144" s="111" t="e" cm="1">
        <f t="array" aca="1" ref="DT144" ca="1">IF(COND_INTERSTICIAL[[#This Row],[Capa]]=1,IF(COND_INTERSTICIAL[[#This Row],[evapora]],2,1),IF(COND_INTERSTICIAL[[#This Row],[evapora]],1,0)+INDIRECT(ADDRESS(ROW()-1,COLUMN(),4)))</f>
        <v>#N/A</v>
      </c>
      <c r="DU144" s="111" t="e" cm="1">
        <f t="array" aca="1" ref="DU144" ca="1">IF(COND_INTERSTICIAL[[#This Row],[tramo ev]]=1,0,IF((COND_INTERSTICIAL[[#This Row],[tramo ev]]&gt;INDIRECT(ADDRESS(ROW()-1,COLUMN(COND_INTERSTICIAL[[#This Row],[tramo ev]]),4)))+COND_INTERSTICIAL[[#This Row],[evapora]],COND_INTERSTICIAL[[#This Row],[Capa]],INDIRECT(ADDRESS(ROW()-1,COLUMN(),4))))</f>
        <v>#N/A</v>
      </c>
      <c r="DV144" s="111" t="e" cm="1">
        <f t="array" aca="1" ref="DV144" ca="1">IF((COND_INTERSTICIAL[[#This Row],[Capa]]=N_capas)+(COND_INTERSTICIAL[[#This Row],[tramo ev]]=COUNTIFS(COND_INTERSTICIAL[evapora],TRUE,COND_INTERSTICIAL[Mes],CW144,COND_INTERSTICIAL[Sección],CX144)+1),N_capas,INDEX(COND_INTERSTICIAL[capa lím inf ev],MATCH(COND_INTERSTICIAL[[#This Row],[Mes]]&amp;"-"&amp;COND_INTERSTICIAL[[#This Row],[Sección]]&amp;"-"&amp;(COND_INTERSTICIAL[[#This Row],[tramo ev]]+1),COND_INTERSTICIAL[llave tramo ev],0)))</f>
        <v>#N/A</v>
      </c>
      <c r="DW144" s="111" cm="1">
        <f t="array" aca="1" ref="DW14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4" s="113" t="e" cm="1">
        <f t="array" aca="1" ref="DX14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4" s="113" t="e">
        <f ca="1">COND_INTERSTICIAL[[#This Row],[gev]]+COND_INTERSTICIAL[[#This Row],[Ma anterior ev]]</f>
        <v>#N/A</v>
      </c>
      <c r="EA144" s="115" t="e">
        <f ca="1">IF(COND_INTERSTICIAL[[#This Row],[Ma cond]]+COND_INTERSTICIAL[[#This Row],[Ma ev]]&lt;=0,0,COND_INTERSTICIAL[[#This Row],[Ma cond]]+COND_INTERSTICIAL[[#This Row],[Ma ev]])</f>
        <v>#N/A</v>
      </c>
      <c r="EB144" s="115" t="e">
        <f ca="1">IF(COND_INTERSTICIAL[[#This Row],[Ma]]&gt;0,TRUE,FALSE)</f>
        <v>#N/A</v>
      </c>
      <c r="EC144" s="115" t="e" cm="1">
        <f t="array" aca="1" ref="EC144" ca="1">IF(COND_INTERSTICIAL[[#This Row],[agua líquida]],IF(COND_INTERSTICIAL[[#This Row],[Condensa]],COND_INTERSTICIAL[[#This Row],[P límite cond]],COND_INTERSTICIAL[[#This Row],[P límite ev]]),IF(COND_INTERSTICIAL[[#This Row],[Capa]]=N_capas,COND_INTERSTICIAL[[#This Row],[Pn]],""))</f>
        <v>#N/A</v>
      </c>
      <c r="ED144" s="115" t="e">
        <f ca="1">COND_INTERSTICIAL[[#This Row],[Mes]]&amp;"-"&amp;COND_INTERSTICIAL[[#This Row],[Sección]]&amp;"-"&amp;COND_INTERSTICIAL[[#This Row],[tramo gráf]]</f>
        <v>#N/A</v>
      </c>
      <c r="EE144" s="114" t="e" cm="1">
        <f t="array" aca="1" ref="EE144" ca="1">IF(COND_INTERSTICIAL[[#This Row],[Capa]]=1,IF(COND_INTERSTICIAL[[#This Row],[agua líquida]],2,1),IF(COND_INTERSTICIAL[[#This Row],[agua líquida]],1,0)+INDIRECT(ADDRESS(ROW()-1,COLUMN(),4)))</f>
        <v>#N/A</v>
      </c>
      <c r="EF144" s="114" t="e" cm="1">
        <f t="array" aca="1" ref="EF144" ca="1">IF(COND_INTERSTICIAL[[#This Row],[tramo gráf]]=1,0,IF((COND_INTERSTICIAL[[#This Row],[tramo gráf]]&gt;INDIRECT(ADDRESS(ROW()-1,COLUMN(COND_INTERSTICIAL[[#This Row],[tramo gráf]]),4)))+COND_INTERSTICIAL[[#This Row],[agua líquida]],COND_INTERSTICIAL[[#This Row],[Capa]],INDIRECT(ADDRESS(ROW()-1,COLUMN(),4))))</f>
        <v>#N/A</v>
      </c>
      <c r="EG144" s="114" t="e" cm="1">
        <f t="array" aca="1" ref="EG144" ca="1">IF((COND_INTERSTICIAL[[#This Row],[Capa]]=N_capas)+(COND_INTERSTICIAL[[#This Row],[tramo gráf]]=COUNTIFS(COND_INTERSTICIAL[agua líquida],TRUE,COND_INTERSTICIAL[Mes],CW144,COND_INTERSTICIAL[Sección],CX144)+1),N_capas,INDEX(COND_INTERSTICIAL[capa lím inf gráf],MATCH(COND_INTERSTICIAL[[#This Row],[Mes]]&amp;"-"&amp;COND_INTERSTICIAL[[#This Row],[Sección]]&amp;"-"&amp;(COND_INTERSTICIAL[[#This Row],[tramo gráf]]+1),COND_INTERSTICIAL[llave tramo gráf],0)))</f>
        <v>#N/A</v>
      </c>
      <c r="EH144" s="114" cm="1">
        <f t="array" aca="1" ref="EH14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4" s="116" t="e" cm="1">
        <f t="array" aca="1" ref="EI14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5" spans="101:139" x14ac:dyDescent="0.45">
      <c r="CW145" s="1" cm="1">
        <f t="array" ref="CW145">ROUNDUP((ROW()-$CN$18+(Mes_inicial_de_análisis-1)*N_capas*N_secciones)/(N_capas*N_secciones),0)-12*IF(ROW()-$CN$18&gt;(12-Mes_inicial_de_análisis+1)*N_capas*N_secciones,1,0)</f>
        <v>3</v>
      </c>
      <c r="CX145" cm="1">
        <f t="array" ref="CX145">ROUNDUP((ROW()-$CN$18)/N_capas-(ROUNDUP((ROW()-$CN$18)/(N_capas*N_secciones),0)-1)*N_secciones,0)</f>
        <v>2</v>
      </c>
      <c r="CY145" cm="1">
        <f t="array" ref="CY145">(ROW()-$CN$18)-(COND_INTERSTICIAL[[#This Row],[Sección]]-1)*N_capas-(ROUNDUP((ROW()-$CN$18)/(N_capas*N_secciones),0)-1)*N_capas*N_secciones</f>
        <v>7</v>
      </c>
      <c r="CZ145" t="str">
        <f>COND_INTERSTICIAL[[#This Row],[Mes]]&amp;"-"&amp;COND_INTERSTICIAL[[#This Row],[Sección]]&amp;"-"&amp;COND_INTERSTICIAL[[#This Row],[Capa]]</f>
        <v>3-2-7</v>
      </c>
      <c r="DA145">
        <f ca="1">INDEX(SECCIONES_CAPAS[R''n],MATCH(COND_INTERSTICIAL[[#This Row],[Sección]]&amp;"-"&amp;COND_INTERSTICIAL[[#This Row],[Capa]],SECCIONES_CAPAS[llave],0))</f>
        <v>0.04</v>
      </c>
      <c r="DB145" s="172" t="e" cm="1">
        <f t="array" aca="1" ref="DB145" ca="1">INDEX(CLIMA[ϴe],COND_INTERSTICIAL[[#This Row],[Mes]])+COND_INTERSTICIAL[[#This Row],[Rn]]*(INDEX(CLIMA[ϴi],COND_INTERSTICIAL[[#This Row],[Mes]])-INDEX(CLIMA[ϴe],COND_INTERSTICIAL[[#This Row],[Mes]]))/(INDEX(SECCIONES[Rtsección_condensación],COND_INTERSTICIAL[[#This Row],[Sección]]))</f>
        <v>#N/A</v>
      </c>
      <c r="DC145">
        <f>INDEX(SECCIONES_CAPAS[Sd],MATCH(COND_INTERSTICIAL[[#This Row],[Sección]]&amp;"-"&amp;COND_INTERSTICIAL[[#This Row],[Capa]],SECCIONES_CAPAS[llave],0))</f>
        <v>0</v>
      </c>
      <c r="DD145">
        <f ca="1">INDEX(SECCIONES_CAPAS[S''d],MATCH(COND_INTERSTICIAL[[#This Row],[Sección]]&amp;"-"&amp;COND_INTERSTICIAL[[#This Row],[Capa]],SECCIONES_CAPAS[llave],0))</f>
        <v>0</v>
      </c>
      <c r="DE145" s="90" t="e">
        <f ca="1">IF(COND_INTERSTICIAL[[#This Row],[ϴn]]&gt;=0,610.5*EXP((17.269*COND_INTERSTICIAL[[#This Row],[ϴn]])/(237.3+COND_INTERSTICIAL[[#This Row],[ϴn]])),610.5*EXP((21.875*COND_INTERSTICIAL[[#This Row],[ϴn]])/(265.5+COND_INTERSTICIAL[[#This Row],[ϴn]])))</f>
        <v>#N/A</v>
      </c>
      <c r="DF145" s="90" t="e" cm="1">
        <f t="array" aca="1" ref="DF145" ca="1">COND_INTERSTICIAL[[#This Row],[S''d]]*((INDEX(CLIMA[Pi],COND_INTERSTICIAL[[#This Row],[Mes]])-INDEX(CLIMA[Pe],COND_INTERSTICIAL[[#This Row],[Mes]]))/INDEX(SECCIONES[SdT],COND_INTERSTICIAL[[#This Row],[Sección]]))+INDEX(CLIMA[Pe],COND_INTERSTICIAL[[#This Row],[Mes]])</f>
        <v>#N/A</v>
      </c>
      <c r="DG145" s="108" t="e">
        <f ca="1">IF((COND_INTERSTICIAL[[#This Row],[Pn]]&gt;=COND_INTERSTICIAL[[#This Row],[Psat]]),TRUE,FALSE)</f>
        <v>#N/A</v>
      </c>
      <c r="DH145" s="109" t="e" cm="1">
        <f t="array" aca="1" ref="DH145" ca="1">IF(COND_INTERSTICIAL[[#This Row],[Condensa]],COND_INTERSTICIAL[[#This Row],[Psat]],IF(COND_INTERSTICIAL[[#This Row],[Capa]]=N_capas,COND_INTERSTICIAL[[#This Row],[Pn]],""))</f>
        <v>#N/A</v>
      </c>
      <c r="DI145" s="109" t="e">
        <f ca="1">COND_INTERSTICIAL[[#This Row],[Mes]]&amp;"-"&amp;COND_INTERSTICIAL[[#This Row],[Sección]]&amp;"-"&amp;COND_INTERSTICIAL[[#This Row],[tramo cond]]</f>
        <v>#N/A</v>
      </c>
      <c r="DJ145" t="e" cm="1">
        <f t="array" aca="1" ref="DJ145" ca="1">IF(COND_INTERSTICIAL[[#This Row],[Capa]]=1,IF(COND_INTERSTICIAL[[#This Row],[Condensa]],2,1),IF(COND_INTERSTICIAL[[#This Row],[Condensa]],1,0)+INDIRECT(ADDRESS(ROW()-1,COLUMN(),4)))</f>
        <v>#N/A</v>
      </c>
      <c r="DK145" s="108" t="e" cm="1">
        <f t="array" aca="1" ref="DK145" ca="1">IF(COND_INTERSTICIAL[[#This Row],[tramo cond]]=1,0,IF((COND_INTERSTICIAL[[#This Row],[tramo cond]]&gt;INDIRECT(ADDRESS(ROW()-1,COLUMN(COND_INTERSTICIAL[[#This Row],[tramo cond]]),4)))+COND_INTERSTICIAL[[#This Row],[Condensa]],COND_INTERSTICIAL[[#This Row],[Capa]],INDIRECT(ADDRESS(ROW()-1,COLUMN(),4))))</f>
        <v>#N/A</v>
      </c>
      <c r="DL145" s="108" t="e" cm="1">
        <f t="array" aca="1" ref="DL145" ca="1">IF((COND_INTERSTICIAL[[#This Row],[Capa]]=N_capas)+(COND_INTERSTICIAL[[#This Row],[tramo cond]]=COUNTIFS(COND_INTERSTICIAL[Condensa],TRUE,COND_INTERSTICIAL[Mes],CW145,COND_INTERSTICIAL[Sección],CX145)+1),N_capas,INDEX(COND_INTERSTICIAL[capa lím inf cond],MATCH(COND_INTERSTICIAL[[#This Row],[Mes]]&amp;"-"&amp;COND_INTERSTICIAL[[#This Row],[Sección]]&amp;"-"&amp;(COND_INTERSTICIAL[[#This Row],[tramo cond]]+1),COND_INTERSTICIAL[llave tramo cond],0)))</f>
        <v>#N/A</v>
      </c>
      <c r="DM145" s="108" cm="1">
        <f t="array" aca="1" ref="DM14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5" s="110" t="e" cm="1">
        <f t="array" aca="1" ref="DN14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5" s="107" t="e">
        <f ca="1">COND_INTERSTICIAL[[#This Row],[gc]]+COND_INTERSTICIAL[[#This Row],[Ma_anterior cond]]</f>
        <v>#N/A</v>
      </c>
      <c r="DQ145" s="113" t="e">
        <f ca="1">IF((COND_INTERSTICIAL[[#This Row],[Ma_anterior cond]]&gt;0)*NOT(COND_INTERSTICIAL[[#This Row],[Condensa]]),TRUE,FALSE)</f>
        <v>#N/A</v>
      </c>
      <c r="DR145" s="112" t="e" cm="1">
        <f t="array" aca="1" ref="DR145" ca="1">IF(COND_INTERSTICIAL[[#This Row],[evapora]],COND_INTERSTICIAL[[#This Row],[Psat]],IF(COND_INTERSTICIAL[[#This Row],[Capa]]=N_capas,COND_INTERSTICIAL[[#This Row],[Pn]],""))</f>
        <v>#N/A</v>
      </c>
      <c r="DS145" s="112" t="e">
        <f ca="1">COND_INTERSTICIAL[[#This Row],[Mes]]&amp;"-"&amp;COND_INTERSTICIAL[[#This Row],[Sección]]&amp;"-"&amp;COND_INTERSTICIAL[[#This Row],[tramo ev]]</f>
        <v>#N/A</v>
      </c>
      <c r="DT145" s="111" t="e" cm="1">
        <f t="array" aca="1" ref="DT145" ca="1">IF(COND_INTERSTICIAL[[#This Row],[Capa]]=1,IF(COND_INTERSTICIAL[[#This Row],[evapora]],2,1),IF(COND_INTERSTICIAL[[#This Row],[evapora]],1,0)+INDIRECT(ADDRESS(ROW()-1,COLUMN(),4)))</f>
        <v>#N/A</v>
      </c>
      <c r="DU145" s="111" t="e" cm="1">
        <f t="array" aca="1" ref="DU145" ca="1">IF(COND_INTERSTICIAL[[#This Row],[tramo ev]]=1,0,IF((COND_INTERSTICIAL[[#This Row],[tramo ev]]&gt;INDIRECT(ADDRESS(ROW()-1,COLUMN(COND_INTERSTICIAL[[#This Row],[tramo ev]]),4)))+COND_INTERSTICIAL[[#This Row],[evapora]],COND_INTERSTICIAL[[#This Row],[Capa]],INDIRECT(ADDRESS(ROW()-1,COLUMN(),4))))</f>
        <v>#N/A</v>
      </c>
      <c r="DV145" s="111" t="e" cm="1">
        <f t="array" aca="1" ref="DV145" ca="1">IF((COND_INTERSTICIAL[[#This Row],[Capa]]=N_capas)+(COND_INTERSTICIAL[[#This Row],[tramo ev]]=COUNTIFS(COND_INTERSTICIAL[evapora],TRUE,COND_INTERSTICIAL[Mes],CW145,COND_INTERSTICIAL[Sección],CX145)+1),N_capas,INDEX(COND_INTERSTICIAL[capa lím inf ev],MATCH(COND_INTERSTICIAL[[#This Row],[Mes]]&amp;"-"&amp;COND_INTERSTICIAL[[#This Row],[Sección]]&amp;"-"&amp;(COND_INTERSTICIAL[[#This Row],[tramo ev]]+1),COND_INTERSTICIAL[llave tramo ev],0)))</f>
        <v>#N/A</v>
      </c>
      <c r="DW145" s="111" cm="1">
        <f t="array" aca="1" ref="DW14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5" s="113" t="e" cm="1">
        <f t="array" aca="1" ref="DX14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5" s="113" t="e">
        <f ca="1">COND_INTERSTICIAL[[#This Row],[gev]]+COND_INTERSTICIAL[[#This Row],[Ma anterior ev]]</f>
        <v>#N/A</v>
      </c>
      <c r="EA145" s="115" t="e">
        <f ca="1">IF(COND_INTERSTICIAL[[#This Row],[Ma cond]]+COND_INTERSTICIAL[[#This Row],[Ma ev]]&lt;=0,0,COND_INTERSTICIAL[[#This Row],[Ma cond]]+COND_INTERSTICIAL[[#This Row],[Ma ev]])</f>
        <v>#N/A</v>
      </c>
      <c r="EB145" s="115" t="e">
        <f ca="1">IF(COND_INTERSTICIAL[[#This Row],[Ma]]&gt;0,TRUE,FALSE)</f>
        <v>#N/A</v>
      </c>
      <c r="EC145" s="115" t="e" cm="1">
        <f t="array" aca="1" ref="EC145" ca="1">IF(COND_INTERSTICIAL[[#This Row],[agua líquida]],IF(COND_INTERSTICIAL[[#This Row],[Condensa]],COND_INTERSTICIAL[[#This Row],[P límite cond]],COND_INTERSTICIAL[[#This Row],[P límite ev]]),IF(COND_INTERSTICIAL[[#This Row],[Capa]]=N_capas,COND_INTERSTICIAL[[#This Row],[Pn]],""))</f>
        <v>#N/A</v>
      </c>
      <c r="ED145" s="115" t="e">
        <f ca="1">COND_INTERSTICIAL[[#This Row],[Mes]]&amp;"-"&amp;COND_INTERSTICIAL[[#This Row],[Sección]]&amp;"-"&amp;COND_INTERSTICIAL[[#This Row],[tramo gráf]]</f>
        <v>#N/A</v>
      </c>
      <c r="EE145" s="114" t="e" cm="1">
        <f t="array" aca="1" ref="EE145" ca="1">IF(COND_INTERSTICIAL[[#This Row],[Capa]]=1,IF(COND_INTERSTICIAL[[#This Row],[agua líquida]],2,1),IF(COND_INTERSTICIAL[[#This Row],[agua líquida]],1,0)+INDIRECT(ADDRESS(ROW()-1,COLUMN(),4)))</f>
        <v>#N/A</v>
      </c>
      <c r="EF145" s="114" t="e" cm="1">
        <f t="array" aca="1" ref="EF145" ca="1">IF(COND_INTERSTICIAL[[#This Row],[tramo gráf]]=1,0,IF((COND_INTERSTICIAL[[#This Row],[tramo gráf]]&gt;INDIRECT(ADDRESS(ROW()-1,COLUMN(COND_INTERSTICIAL[[#This Row],[tramo gráf]]),4)))+COND_INTERSTICIAL[[#This Row],[agua líquida]],COND_INTERSTICIAL[[#This Row],[Capa]],INDIRECT(ADDRESS(ROW()-1,COLUMN(),4))))</f>
        <v>#N/A</v>
      </c>
      <c r="EG145" s="114" t="e" cm="1">
        <f t="array" aca="1" ref="EG145" ca="1">IF((COND_INTERSTICIAL[[#This Row],[Capa]]=N_capas)+(COND_INTERSTICIAL[[#This Row],[tramo gráf]]=COUNTIFS(COND_INTERSTICIAL[agua líquida],TRUE,COND_INTERSTICIAL[Mes],CW145,COND_INTERSTICIAL[Sección],CX145)+1),N_capas,INDEX(COND_INTERSTICIAL[capa lím inf gráf],MATCH(COND_INTERSTICIAL[[#This Row],[Mes]]&amp;"-"&amp;COND_INTERSTICIAL[[#This Row],[Sección]]&amp;"-"&amp;(COND_INTERSTICIAL[[#This Row],[tramo gráf]]+1),COND_INTERSTICIAL[llave tramo gráf],0)))</f>
        <v>#N/A</v>
      </c>
      <c r="EH145" s="114" cm="1">
        <f t="array" aca="1" ref="EH14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5" s="116" t="e" cm="1">
        <f t="array" aca="1" ref="EI14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6" spans="101:139" x14ac:dyDescent="0.45">
      <c r="CW146" s="1" cm="1">
        <f t="array" ref="CW146">ROUNDUP((ROW()-$CN$18+(Mes_inicial_de_análisis-1)*N_capas*N_secciones)/(N_capas*N_secciones),0)-12*IF(ROW()-$CN$18&gt;(12-Mes_inicial_de_análisis+1)*N_capas*N_secciones,1,0)</f>
        <v>4</v>
      </c>
      <c r="CX146" cm="1">
        <f t="array" ref="CX146">ROUNDUP((ROW()-$CN$18)/N_capas-(ROUNDUP((ROW()-$CN$18)/(N_capas*N_secciones),0)-1)*N_secciones,0)</f>
        <v>1</v>
      </c>
      <c r="CY146" cm="1">
        <f t="array" ref="CY146">(ROW()-$CN$18)-(COND_INTERSTICIAL[[#This Row],[Sección]]-1)*N_capas-(ROUNDUP((ROW()-$CN$18)/(N_capas*N_secciones),0)-1)*N_capas*N_secciones</f>
        <v>1</v>
      </c>
      <c r="CZ146" t="str">
        <f>COND_INTERSTICIAL[[#This Row],[Mes]]&amp;"-"&amp;COND_INTERSTICIAL[[#This Row],[Sección]]&amp;"-"&amp;COND_INTERSTICIAL[[#This Row],[Capa]]</f>
        <v>4-1-1</v>
      </c>
      <c r="DA146">
        <f ca="1">INDEX(SECCIONES_CAPAS[R''n],MATCH(COND_INTERSTICIAL[[#This Row],[Sección]]&amp;"-"&amp;COND_INTERSTICIAL[[#This Row],[Capa]],SECCIONES_CAPAS[llave],0))</f>
        <v>0.04</v>
      </c>
      <c r="DB146" s="172" t="e" cm="1">
        <f t="array" aca="1" ref="DB146" ca="1">INDEX(CLIMA[ϴe],COND_INTERSTICIAL[[#This Row],[Mes]])+COND_INTERSTICIAL[[#This Row],[Rn]]*(INDEX(CLIMA[ϴi],COND_INTERSTICIAL[[#This Row],[Mes]])-INDEX(CLIMA[ϴe],COND_INTERSTICIAL[[#This Row],[Mes]]))/(INDEX(SECCIONES[Rtsección_condensación],COND_INTERSTICIAL[[#This Row],[Sección]]))</f>
        <v>#N/A</v>
      </c>
      <c r="DC146">
        <f>INDEX(SECCIONES_CAPAS[Sd],MATCH(COND_INTERSTICIAL[[#This Row],[Sección]]&amp;"-"&amp;COND_INTERSTICIAL[[#This Row],[Capa]],SECCIONES_CAPAS[llave],0))</f>
        <v>0</v>
      </c>
      <c r="DD146">
        <f ca="1">INDEX(SECCIONES_CAPAS[S''d],MATCH(COND_INTERSTICIAL[[#This Row],[Sección]]&amp;"-"&amp;COND_INTERSTICIAL[[#This Row],[Capa]],SECCIONES_CAPAS[llave],0))</f>
        <v>0</v>
      </c>
      <c r="DE146" s="90" t="e">
        <f ca="1">IF(COND_INTERSTICIAL[[#This Row],[ϴn]]&gt;=0,610.5*EXP((17.269*COND_INTERSTICIAL[[#This Row],[ϴn]])/(237.3+COND_INTERSTICIAL[[#This Row],[ϴn]])),610.5*EXP((21.875*COND_INTERSTICIAL[[#This Row],[ϴn]])/(265.5+COND_INTERSTICIAL[[#This Row],[ϴn]])))</f>
        <v>#N/A</v>
      </c>
      <c r="DF146" s="90" t="e" cm="1">
        <f t="array" aca="1" ref="DF146" ca="1">COND_INTERSTICIAL[[#This Row],[S''d]]*((INDEX(CLIMA[Pi],COND_INTERSTICIAL[[#This Row],[Mes]])-INDEX(CLIMA[Pe],COND_INTERSTICIAL[[#This Row],[Mes]]))/INDEX(SECCIONES[SdT],COND_INTERSTICIAL[[#This Row],[Sección]]))+INDEX(CLIMA[Pe],COND_INTERSTICIAL[[#This Row],[Mes]])</f>
        <v>#N/A</v>
      </c>
      <c r="DG146" s="108" t="e">
        <f ca="1">IF((COND_INTERSTICIAL[[#This Row],[Pn]]&gt;=COND_INTERSTICIAL[[#This Row],[Psat]]),TRUE,FALSE)</f>
        <v>#N/A</v>
      </c>
      <c r="DH146" s="109" t="e" cm="1">
        <f t="array" aca="1" ref="DH146" ca="1">IF(COND_INTERSTICIAL[[#This Row],[Condensa]],COND_INTERSTICIAL[[#This Row],[Psat]],IF(COND_INTERSTICIAL[[#This Row],[Capa]]=N_capas,COND_INTERSTICIAL[[#This Row],[Pn]],""))</f>
        <v>#N/A</v>
      </c>
      <c r="DI146" s="109" t="e">
        <f ca="1">COND_INTERSTICIAL[[#This Row],[Mes]]&amp;"-"&amp;COND_INTERSTICIAL[[#This Row],[Sección]]&amp;"-"&amp;COND_INTERSTICIAL[[#This Row],[tramo cond]]</f>
        <v>#N/A</v>
      </c>
      <c r="DJ146" t="e" cm="1">
        <f t="array" aca="1" ref="DJ146" ca="1">IF(COND_INTERSTICIAL[[#This Row],[Capa]]=1,IF(COND_INTERSTICIAL[[#This Row],[Condensa]],2,1),IF(COND_INTERSTICIAL[[#This Row],[Condensa]],1,0)+INDIRECT(ADDRESS(ROW()-1,COLUMN(),4)))</f>
        <v>#N/A</v>
      </c>
      <c r="DK146" s="108" t="e" cm="1">
        <f t="array" aca="1" ref="DK146" ca="1">IF(COND_INTERSTICIAL[[#This Row],[tramo cond]]=1,0,IF((COND_INTERSTICIAL[[#This Row],[tramo cond]]&gt;INDIRECT(ADDRESS(ROW()-1,COLUMN(COND_INTERSTICIAL[[#This Row],[tramo cond]]),4)))+COND_INTERSTICIAL[[#This Row],[Condensa]],COND_INTERSTICIAL[[#This Row],[Capa]],INDIRECT(ADDRESS(ROW()-1,COLUMN(),4))))</f>
        <v>#N/A</v>
      </c>
      <c r="DL146" s="108" t="e" cm="1">
        <f t="array" aca="1" ref="DL146" ca="1">IF((COND_INTERSTICIAL[[#This Row],[Capa]]=N_capas)+(COND_INTERSTICIAL[[#This Row],[tramo cond]]=COUNTIFS(COND_INTERSTICIAL[Condensa],TRUE,COND_INTERSTICIAL[Mes],CW146,COND_INTERSTICIAL[Sección],CX146)+1),N_capas,INDEX(COND_INTERSTICIAL[capa lím inf cond],MATCH(COND_INTERSTICIAL[[#This Row],[Mes]]&amp;"-"&amp;COND_INTERSTICIAL[[#This Row],[Sección]]&amp;"-"&amp;(COND_INTERSTICIAL[[#This Row],[tramo cond]]+1),COND_INTERSTICIAL[llave tramo cond],0)))</f>
        <v>#N/A</v>
      </c>
      <c r="DM146" s="108" cm="1">
        <f t="array" aca="1" ref="DM14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6" s="110" t="e" cm="1">
        <f t="array" aca="1" ref="DN14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6" s="107" t="e">
        <f ca="1">COND_INTERSTICIAL[[#This Row],[gc]]+COND_INTERSTICIAL[[#This Row],[Ma_anterior cond]]</f>
        <v>#N/A</v>
      </c>
      <c r="DQ146" s="113" t="e">
        <f ca="1">IF((COND_INTERSTICIAL[[#This Row],[Ma_anterior cond]]&gt;0)*NOT(COND_INTERSTICIAL[[#This Row],[Condensa]]),TRUE,FALSE)</f>
        <v>#N/A</v>
      </c>
      <c r="DR146" s="112" t="e" cm="1">
        <f t="array" aca="1" ref="DR146" ca="1">IF(COND_INTERSTICIAL[[#This Row],[evapora]],COND_INTERSTICIAL[[#This Row],[Psat]],IF(COND_INTERSTICIAL[[#This Row],[Capa]]=N_capas,COND_INTERSTICIAL[[#This Row],[Pn]],""))</f>
        <v>#N/A</v>
      </c>
      <c r="DS146" s="112" t="e">
        <f ca="1">COND_INTERSTICIAL[[#This Row],[Mes]]&amp;"-"&amp;COND_INTERSTICIAL[[#This Row],[Sección]]&amp;"-"&amp;COND_INTERSTICIAL[[#This Row],[tramo ev]]</f>
        <v>#N/A</v>
      </c>
      <c r="DT146" s="111" t="e" cm="1">
        <f t="array" aca="1" ref="DT146" ca="1">IF(COND_INTERSTICIAL[[#This Row],[Capa]]=1,IF(COND_INTERSTICIAL[[#This Row],[evapora]],2,1),IF(COND_INTERSTICIAL[[#This Row],[evapora]],1,0)+INDIRECT(ADDRESS(ROW()-1,COLUMN(),4)))</f>
        <v>#N/A</v>
      </c>
      <c r="DU146" s="111" t="e" cm="1">
        <f t="array" aca="1" ref="DU146" ca="1">IF(COND_INTERSTICIAL[[#This Row],[tramo ev]]=1,0,IF((COND_INTERSTICIAL[[#This Row],[tramo ev]]&gt;INDIRECT(ADDRESS(ROW()-1,COLUMN(COND_INTERSTICIAL[[#This Row],[tramo ev]]),4)))+COND_INTERSTICIAL[[#This Row],[evapora]],COND_INTERSTICIAL[[#This Row],[Capa]],INDIRECT(ADDRESS(ROW()-1,COLUMN(),4))))</f>
        <v>#N/A</v>
      </c>
      <c r="DV146" s="111" t="e" cm="1">
        <f t="array" aca="1" ref="DV146" ca="1">IF((COND_INTERSTICIAL[[#This Row],[Capa]]=N_capas)+(COND_INTERSTICIAL[[#This Row],[tramo ev]]=COUNTIFS(COND_INTERSTICIAL[evapora],TRUE,COND_INTERSTICIAL[Mes],CW146,COND_INTERSTICIAL[Sección],CX146)+1),N_capas,INDEX(COND_INTERSTICIAL[capa lím inf ev],MATCH(COND_INTERSTICIAL[[#This Row],[Mes]]&amp;"-"&amp;COND_INTERSTICIAL[[#This Row],[Sección]]&amp;"-"&amp;(COND_INTERSTICIAL[[#This Row],[tramo ev]]+1),COND_INTERSTICIAL[llave tramo ev],0)))</f>
        <v>#N/A</v>
      </c>
      <c r="DW146" s="111" cm="1">
        <f t="array" aca="1" ref="DW14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6" s="113" t="e" cm="1">
        <f t="array" aca="1" ref="DX14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6" s="113" t="e">
        <f ca="1">COND_INTERSTICIAL[[#This Row],[gev]]+COND_INTERSTICIAL[[#This Row],[Ma anterior ev]]</f>
        <v>#N/A</v>
      </c>
      <c r="EA146" s="115" t="e">
        <f ca="1">IF(COND_INTERSTICIAL[[#This Row],[Ma cond]]+COND_INTERSTICIAL[[#This Row],[Ma ev]]&lt;=0,0,COND_INTERSTICIAL[[#This Row],[Ma cond]]+COND_INTERSTICIAL[[#This Row],[Ma ev]])</f>
        <v>#N/A</v>
      </c>
      <c r="EB146" s="115" t="e">
        <f ca="1">IF(COND_INTERSTICIAL[[#This Row],[Ma]]&gt;0,TRUE,FALSE)</f>
        <v>#N/A</v>
      </c>
      <c r="EC146" s="115" t="e" cm="1">
        <f t="array" aca="1" ref="EC146" ca="1">IF(COND_INTERSTICIAL[[#This Row],[agua líquida]],IF(COND_INTERSTICIAL[[#This Row],[Condensa]],COND_INTERSTICIAL[[#This Row],[P límite cond]],COND_INTERSTICIAL[[#This Row],[P límite ev]]),IF(COND_INTERSTICIAL[[#This Row],[Capa]]=N_capas,COND_INTERSTICIAL[[#This Row],[Pn]],""))</f>
        <v>#N/A</v>
      </c>
      <c r="ED146" s="115" t="e">
        <f ca="1">COND_INTERSTICIAL[[#This Row],[Mes]]&amp;"-"&amp;COND_INTERSTICIAL[[#This Row],[Sección]]&amp;"-"&amp;COND_INTERSTICIAL[[#This Row],[tramo gráf]]</f>
        <v>#N/A</v>
      </c>
      <c r="EE146" s="114" t="e" cm="1">
        <f t="array" aca="1" ref="EE146" ca="1">IF(COND_INTERSTICIAL[[#This Row],[Capa]]=1,IF(COND_INTERSTICIAL[[#This Row],[agua líquida]],2,1),IF(COND_INTERSTICIAL[[#This Row],[agua líquida]],1,0)+INDIRECT(ADDRESS(ROW()-1,COLUMN(),4)))</f>
        <v>#N/A</v>
      </c>
      <c r="EF146" s="114" t="e" cm="1">
        <f t="array" aca="1" ref="EF146" ca="1">IF(COND_INTERSTICIAL[[#This Row],[tramo gráf]]=1,0,IF((COND_INTERSTICIAL[[#This Row],[tramo gráf]]&gt;INDIRECT(ADDRESS(ROW()-1,COLUMN(COND_INTERSTICIAL[[#This Row],[tramo gráf]]),4)))+COND_INTERSTICIAL[[#This Row],[agua líquida]],COND_INTERSTICIAL[[#This Row],[Capa]],INDIRECT(ADDRESS(ROW()-1,COLUMN(),4))))</f>
        <v>#N/A</v>
      </c>
      <c r="EG146" s="114" t="e" cm="1">
        <f t="array" aca="1" ref="EG146" ca="1">IF((COND_INTERSTICIAL[[#This Row],[Capa]]=N_capas)+(COND_INTERSTICIAL[[#This Row],[tramo gráf]]=COUNTIFS(COND_INTERSTICIAL[agua líquida],TRUE,COND_INTERSTICIAL[Mes],CW146,COND_INTERSTICIAL[Sección],CX146)+1),N_capas,INDEX(COND_INTERSTICIAL[capa lím inf gráf],MATCH(COND_INTERSTICIAL[[#This Row],[Mes]]&amp;"-"&amp;COND_INTERSTICIAL[[#This Row],[Sección]]&amp;"-"&amp;(COND_INTERSTICIAL[[#This Row],[tramo gráf]]+1),COND_INTERSTICIAL[llave tramo gráf],0)))</f>
        <v>#N/A</v>
      </c>
      <c r="EH146" s="114" cm="1">
        <f t="array" aca="1" ref="EH14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6" s="116" t="e" cm="1">
        <f t="array" aca="1" ref="EI14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7" spans="101:139" x14ac:dyDescent="0.45">
      <c r="CW147" s="1" cm="1">
        <f t="array" ref="CW147">ROUNDUP((ROW()-$CN$18+(Mes_inicial_de_análisis-1)*N_capas*N_secciones)/(N_capas*N_secciones),0)-12*IF(ROW()-$CN$18&gt;(12-Mes_inicial_de_análisis+1)*N_capas*N_secciones,1,0)</f>
        <v>4</v>
      </c>
      <c r="CX147" cm="1">
        <f t="array" ref="CX147">ROUNDUP((ROW()-$CN$18)/N_capas-(ROUNDUP((ROW()-$CN$18)/(N_capas*N_secciones),0)-1)*N_secciones,0)</f>
        <v>1</v>
      </c>
      <c r="CY147" cm="1">
        <f t="array" ref="CY147">(ROW()-$CN$18)-(COND_INTERSTICIAL[[#This Row],[Sección]]-1)*N_capas-(ROUNDUP((ROW()-$CN$18)/(N_capas*N_secciones),0)-1)*N_capas*N_secciones</f>
        <v>2</v>
      </c>
      <c r="CZ147" t="str">
        <f>COND_INTERSTICIAL[[#This Row],[Mes]]&amp;"-"&amp;COND_INTERSTICIAL[[#This Row],[Sección]]&amp;"-"&amp;COND_INTERSTICIAL[[#This Row],[Capa]]</f>
        <v>4-1-2</v>
      </c>
      <c r="DA147">
        <f ca="1">INDEX(SECCIONES_CAPAS[R''n],MATCH(COND_INTERSTICIAL[[#This Row],[Sección]]&amp;"-"&amp;COND_INTERSTICIAL[[#This Row],[Capa]],SECCIONES_CAPAS[llave],0))</f>
        <v>0.04</v>
      </c>
      <c r="DB147" s="172" t="e" cm="1">
        <f t="array" aca="1" ref="DB147" ca="1">INDEX(CLIMA[ϴe],COND_INTERSTICIAL[[#This Row],[Mes]])+COND_INTERSTICIAL[[#This Row],[Rn]]*(INDEX(CLIMA[ϴi],COND_INTERSTICIAL[[#This Row],[Mes]])-INDEX(CLIMA[ϴe],COND_INTERSTICIAL[[#This Row],[Mes]]))/(INDEX(SECCIONES[Rtsección_condensación],COND_INTERSTICIAL[[#This Row],[Sección]]))</f>
        <v>#N/A</v>
      </c>
      <c r="DC147">
        <f>INDEX(SECCIONES_CAPAS[Sd],MATCH(COND_INTERSTICIAL[[#This Row],[Sección]]&amp;"-"&amp;COND_INTERSTICIAL[[#This Row],[Capa]],SECCIONES_CAPAS[llave],0))</f>
        <v>0</v>
      </c>
      <c r="DD147">
        <f ca="1">INDEX(SECCIONES_CAPAS[S''d],MATCH(COND_INTERSTICIAL[[#This Row],[Sección]]&amp;"-"&amp;COND_INTERSTICIAL[[#This Row],[Capa]],SECCIONES_CAPAS[llave],0))</f>
        <v>0</v>
      </c>
      <c r="DE147" s="90" t="e">
        <f ca="1">IF(COND_INTERSTICIAL[[#This Row],[ϴn]]&gt;=0,610.5*EXP((17.269*COND_INTERSTICIAL[[#This Row],[ϴn]])/(237.3+COND_INTERSTICIAL[[#This Row],[ϴn]])),610.5*EXP((21.875*COND_INTERSTICIAL[[#This Row],[ϴn]])/(265.5+COND_INTERSTICIAL[[#This Row],[ϴn]])))</f>
        <v>#N/A</v>
      </c>
      <c r="DF147" s="90" t="e" cm="1">
        <f t="array" aca="1" ref="DF147" ca="1">COND_INTERSTICIAL[[#This Row],[S''d]]*((INDEX(CLIMA[Pi],COND_INTERSTICIAL[[#This Row],[Mes]])-INDEX(CLIMA[Pe],COND_INTERSTICIAL[[#This Row],[Mes]]))/INDEX(SECCIONES[SdT],COND_INTERSTICIAL[[#This Row],[Sección]]))+INDEX(CLIMA[Pe],COND_INTERSTICIAL[[#This Row],[Mes]])</f>
        <v>#N/A</v>
      </c>
      <c r="DG147" s="108" t="e">
        <f ca="1">IF((COND_INTERSTICIAL[[#This Row],[Pn]]&gt;=COND_INTERSTICIAL[[#This Row],[Psat]]),TRUE,FALSE)</f>
        <v>#N/A</v>
      </c>
      <c r="DH147" s="109" t="e" cm="1">
        <f t="array" aca="1" ref="DH147" ca="1">IF(COND_INTERSTICIAL[[#This Row],[Condensa]],COND_INTERSTICIAL[[#This Row],[Psat]],IF(COND_INTERSTICIAL[[#This Row],[Capa]]=N_capas,COND_INTERSTICIAL[[#This Row],[Pn]],""))</f>
        <v>#N/A</v>
      </c>
      <c r="DI147" s="109" t="e">
        <f ca="1">COND_INTERSTICIAL[[#This Row],[Mes]]&amp;"-"&amp;COND_INTERSTICIAL[[#This Row],[Sección]]&amp;"-"&amp;COND_INTERSTICIAL[[#This Row],[tramo cond]]</f>
        <v>#N/A</v>
      </c>
      <c r="DJ147" t="e" cm="1">
        <f t="array" aca="1" ref="DJ147" ca="1">IF(COND_INTERSTICIAL[[#This Row],[Capa]]=1,IF(COND_INTERSTICIAL[[#This Row],[Condensa]],2,1),IF(COND_INTERSTICIAL[[#This Row],[Condensa]],1,0)+INDIRECT(ADDRESS(ROW()-1,COLUMN(),4)))</f>
        <v>#N/A</v>
      </c>
      <c r="DK147" s="108" t="e" cm="1">
        <f t="array" aca="1" ref="DK147" ca="1">IF(COND_INTERSTICIAL[[#This Row],[tramo cond]]=1,0,IF((COND_INTERSTICIAL[[#This Row],[tramo cond]]&gt;INDIRECT(ADDRESS(ROW()-1,COLUMN(COND_INTERSTICIAL[[#This Row],[tramo cond]]),4)))+COND_INTERSTICIAL[[#This Row],[Condensa]],COND_INTERSTICIAL[[#This Row],[Capa]],INDIRECT(ADDRESS(ROW()-1,COLUMN(),4))))</f>
        <v>#N/A</v>
      </c>
      <c r="DL147" s="108" t="e" cm="1">
        <f t="array" aca="1" ref="DL147" ca="1">IF((COND_INTERSTICIAL[[#This Row],[Capa]]=N_capas)+(COND_INTERSTICIAL[[#This Row],[tramo cond]]=COUNTIFS(COND_INTERSTICIAL[Condensa],TRUE,COND_INTERSTICIAL[Mes],CW147,COND_INTERSTICIAL[Sección],CX147)+1),N_capas,INDEX(COND_INTERSTICIAL[capa lím inf cond],MATCH(COND_INTERSTICIAL[[#This Row],[Mes]]&amp;"-"&amp;COND_INTERSTICIAL[[#This Row],[Sección]]&amp;"-"&amp;(COND_INTERSTICIAL[[#This Row],[tramo cond]]+1),COND_INTERSTICIAL[llave tramo cond],0)))</f>
        <v>#N/A</v>
      </c>
      <c r="DM147" s="108" cm="1">
        <f t="array" aca="1" ref="DM14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7" s="110" t="e" cm="1">
        <f t="array" aca="1" ref="DN14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7" s="107" t="e">
        <f ca="1">COND_INTERSTICIAL[[#This Row],[gc]]+COND_INTERSTICIAL[[#This Row],[Ma_anterior cond]]</f>
        <v>#N/A</v>
      </c>
      <c r="DQ147" s="113" t="e">
        <f ca="1">IF((COND_INTERSTICIAL[[#This Row],[Ma_anterior cond]]&gt;0)*NOT(COND_INTERSTICIAL[[#This Row],[Condensa]]),TRUE,FALSE)</f>
        <v>#N/A</v>
      </c>
      <c r="DR147" s="112" t="e" cm="1">
        <f t="array" aca="1" ref="DR147" ca="1">IF(COND_INTERSTICIAL[[#This Row],[evapora]],COND_INTERSTICIAL[[#This Row],[Psat]],IF(COND_INTERSTICIAL[[#This Row],[Capa]]=N_capas,COND_INTERSTICIAL[[#This Row],[Pn]],""))</f>
        <v>#N/A</v>
      </c>
      <c r="DS147" s="112" t="e">
        <f ca="1">COND_INTERSTICIAL[[#This Row],[Mes]]&amp;"-"&amp;COND_INTERSTICIAL[[#This Row],[Sección]]&amp;"-"&amp;COND_INTERSTICIAL[[#This Row],[tramo ev]]</f>
        <v>#N/A</v>
      </c>
      <c r="DT147" s="111" t="e" cm="1">
        <f t="array" aca="1" ref="DT147" ca="1">IF(COND_INTERSTICIAL[[#This Row],[Capa]]=1,IF(COND_INTERSTICIAL[[#This Row],[evapora]],2,1),IF(COND_INTERSTICIAL[[#This Row],[evapora]],1,0)+INDIRECT(ADDRESS(ROW()-1,COLUMN(),4)))</f>
        <v>#N/A</v>
      </c>
      <c r="DU147" s="111" t="e" cm="1">
        <f t="array" aca="1" ref="DU147" ca="1">IF(COND_INTERSTICIAL[[#This Row],[tramo ev]]=1,0,IF((COND_INTERSTICIAL[[#This Row],[tramo ev]]&gt;INDIRECT(ADDRESS(ROW()-1,COLUMN(COND_INTERSTICIAL[[#This Row],[tramo ev]]),4)))+COND_INTERSTICIAL[[#This Row],[evapora]],COND_INTERSTICIAL[[#This Row],[Capa]],INDIRECT(ADDRESS(ROW()-1,COLUMN(),4))))</f>
        <v>#N/A</v>
      </c>
      <c r="DV147" s="111" t="e" cm="1">
        <f t="array" aca="1" ref="DV147" ca="1">IF((COND_INTERSTICIAL[[#This Row],[Capa]]=N_capas)+(COND_INTERSTICIAL[[#This Row],[tramo ev]]=COUNTIFS(COND_INTERSTICIAL[evapora],TRUE,COND_INTERSTICIAL[Mes],CW147,COND_INTERSTICIAL[Sección],CX147)+1),N_capas,INDEX(COND_INTERSTICIAL[capa lím inf ev],MATCH(COND_INTERSTICIAL[[#This Row],[Mes]]&amp;"-"&amp;COND_INTERSTICIAL[[#This Row],[Sección]]&amp;"-"&amp;(COND_INTERSTICIAL[[#This Row],[tramo ev]]+1),COND_INTERSTICIAL[llave tramo ev],0)))</f>
        <v>#N/A</v>
      </c>
      <c r="DW147" s="111" cm="1">
        <f t="array" aca="1" ref="DW14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7" s="113" t="e" cm="1">
        <f t="array" aca="1" ref="DX14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7" s="113" t="e">
        <f ca="1">COND_INTERSTICIAL[[#This Row],[gev]]+COND_INTERSTICIAL[[#This Row],[Ma anterior ev]]</f>
        <v>#N/A</v>
      </c>
      <c r="EA147" s="115" t="e">
        <f ca="1">IF(COND_INTERSTICIAL[[#This Row],[Ma cond]]+COND_INTERSTICIAL[[#This Row],[Ma ev]]&lt;=0,0,COND_INTERSTICIAL[[#This Row],[Ma cond]]+COND_INTERSTICIAL[[#This Row],[Ma ev]])</f>
        <v>#N/A</v>
      </c>
      <c r="EB147" s="115" t="e">
        <f ca="1">IF(COND_INTERSTICIAL[[#This Row],[Ma]]&gt;0,TRUE,FALSE)</f>
        <v>#N/A</v>
      </c>
      <c r="EC147" s="115" t="e" cm="1">
        <f t="array" aca="1" ref="EC147" ca="1">IF(COND_INTERSTICIAL[[#This Row],[agua líquida]],IF(COND_INTERSTICIAL[[#This Row],[Condensa]],COND_INTERSTICIAL[[#This Row],[P límite cond]],COND_INTERSTICIAL[[#This Row],[P límite ev]]),IF(COND_INTERSTICIAL[[#This Row],[Capa]]=N_capas,COND_INTERSTICIAL[[#This Row],[Pn]],""))</f>
        <v>#N/A</v>
      </c>
      <c r="ED147" s="115" t="e">
        <f ca="1">COND_INTERSTICIAL[[#This Row],[Mes]]&amp;"-"&amp;COND_INTERSTICIAL[[#This Row],[Sección]]&amp;"-"&amp;COND_INTERSTICIAL[[#This Row],[tramo gráf]]</f>
        <v>#N/A</v>
      </c>
      <c r="EE147" s="114" t="e" cm="1">
        <f t="array" aca="1" ref="EE147" ca="1">IF(COND_INTERSTICIAL[[#This Row],[Capa]]=1,IF(COND_INTERSTICIAL[[#This Row],[agua líquida]],2,1),IF(COND_INTERSTICIAL[[#This Row],[agua líquida]],1,0)+INDIRECT(ADDRESS(ROW()-1,COLUMN(),4)))</f>
        <v>#N/A</v>
      </c>
      <c r="EF147" s="114" t="e" cm="1">
        <f t="array" aca="1" ref="EF147" ca="1">IF(COND_INTERSTICIAL[[#This Row],[tramo gráf]]=1,0,IF((COND_INTERSTICIAL[[#This Row],[tramo gráf]]&gt;INDIRECT(ADDRESS(ROW()-1,COLUMN(COND_INTERSTICIAL[[#This Row],[tramo gráf]]),4)))+COND_INTERSTICIAL[[#This Row],[agua líquida]],COND_INTERSTICIAL[[#This Row],[Capa]],INDIRECT(ADDRESS(ROW()-1,COLUMN(),4))))</f>
        <v>#N/A</v>
      </c>
      <c r="EG147" s="114" t="e" cm="1">
        <f t="array" aca="1" ref="EG147" ca="1">IF((COND_INTERSTICIAL[[#This Row],[Capa]]=N_capas)+(COND_INTERSTICIAL[[#This Row],[tramo gráf]]=COUNTIFS(COND_INTERSTICIAL[agua líquida],TRUE,COND_INTERSTICIAL[Mes],CW147,COND_INTERSTICIAL[Sección],CX147)+1),N_capas,INDEX(COND_INTERSTICIAL[capa lím inf gráf],MATCH(COND_INTERSTICIAL[[#This Row],[Mes]]&amp;"-"&amp;COND_INTERSTICIAL[[#This Row],[Sección]]&amp;"-"&amp;(COND_INTERSTICIAL[[#This Row],[tramo gráf]]+1),COND_INTERSTICIAL[llave tramo gráf],0)))</f>
        <v>#N/A</v>
      </c>
      <c r="EH147" s="114" cm="1">
        <f t="array" aca="1" ref="EH14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7" s="116" t="e" cm="1">
        <f t="array" aca="1" ref="EI14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8" spans="101:139" x14ac:dyDescent="0.45">
      <c r="CW148" s="1" cm="1">
        <f t="array" ref="CW148">ROUNDUP((ROW()-$CN$18+(Mes_inicial_de_análisis-1)*N_capas*N_secciones)/(N_capas*N_secciones),0)-12*IF(ROW()-$CN$18&gt;(12-Mes_inicial_de_análisis+1)*N_capas*N_secciones,1,0)</f>
        <v>4</v>
      </c>
      <c r="CX148" cm="1">
        <f t="array" ref="CX148">ROUNDUP((ROW()-$CN$18)/N_capas-(ROUNDUP((ROW()-$CN$18)/(N_capas*N_secciones),0)-1)*N_secciones,0)</f>
        <v>1</v>
      </c>
      <c r="CY148" cm="1">
        <f t="array" ref="CY148">(ROW()-$CN$18)-(COND_INTERSTICIAL[[#This Row],[Sección]]-1)*N_capas-(ROUNDUP((ROW()-$CN$18)/(N_capas*N_secciones),0)-1)*N_capas*N_secciones</f>
        <v>3</v>
      </c>
      <c r="CZ148" t="str">
        <f>COND_INTERSTICIAL[[#This Row],[Mes]]&amp;"-"&amp;COND_INTERSTICIAL[[#This Row],[Sección]]&amp;"-"&amp;COND_INTERSTICIAL[[#This Row],[Capa]]</f>
        <v>4-1-3</v>
      </c>
      <c r="DA148">
        <f ca="1">INDEX(SECCIONES_CAPAS[R''n],MATCH(COND_INTERSTICIAL[[#This Row],[Sección]]&amp;"-"&amp;COND_INTERSTICIAL[[#This Row],[Capa]],SECCIONES_CAPAS[llave],0))</f>
        <v>0.04</v>
      </c>
      <c r="DB148" s="172" t="e" cm="1">
        <f t="array" aca="1" ref="DB148" ca="1">INDEX(CLIMA[ϴe],COND_INTERSTICIAL[[#This Row],[Mes]])+COND_INTERSTICIAL[[#This Row],[Rn]]*(INDEX(CLIMA[ϴi],COND_INTERSTICIAL[[#This Row],[Mes]])-INDEX(CLIMA[ϴe],COND_INTERSTICIAL[[#This Row],[Mes]]))/(INDEX(SECCIONES[Rtsección_condensación],COND_INTERSTICIAL[[#This Row],[Sección]]))</f>
        <v>#N/A</v>
      </c>
      <c r="DC148">
        <f>INDEX(SECCIONES_CAPAS[Sd],MATCH(COND_INTERSTICIAL[[#This Row],[Sección]]&amp;"-"&amp;COND_INTERSTICIAL[[#This Row],[Capa]],SECCIONES_CAPAS[llave],0))</f>
        <v>0</v>
      </c>
      <c r="DD148">
        <f ca="1">INDEX(SECCIONES_CAPAS[S''d],MATCH(COND_INTERSTICIAL[[#This Row],[Sección]]&amp;"-"&amp;COND_INTERSTICIAL[[#This Row],[Capa]],SECCIONES_CAPAS[llave],0))</f>
        <v>0</v>
      </c>
      <c r="DE148" s="90" t="e">
        <f ca="1">IF(COND_INTERSTICIAL[[#This Row],[ϴn]]&gt;=0,610.5*EXP((17.269*COND_INTERSTICIAL[[#This Row],[ϴn]])/(237.3+COND_INTERSTICIAL[[#This Row],[ϴn]])),610.5*EXP((21.875*COND_INTERSTICIAL[[#This Row],[ϴn]])/(265.5+COND_INTERSTICIAL[[#This Row],[ϴn]])))</f>
        <v>#N/A</v>
      </c>
      <c r="DF148" s="90" t="e" cm="1">
        <f t="array" aca="1" ref="DF148" ca="1">COND_INTERSTICIAL[[#This Row],[S''d]]*((INDEX(CLIMA[Pi],COND_INTERSTICIAL[[#This Row],[Mes]])-INDEX(CLIMA[Pe],COND_INTERSTICIAL[[#This Row],[Mes]]))/INDEX(SECCIONES[SdT],COND_INTERSTICIAL[[#This Row],[Sección]]))+INDEX(CLIMA[Pe],COND_INTERSTICIAL[[#This Row],[Mes]])</f>
        <v>#N/A</v>
      </c>
      <c r="DG148" s="108" t="e">
        <f ca="1">IF((COND_INTERSTICIAL[[#This Row],[Pn]]&gt;=COND_INTERSTICIAL[[#This Row],[Psat]]),TRUE,FALSE)</f>
        <v>#N/A</v>
      </c>
      <c r="DH148" s="109" t="e" cm="1">
        <f t="array" aca="1" ref="DH148" ca="1">IF(COND_INTERSTICIAL[[#This Row],[Condensa]],COND_INTERSTICIAL[[#This Row],[Psat]],IF(COND_INTERSTICIAL[[#This Row],[Capa]]=N_capas,COND_INTERSTICIAL[[#This Row],[Pn]],""))</f>
        <v>#N/A</v>
      </c>
      <c r="DI148" s="109" t="e">
        <f ca="1">COND_INTERSTICIAL[[#This Row],[Mes]]&amp;"-"&amp;COND_INTERSTICIAL[[#This Row],[Sección]]&amp;"-"&amp;COND_INTERSTICIAL[[#This Row],[tramo cond]]</f>
        <v>#N/A</v>
      </c>
      <c r="DJ148" t="e" cm="1">
        <f t="array" aca="1" ref="DJ148" ca="1">IF(COND_INTERSTICIAL[[#This Row],[Capa]]=1,IF(COND_INTERSTICIAL[[#This Row],[Condensa]],2,1),IF(COND_INTERSTICIAL[[#This Row],[Condensa]],1,0)+INDIRECT(ADDRESS(ROW()-1,COLUMN(),4)))</f>
        <v>#N/A</v>
      </c>
      <c r="DK148" s="108" t="e" cm="1">
        <f t="array" aca="1" ref="DK148" ca="1">IF(COND_INTERSTICIAL[[#This Row],[tramo cond]]=1,0,IF((COND_INTERSTICIAL[[#This Row],[tramo cond]]&gt;INDIRECT(ADDRESS(ROW()-1,COLUMN(COND_INTERSTICIAL[[#This Row],[tramo cond]]),4)))+COND_INTERSTICIAL[[#This Row],[Condensa]],COND_INTERSTICIAL[[#This Row],[Capa]],INDIRECT(ADDRESS(ROW()-1,COLUMN(),4))))</f>
        <v>#N/A</v>
      </c>
      <c r="DL148" s="108" t="e" cm="1">
        <f t="array" aca="1" ref="DL148" ca="1">IF((COND_INTERSTICIAL[[#This Row],[Capa]]=N_capas)+(COND_INTERSTICIAL[[#This Row],[tramo cond]]=COUNTIFS(COND_INTERSTICIAL[Condensa],TRUE,COND_INTERSTICIAL[Mes],CW148,COND_INTERSTICIAL[Sección],CX148)+1),N_capas,INDEX(COND_INTERSTICIAL[capa lím inf cond],MATCH(COND_INTERSTICIAL[[#This Row],[Mes]]&amp;"-"&amp;COND_INTERSTICIAL[[#This Row],[Sección]]&amp;"-"&amp;(COND_INTERSTICIAL[[#This Row],[tramo cond]]+1),COND_INTERSTICIAL[llave tramo cond],0)))</f>
        <v>#N/A</v>
      </c>
      <c r="DM148" s="108" cm="1">
        <f t="array" aca="1" ref="DM14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8" s="110" t="e" cm="1">
        <f t="array" aca="1" ref="DN14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8" s="107" t="e">
        <f ca="1">COND_INTERSTICIAL[[#This Row],[gc]]+COND_INTERSTICIAL[[#This Row],[Ma_anterior cond]]</f>
        <v>#N/A</v>
      </c>
      <c r="DQ148" s="113" t="e">
        <f ca="1">IF((COND_INTERSTICIAL[[#This Row],[Ma_anterior cond]]&gt;0)*NOT(COND_INTERSTICIAL[[#This Row],[Condensa]]),TRUE,FALSE)</f>
        <v>#N/A</v>
      </c>
      <c r="DR148" s="112" t="e" cm="1">
        <f t="array" aca="1" ref="DR148" ca="1">IF(COND_INTERSTICIAL[[#This Row],[evapora]],COND_INTERSTICIAL[[#This Row],[Psat]],IF(COND_INTERSTICIAL[[#This Row],[Capa]]=N_capas,COND_INTERSTICIAL[[#This Row],[Pn]],""))</f>
        <v>#N/A</v>
      </c>
      <c r="DS148" s="112" t="e">
        <f ca="1">COND_INTERSTICIAL[[#This Row],[Mes]]&amp;"-"&amp;COND_INTERSTICIAL[[#This Row],[Sección]]&amp;"-"&amp;COND_INTERSTICIAL[[#This Row],[tramo ev]]</f>
        <v>#N/A</v>
      </c>
      <c r="DT148" s="111" t="e" cm="1">
        <f t="array" aca="1" ref="DT148" ca="1">IF(COND_INTERSTICIAL[[#This Row],[Capa]]=1,IF(COND_INTERSTICIAL[[#This Row],[evapora]],2,1),IF(COND_INTERSTICIAL[[#This Row],[evapora]],1,0)+INDIRECT(ADDRESS(ROW()-1,COLUMN(),4)))</f>
        <v>#N/A</v>
      </c>
      <c r="DU148" s="111" t="e" cm="1">
        <f t="array" aca="1" ref="DU148" ca="1">IF(COND_INTERSTICIAL[[#This Row],[tramo ev]]=1,0,IF((COND_INTERSTICIAL[[#This Row],[tramo ev]]&gt;INDIRECT(ADDRESS(ROW()-1,COLUMN(COND_INTERSTICIAL[[#This Row],[tramo ev]]),4)))+COND_INTERSTICIAL[[#This Row],[evapora]],COND_INTERSTICIAL[[#This Row],[Capa]],INDIRECT(ADDRESS(ROW()-1,COLUMN(),4))))</f>
        <v>#N/A</v>
      </c>
      <c r="DV148" s="111" t="e" cm="1">
        <f t="array" aca="1" ref="DV148" ca="1">IF((COND_INTERSTICIAL[[#This Row],[Capa]]=N_capas)+(COND_INTERSTICIAL[[#This Row],[tramo ev]]=COUNTIFS(COND_INTERSTICIAL[evapora],TRUE,COND_INTERSTICIAL[Mes],CW148,COND_INTERSTICIAL[Sección],CX148)+1),N_capas,INDEX(COND_INTERSTICIAL[capa lím inf ev],MATCH(COND_INTERSTICIAL[[#This Row],[Mes]]&amp;"-"&amp;COND_INTERSTICIAL[[#This Row],[Sección]]&amp;"-"&amp;(COND_INTERSTICIAL[[#This Row],[tramo ev]]+1),COND_INTERSTICIAL[llave tramo ev],0)))</f>
        <v>#N/A</v>
      </c>
      <c r="DW148" s="111" cm="1">
        <f t="array" aca="1" ref="DW14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8" s="113" t="e" cm="1">
        <f t="array" aca="1" ref="DX14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8" s="113" t="e">
        <f ca="1">COND_INTERSTICIAL[[#This Row],[gev]]+COND_INTERSTICIAL[[#This Row],[Ma anterior ev]]</f>
        <v>#N/A</v>
      </c>
      <c r="EA148" s="115" t="e">
        <f ca="1">IF(COND_INTERSTICIAL[[#This Row],[Ma cond]]+COND_INTERSTICIAL[[#This Row],[Ma ev]]&lt;=0,0,COND_INTERSTICIAL[[#This Row],[Ma cond]]+COND_INTERSTICIAL[[#This Row],[Ma ev]])</f>
        <v>#N/A</v>
      </c>
      <c r="EB148" s="115" t="e">
        <f ca="1">IF(COND_INTERSTICIAL[[#This Row],[Ma]]&gt;0,TRUE,FALSE)</f>
        <v>#N/A</v>
      </c>
      <c r="EC148" s="115" t="e" cm="1">
        <f t="array" aca="1" ref="EC148" ca="1">IF(COND_INTERSTICIAL[[#This Row],[agua líquida]],IF(COND_INTERSTICIAL[[#This Row],[Condensa]],COND_INTERSTICIAL[[#This Row],[P límite cond]],COND_INTERSTICIAL[[#This Row],[P límite ev]]),IF(COND_INTERSTICIAL[[#This Row],[Capa]]=N_capas,COND_INTERSTICIAL[[#This Row],[Pn]],""))</f>
        <v>#N/A</v>
      </c>
      <c r="ED148" s="115" t="e">
        <f ca="1">COND_INTERSTICIAL[[#This Row],[Mes]]&amp;"-"&amp;COND_INTERSTICIAL[[#This Row],[Sección]]&amp;"-"&amp;COND_INTERSTICIAL[[#This Row],[tramo gráf]]</f>
        <v>#N/A</v>
      </c>
      <c r="EE148" s="114" t="e" cm="1">
        <f t="array" aca="1" ref="EE148" ca="1">IF(COND_INTERSTICIAL[[#This Row],[Capa]]=1,IF(COND_INTERSTICIAL[[#This Row],[agua líquida]],2,1),IF(COND_INTERSTICIAL[[#This Row],[agua líquida]],1,0)+INDIRECT(ADDRESS(ROW()-1,COLUMN(),4)))</f>
        <v>#N/A</v>
      </c>
      <c r="EF148" s="114" t="e" cm="1">
        <f t="array" aca="1" ref="EF148" ca="1">IF(COND_INTERSTICIAL[[#This Row],[tramo gráf]]=1,0,IF((COND_INTERSTICIAL[[#This Row],[tramo gráf]]&gt;INDIRECT(ADDRESS(ROW()-1,COLUMN(COND_INTERSTICIAL[[#This Row],[tramo gráf]]),4)))+COND_INTERSTICIAL[[#This Row],[agua líquida]],COND_INTERSTICIAL[[#This Row],[Capa]],INDIRECT(ADDRESS(ROW()-1,COLUMN(),4))))</f>
        <v>#N/A</v>
      </c>
      <c r="EG148" s="114" t="e" cm="1">
        <f t="array" aca="1" ref="EG148" ca="1">IF((COND_INTERSTICIAL[[#This Row],[Capa]]=N_capas)+(COND_INTERSTICIAL[[#This Row],[tramo gráf]]=COUNTIFS(COND_INTERSTICIAL[agua líquida],TRUE,COND_INTERSTICIAL[Mes],CW148,COND_INTERSTICIAL[Sección],CX148)+1),N_capas,INDEX(COND_INTERSTICIAL[capa lím inf gráf],MATCH(COND_INTERSTICIAL[[#This Row],[Mes]]&amp;"-"&amp;COND_INTERSTICIAL[[#This Row],[Sección]]&amp;"-"&amp;(COND_INTERSTICIAL[[#This Row],[tramo gráf]]+1),COND_INTERSTICIAL[llave tramo gráf],0)))</f>
        <v>#N/A</v>
      </c>
      <c r="EH148" s="114" cm="1">
        <f t="array" aca="1" ref="EH14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8" s="116" t="e" cm="1">
        <f t="array" aca="1" ref="EI14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9" spans="101:139" x14ac:dyDescent="0.45">
      <c r="CW149" s="1" cm="1">
        <f t="array" ref="CW149">ROUNDUP((ROW()-$CN$18+(Mes_inicial_de_análisis-1)*N_capas*N_secciones)/(N_capas*N_secciones),0)-12*IF(ROW()-$CN$18&gt;(12-Mes_inicial_de_análisis+1)*N_capas*N_secciones,1,0)</f>
        <v>4</v>
      </c>
      <c r="CX149" cm="1">
        <f t="array" ref="CX149">ROUNDUP((ROW()-$CN$18)/N_capas-(ROUNDUP((ROW()-$CN$18)/(N_capas*N_secciones),0)-1)*N_secciones,0)</f>
        <v>1</v>
      </c>
      <c r="CY149" cm="1">
        <f t="array" ref="CY149">(ROW()-$CN$18)-(COND_INTERSTICIAL[[#This Row],[Sección]]-1)*N_capas-(ROUNDUP((ROW()-$CN$18)/(N_capas*N_secciones),0)-1)*N_capas*N_secciones</f>
        <v>4</v>
      </c>
      <c r="CZ149" t="str">
        <f>COND_INTERSTICIAL[[#This Row],[Mes]]&amp;"-"&amp;COND_INTERSTICIAL[[#This Row],[Sección]]&amp;"-"&amp;COND_INTERSTICIAL[[#This Row],[Capa]]</f>
        <v>4-1-4</v>
      </c>
      <c r="DA149">
        <f ca="1">INDEX(SECCIONES_CAPAS[R''n],MATCH(COND_INTERSTICIAL[[#This Row],[Sección]]&amp;"-"&amp;COND_INTERSTICIAL[[#This Row],[Capa]],SECCIONES_CAPAS[llave],0))</f>
        <v>0.04</v>
      </c>
      <c r="DB149" s="172" t="e" cm="1">
        <f t="array" aca="1" ref="DB149" ca="1">INDEX(CLIMA[ϴe],COND_INTERSTICIAL[[#This Row],[Mes]])+COND_INTERSTICIAL[[#This Row],[Rn]]*(INDEX(CLIMA[ϴi],COND_INTERSTICIAL[[#This Row],[Mes]])-INDEX(CLIMA[ϴe],COND_INTERSTICIAL[[#This Row],[Mes]]))/(INDEX(SECCIONES[Rtsección_condensación],COND_INTERSTICIAL[[#This Row],[Sección]]))</f>
        <v>#N/A</v>
      </c>
      <c r="DC149">
        <f>INDEX(SECCIONES_CAPAS[Sd],MATCH(COND_INTERSTICIAL[[#This Row],[Sección]]&amp;"-"&amp;COND_INTERSTICIAL[[#This Row],[Capa]],SECCIONES_CAPAS[llave],0))</f>
        <v>0</v>
      </c>
      <c r="DD149">
        <f ca="1">INDEX(SECCIONES_CAPAS[S''d],MATCH(COND_INTERSTICIAL[[#This Row],[Sección]]&amp;"-"&amp;COND_INTERSTICIAL[[#This Row],[Capa]],SECCIONES_CAPAS[llave],0))</f>
        <v>0</v>
      </c>
      <c r="DE149" s="90" t="e">
        <f ca="1">IF(COND_INTERSTICIAL[[#This Row],[ϴn]]&gt;=0,610.5*EXP((17.269*COND_INTERSTICIAL[[#This Row],[ϴn]])/(237.3+COND_INTERSTICIAL[[#This Row],[ϴn]])),610.5*EXP((21.875*COND_INTERSTICIAL[[#This Row],[ϴn]])/(265.5+COND_INTERSTICIAL[[#This Row],[ϴn]])))</f>
        <v>#N/A</v>
      </c>
      <c r="DF149" s="90" t="e" cm="1">
        <f t="array" aca="1" ref="DF149" ca="1">COND_INTERSTICIAL[[#This Row],[S''d]]*((INDEX(CLIMA[Pi],COND_INTERSTICIAL[[#This Row],[Mes]])-INDEX(CLIMA[Pe],COND_INTERSTICIAL[[#This Row],[Mes]]))/INDEX(SECCIONES[SdT],COND_INTERSTICIAL[[#This Row],[Sección]]))+INDEX(CLIMA[Pe],COND_INTERSTICIAL[[#This Row],[Mes]])</f>
        <v>#N/A</v>
      </c>
      <c r="DG149" s="108" t="e">
        <f ca="1">IF((COND_INTERSTICIAL[[#This Row],[Pn]]&gt;=COND_INTERSTICIAL[[#This Row],[Psat]]),TRUE,FALSE)</f>
        <v>#N/A</v>
      </c>
      <c r="DH149" s="109" t="e" cm="1">
        <f t="array" aca="1" ref="DH149" ca="1">IF(COND_INTERSTICIAL[[#This Row],[Condensa]],COND_INTERSTICIAL[[#This Row],[Psat]],IF(COND_INTERSTICIAL[[#This Row],[Capa]]=N_capas,COND_INTERSTICIAL[[#This Row],[Pn]],""))</f>
        <v>#N/A</v>
      </c>
      <c r="DI149" s="109" t="e">
        <f ca="1">COND_INTERSTICIAL[[#This Row],[Mes]]&amp;"-"&amp;COND_INTERSTICIAL[[#This Row],[Sección]]&amp;"-"&amp;COND_INTERSTICIAL[[#This Row],[tramo cond]]</f>
        <v>#N/A</v>
      </c>
      <c r="DJ149" t="e" cm="1">
        <f t="array" aca="1" ref="DJ149" ca="1">IF(COND_INTERSTICIAL[[#This Row],[Capa]]=1,IF(COND_INTERSTICIAL[[#This Row],[Condensa]],2,1),IF(COND_INTERSTICIAL[[#This Row],[Condensa]],1,0)+INDIRECT(ADDRESS(ROW()-1,COLUMN(),4)))</f>
        <v>#N/A</v>
      </c>
      <c r="DK149" s="108" t="e" cm="1">
        <f t="array" aca="1" ref="DK149" ca="1">IF(COND_INTERSTICIAL[[#This Row],[tramo cond]]=1,0,IF((COND_INTERSTICIAL[[#This Row],[tramo cond]]&gt;INDIRECT(ADDRESS(ROW()-1,COLUMN(COND_INTERSTICIAL[[#This Row],[tramo cond]]),4)))+COND_INTERSTICIAL[[#This Row],[Condensa]],COND_INTERSTICIAL[[#This Row],[Capa]],INDIRECT(ADDRESS(ROW()-1,COLUMN(),4))))</f>
        <v>#N/A</v>
      </c>
      <c r="DL149" s="108" t="e" cm="1">
        <f t="array" aca="1" ref="DL149" ca="1">IF((COND_INTERSTICIAL[[#This Row],[Capa]]=N_capas)+(COND_INTERSTICIAL[[#This Row],[tramo cond]]=COUNTIFS(COND_INTERSTICIAL[Condensa],TRUE,COND_INTERSTICIAL[Mes],CW149,COND_INTERSTICIAL[Sección],CX149)+1),N_capas,INDEX(COND_INTERSTICIAL[capa lím inf cond],MATCH(COND_INTERSTICIAL[[#This Row],[Mes]]&amp;"-"&amp;COND_INTERSTICIAL[[#This Row],[Sección]]&amp;"-"&amp;(COND_INTERSTICIAL[[#This Row],[tramo cond]]+1),COND_INTERSTICIAL[llave tramo cond],0)))</f>
        <v>#N/A</v>
      </c>
      <c r="DM149" s="108" cm="1">
        <f t="array" aca="1" ref="DM14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9" s="110" t="e" cm="1">
        <f t="array" aca="1" ref="DN14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9" s="107" t="e">
        <f ca="1">COND_INTERSTICIAL[[#This Row],[gc]]+COND_INTERSTICIAL[[#This Row],[Ma_anterior cond]]</f>
        <v>#N/A</v>
      </c>
      <c r="DQ149" s="113" t="e">
        <f ca="1">IF((COND_INTERSTICIAL[[#This Row],[Ma_anterior cond]]&gt;0)*NOT(COND_INTERSTICIAL[[#This Row],[Condensa]]),TRUE,FALSE)</f>
        <v>#N/A</v>
      </c>
      <c r="DR149" s="112" t="e" cm="1">
        <f t="array" aca="1" ref="DR149" ca="1">IF(COND_INTERSTICIAL[[#This Row],[evapora]],COND_INTERSTICIAL[[#This Row],[Psat]],IF(COND_INTERSTICIAL[[#This Row],[Capa]]=N_capas,COND_INTERSTICIAL[[#This Row],[Pn]],""))</f>
        <v>#N/A</v>
      </c>
      <c r="DS149" s="112" t="e">
        <f ca="1">COND_INTERSTICIAL[[#This Row],[Mes]]&amp;"-"&amp;COND_INTERSTICIAL[[#This Row],[Sección]]&amp;"-"&amp;COND_INTERSTICIAL[[#This Row],[tramo ev]]</f>
        <v>#N/A</v>
      </c>
      <c r="DT149" s="111" t="e" cm="1">
        <f t="array" aca="1" ref="DT149" ca="1">IF(COND_INTERSTICIAL[[#This Row],[Capa]]=1,IF(COND_INTERSTICIAL[[#This Row],[evapora]],2,1),IF(COND_INTERSTICIAL[[#This Row],[evapora]],1,0)+INDIRECT(ADDRESS(ROW()-1,COLUMN(),4)))</f>
        <v>#N/A</v>
      </c>
      <c r="DU149" s="111" t="e" cm="1">
        <f t="array" aca="1" ref="DU149" ca="1">IF(COND_INTERSTICIAL[[#This Row],[tramo ev]]=1,0,IF((COND_INTERSTICIAL[[#This Row],[tramo ev]]&gt;INDIRECT(ADDRESS(ROW()-1,COLUMN(COND_INTERSTICIAL[[#This Row],[tramo ev]]),4)))+COND_INTERSTICIAL[[#This Row],[evapora]],COND_INTERSTICIAL[[#This Row],[Capa]],INDIRECT(ADDRESS(ROW()-1,COLUMN(),4))))</f>
        <v>#N/A</v>
      </c>
      <c r="DV149" s="111" t="e" cm="1">
        <f t="array" aca="1" ref="DV149" ca="1">IF((COND_INTERSTICIAL[[#This Row],[Capa]]=N_capas)+(COND_INTERSTICIAL[[#This Row],[tramo ev]]=COUNTIFS(COND_INTERSTICIAL[evapora],TRUE,COND_INTERSTICIAL[Mes],CW149,COND_INTERSTICIAL[Sección],CX149)+1),N_capas,INDEX(COND_INTERSTICIAL[capa lím inf ev],MATCH(COND_INTERSTICIAL[[#This Row],[Mes]]&amp;"-"&amp;COND_INTERSTICIAL[[#This Row],[Sección]]&amp;"-"&amp;(COND_INTERSTICIAL[[#This Row],[tramo ev]]+1),COND_INTERSTICIAL[llave tramo ev],0)))</f>
        <v>#N/A</v>
      </c>
      <c r="DW149" s="111" cm="1">
        <f t="array" aca="1" ref="DW14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9" s="113" t="e" cm="1">
        <f t="array" aca="1" ref="DX14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9" s="113" t="e">
        <f ca="1">COND_INTERSTICIAL[[#This Row],[gev]]+COND_INTERSTICIAL[[#This Row],[Ma anterior ev]]</f>
        <v>#N/A</v>
      </c>
      <c r="EA149" s="115" t="e">
        <f ca="1">IF(COND_INTERSTICIAL[[#This Row],[Ma cond]]+COND_INTERSTICIAL[[#This Row],[Ma ev]]&lt;=0,0,COND_INTERSTICIAL[[#This Row],[Ma cond]]+COND_INTERSTICIAL[[#This Row],[Ma ev]])</f>
        <v>#N/A</v>
      </c>
      <c r="EB149" s="115" t="e">
        <f ca="1">IF(COND_INTERSTICIAL[[#This Row],[Ma]]&gt;0,TRUE,FALSE)</f>
        <v>#N/A</v>
      </c>
      <c r="EC149" s="115" t="e" cm="1">
        <f t="array" aca="1" ref="EC149" ca="1">IF(COND_INTERSTICIAL[[#This Row],[agua líquida]],IF(COND_INTERSTICIAL[[#This Row],[Condensa]],COND_INTERSTICIAL[[#This Row],[P límite cond]],COND_INTERSTICIAL[[#This Row],[P límite ev]]),IF(COND_INTERSTICIAL[[#This Row],[Capa]]=N_capas,COND_INTERSTICIAL[[#This Row],[Pn]],""))</f>
        <v>#N/A</v>
      </c>
      <c r="ED149" s="115" t="e">
        <f ca="1">COND_INTERSTICIAL[[#This Row],[Mes]]&amp;"-"&amp;COND_INTERSTICIAL[[#This Row],[Sección]]&amp;"-"&amp;COND_INTERSTICIAL[[#This Row],[tramo gráf]]</f>
        <v>#N/A</v>
      </c>
      <c r="EE149" s="114" t="e" cm="1">
        <f t="array" aca="1" ref="EE149" ca="1">IF(COND_INTERSTICIAL[[#This Row],[Capa]]=1,IF(COND_INTERSTICIAL[[#This Row],[agua líquida]],2,1),IF(COND_INTERSTICIAL[[#This Row],[agua líquida]],1,0)+INDIRECT(ADDRESS(ROW()-1,COLUMN(),4)))</f>
        <v>#N/A</v>
      </c>
      <c r="EF149" s="114" t="e" cm="1">
        <f t="array" aca="1" ref="EF149" ca="1">IF(COND_INTERSTICIAL[[#This Row],[tramo gráf]]=1,0,IF((COND_INTERSTICIAL[[#This Row],[tramo gráf]]&gt;INDIRECT(ADDRESS(ROW()-1,COLUMN(COND_INTERSTICIAL[[#This Row],[tramo gráf]]),4)))+COND_INTERSTICIAL[[#This Row],[agua líquida]],COND_INTERSTICIAL[[#This Row],[Capa]],INDIRECT(ADDRESS(ROW()-1,COLUMN(),4))))</f>
        <v>#N/A</v>
      </c>
      <c r="EG149" s="114" t="e" cm="1">
        <f t="array" aca="1" ref="EG149" ca="1">IF((COND_INTERSTICIAL[[#This Row],[Capa]]=N_capas)+(COND_INTERSTICIAL[[#This Row],[tramo gráf]]=COUNTIFS(COND_INTERSTICIAL[agua líquida],TRUE,COND_INTERSTICIAL[Mes],CW149,COND_INTERSTICIAL[Sección],CX149)+1),N_capas,INDEX(COND_INTERSTICIAL[capa lím inf gráf],MATCH(COND_INTERSTICIAL[[#This Row],[Mes]]&amp;"-"&amp;COND_INTERSTICIAL[[#This Row],[Sección]]&amp;"-"&amp;(COND_INTERSTICIAL[[#This Row],[tramo gráf]]+1),COND_INTERSTICIAL[llave tramo gráf],0)))</f>
        <v>#N/A</v>
      </c>
      <c r="EH149" s="114" cm="1">
        <f t="array" aca="1" ref="EH14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9" s="116" t="e" cm="1">
        <f t="array" aca="1" ref="EI14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0" spans="101:139" x14ac:dyDescent="0.45">
      <c r="CW150" s="1" cm="1">
        <f t="array" ref="CW150">ROUNDUP((ROW()-$CN$18+(Mes_inicial_de_análisis-1)*N_capas*N_secciones)/(N_capas*N_secciones),0)-12*IF(ROW()-$CN$18&gt;(12-Mes_inicial_de_análisis+1)*N_capas*N_secciones,1,0)</f>
        <v>4</v>
      </c>
      <c r="CX150" cm="1">
        <f t="array" ref="CX150">ROUNDUP((ROW()-$CN$18)/N_capas-(ROUNDUP((ROW()-$CN$18)/(N_capas*N_secciones),0)-1)*N_secciones,0)</f>
        <v>1</v>
      </c>
      <c r="CY150" cm="1">
        <f t="array" ref="CY150">(ROW()-$CN$18)-(COND_INTERSTICIAL[[#This Row],[Sección]]-1)*N_capas-(ROUNDUP((ROW()-$CN$18)/(N_capas*N_secciones),0)-1)*N_capas*N_secciones</f>
        <v>5</v>
      </c>
      <c r="CZ150" t="str">
        <f>COND_INTERSTICIAL[[#This Row],[Mes]]&amp;"-"&amp;COND_INTERSTICIAL[[#This Row],[Sección]]&amp;"-"&amp;COND_INTERSTICIAL[[#This Row],[Capa]]</f>
        <v>4-1-5</v>
      </c>
      <c r="DA150">
        <f ca="1">INDEX(SECCIONES_CAPAS[R''n],MATCH(COND_INTERSTICIAL[[#This Row],[Sección]]&amp;"-"&amp;COND_INTERSTICIAL[[#This Row],[Capa]],SECCIONES_CAPAS[llave],0))</f>
        <v>0.04</v>
      </c>
      <c r="DB150" s="172" t="e" cm="1">
        <f t="array" aca="1" ref="DB150" ca="1">INDEX(CLIMA[ϴe],COND_INTERSTICIAL[[#This Row],[Mes]])+COND_INTERSTICIAL[[#This Row],[Rn]]*(INDEX(CLIMA[ϴi],COND_INTERSTICIAL[[#This Row],[Mes]])-INDEX(CLIMA[ϴe],COND_INTERSTICIAL[[#This Row],[Mes]]))/(INDEX(SECCIONES[Rtsección_condensación],COND_INTERSTICIAL[[#This Row],[Sección]]))</f>
        <v>#N/A</v>
      </c>
      <c r="DC150">
        <f>INDEX(SECCIONES_CAPAS[Sd],MATCH(COND_INTERSTICIAL[[#This Row],[Sección]]&amp;"-"&amp;COND_INTERSTICIAL[[#This Row],[Capa]],SECCIONES_CAPAS[llave],0))</f>
        <v>0</v>
      </c>
      <c r="DD150">
        <f ca="1">INDEX(SECCIONES_CAPAS[S''d],MATCH(COND_INTERSTICIAL[[#This Row],[Sección]]&amp;"-"&amp;COND_INTERSTICIAL[[#This Row],[Capa]],SECCIONES_CAPAS[llave],0))</f>
        <v>0</v>
      </c>
      <c r="DE150" s="90" t="e">
        <f ca="1">IF(COND_INTERSTICIAL[[#This Row],[ϴn]]&gt;=0,610.5*EXP((17.269*COND_INTERSTICIAL[[#This Row],[ϴn]])/(237.3+COND_INTERSTICIAL[[#This Row],[ϴn]])),610.5*EXP((21.875*COND_INTERSTICIAL[[#This Row],[ϴn]])/(265.5+COND_INTERSTICIAL[[#This Row],[ϴn]])))</f>
        <v>#N/A</v>
      </c>
      <c r="DF150" s="90" t="e" cm="1">
        <f t="array" aca="1" ref="DF150" ca="1">COND_INTERSTICIAL[[#This Row],[S''d]]*((INDEX(CLIMA[Pi],COND_INTERSTICIAL[[#This Row],[Mes]])-INDEX(CLIMA[Pe],COND_INTERSTICIAL[[#This Row],[Mes]]))/INDEX(SECCIONES[SdT],COND_INTERSTICIAL[[#This Row],[Sección]]))+INDEX(CLIMA[Pe],COND_INTERSTICIAL[[#This Row],[Mes]])</f>
        <v>#N/A</v>
      </c>
      <c r="DG150" s="108" t="e">
        <f ca="1">IF((COND_INTERSTICIAL[[#This Row],[Pn]]&gt;=COND_INTERSTICIAL[[#This Row],[Psat]]),TRUE,FALSE)</f>
        <v>#N/A</v>
      </c>
      <c r="DH150" s="109" t="e" cm="1">
        <f t="array" aca="1" ref="DH150" ca="1">IF(COND_INTERSTICIAL[[#This Row],[Condensa]],COND_INTERSTICIAL[[#This Row],[Psat]],IF(COND_INTERSTICIAL[[#This Row],[Capa]]=N_capas,COND_INTERSTICIAL[[#This Row],[Pn]],""))</f>
        <v>#N/A</v>
      </c>
      <c r="DI150" s="109" t="e">
        <f ca="1">COND_INTERSTICIAL[[#This Row],[Mes]]&amp;"-"&amp;COND_INTERSTICIAL[[#This Row],[Sección]]&amp;"-"&amp;COND_INTERSTICIAL[[#This Row],[tramo cond]]</f>
        <v>#N/A</v>
      </c>
      <c r="DJ150" t="e" cm="1">
        <f t="array" aca="1" ref="DJ150" ca="1">IF(COND_INTERSTICIAL[[#This Row],[Capa]]=1,IF(COND_INTERSTICIAL[[#This Row],[Condensa]],2,1),IF(COND_INTERSTICIAL[[#This Row],[Condensa]],1,0)+INDIRECT(ADDRESS(ROW()-1,COLUMN(),4)))</f>
        <v>#N/A</v>
      </c>
      <c r="DK150" s="108" t="e" cm="1">
        <f t="array" aca="1" ref="DK150" ca="1">IF(COND_INTERSTICIAL[[#This Row],[tramo cond]]=1,0,IF((COND_INTERSTICIAL[[#This Row],[tramo cond]]&gt;INDIRECT(ADDRESS(ROW()-1,COLUMN(COND_INTERSTICIAL[[#This Row],[tramo cond]]),4)))+COND_INTERSTICIAL[[#This Row],[Condensa]],COND_INTERSTICIAL[[#This Row],[Capa]],INDIRECT(ADDRESS(ROW()-1,COLUMN(),4))))</f>
        <v>#N/A</v>
      </c>
      <c r="DL150" s="108" t="e" cm="1">
        <f t="array" aca="1" ref="DL150" ca="1">IF((COND_INTERSTICIAL[[#This Row],[Capa]]=N_capas)+(COND_INTERSTICIAL[[#This Row],[tramo cond]]=COUNTIFS(COND_INTERSTICIAL[Condensa],TRUE,COND_INTERSTICIAL[Mes],CW150,COND_INTERSTICIAL[Sección],CX150)+1),N_capas,INDEX(COND_INTERSTICIAL[capa lím inf cond],MATCH(COND_INTERSTICIAL[[#This Row],[Mes]]&amp;"-"&amp;COND_INTERSTICIAL[[#This Row],[Sección]]&amp;"-"&amp;(COND_INTERSTICIAL[[#This Row],[tramo cond]]+1),COND_INTERSTICIAL[llave tramo cond],0)))</f>
        <v>#N/A</v>
      </c>
      <c r="DM150" s="108" cm="1">
        <f t="array" aca="1" ref="DM15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0" s="110" t="e" cm="1">
        <f t="array" aca="1" ref="DN15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0" s="107" t="e">
        <f ca="1">COND_INTERSTICIAL[[#This Row],[gc]]+COND_INTERSTICIAL[[#This Row],[Ma_anterior cond]]</f>
        <v>#N/A</v>
      </c>
      <c r="DQ150" s="113" t="e">
        <f ca="1">IF((COND_INTERSTICIAL[[#This Row],[Ma_anterior cond]]&gt;0)*NOT(COND_INTERSTICIAL[[#This Row],[Condensa]]),TRUE,FALSE)</f>
        <v>#N/A</v>
      </c>
      <c r="DR150" s="112" t="e" cm="1">
        <f t="array" aca="1" ref="DR150" ca="1">IF(COND_INTERSTICIAL[[#This Row],[evapora]],COND_INTERSTICIAL[[#This Row],[Psat]],IF(COND_INTERSTICIAL[[#This Row],[Capa]]=N_capas,COND_INTERSTICIAL[[#This Row],[Pn]],""))</f>
        <v>#N/A</v>
      </c>
      <c r="DS150" s="112" t="e">
        <f ca="1">COND_INTERSTICIAL[[#This Row],[Mes]]&amp;"-"&amp;COND_INTERSTICIAL[[#This Row],[Sección]]&amp;"-"&amp;COND_INTERSTICIAL[[#This Row],[tramo ev]]</f>
        <v>#N/A</v>
      </c>
      <c r="DT150" s="111" t="e" cm="1">
        <f t="array" aca="1" ref="DT150" ca="1">IF(COND_INTERSTICIAL[[#This Row],[Capa]]=1,IF(COND_INTERSTICIAL[[#This Row],[evapora]],2,1),IF(COND_INTERSTICIAL[[#This Row],[evapora]],1,0)+INDIRECT(ADDRESS(ROW()-1,COLUMN(),4)))</f>
        <v>#N/A</v>
      </c>
      <c r="DU150" s="111" t="e" cm="1">
        <f t="array" aca="1" ref="DU150" ca="1">IF(COND_INTERSTICIAL[[#This Row],[tramo ev]]=1,0,IF((COND_INTERSTICIAL[[#This Row],[tramo ev]]&gt;INDIRECT(ADDRESS(ROW()-1,COLUMN(COND_INTERSTICIAL[[#This Row],[tramo ev]]),4)))+COND_INTERSTICIAL[[#This Row],[evapora]],COND_INTERSTICIAL[[#This Row],[Capa]],INDIRECT(ADDRESS(ROW()-1,COLUMN(),4))))</f>
        <v>#N/A</v>
      </c>
      <c r="DV150" s="111" t="e" cm="1">
        <f t="array" aca="1" ref="DV150" ca="1">IF((COND_INTERSTICIAL[[#This Row],[Capa]]=N_capas)+(COND_INTERSTICIAL[[#This Row],[tramo ev]]=COUNTIFS(COND_INTERSTICIAL[evapora],TRUE,COND_INTERSTICIAL[Mes],CW150,COND_INTERSTICIAL[Sección],CX150)+1),N_capas,INDEX(COND_INTERSTICIAL[capa lím inf ev],MATCH(COND_INTERSTICIAL[[#This Row],[Mes]]&amp;"-"&amp;COND_INTERSTICIAL[[#This Row],[Sección]]&amp;"-"&amp;(COND_INTERSTICIAL[[#This Row],[tramo ev]]+1),COND_INTERSTICIAL[llave tramo ev],0)))</f>
        <v>#N/A</v>
      </c>
      <c r="DW150" s="111" cm="1">
        <f t="array" aca="1" ref="DW15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0" s="113" t="e" cm="1">
        <f t="array" aca="1" ref="DX15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0" s="113" t="e">
        <f ca="1">COND_INTERSTICIAL[[#This Row],[gev]]+COND_INTERSTICIAL[[#This Row],[Ma anterior ev]]</f>
        <v>#N/A</v>
      </c>
      <c r="EA150" s="115" t="e">
        <f ca="1">IF(COND_INTERSTICIAL[[#This Row],[Ma cond]]+COND_INTERSTICIAL[[#This Row],[Ma ev]]&lt;=0,0,COND_INTERSTICIAL[[#This Row],[Ma cond]]+COND_INTERSTICIAL[[#This Row],[Ma ev]])</f>
        <v>#N/A</v>
      </c>
      <c r="EB150" s="115" t="e">
        <f ca="1">IF(COND_INTERSTICIAL[[#This Row],[Ma]]&gt;0,TRUE,FALSE)</f>
        <v>#N/A</v>
      </c>
      <c r="EC150" s="115" t="e" cm="1">
        <f t="array" aca="1" ref="EC150" ca="1">IF(COND_INTERSTICIAL[[#This Row],[agua líquida]],IF(COND_INTERSTICIAL[[#This Row],[Condensa]],COND_INTERSTICIAL[[#This Row],[P límite cond]],COND_INTERSTICIAL[[#This Row],[P límite ev]]),IF(COND_INTERSTICIAL[[#This Row],[Capa]]=N_capas,COND_INTERSTICIAL[[#This Row],[Pn]],""))</f>
        <v>#N/A</v>
      </c>
      <c r="ED150" s="115" t="e">
        <f ca="1">COND_INTERSTICIAL[[#This Row],[Mes]]&amp;"-"&amp;COND_INTERSTICIAL[[#This Row],[Sección]]&amp;"-"&amp;COND_INTERSTICIAL[[#This Row],[tramo gráf]]</f>
        <v>#N/A</v>
      </c>
      <c r="EE150" s="114" t="e" cm="1">
        <f t="array" aca="1" ref="EE150" ca="1">IF(COND_INTERSTICIAL[[#This Row],[Capa]]=1,IF(COND_INTERSTICIAL[[#This Row],[agua líquida]],2,1),IF(COND_INTERSTICIAL[[#This Row],[agua líquida]],1,0)+INDIRECT(ADDRESS(ROW()-1,COLUMN(),4)))</f>
        <v>#N/A</v>
      </c>
      <c r="EF150" s="114" t="e" cm="1">
        <f t="array" aca="1" ref="EF150" ca="1">IF(COND_INTERSTICIAL[[#This Row],[tramo gráf]]=1,0,IF((COND_INTERSTICIAL[[#This Row],[tramo gráf]]&gt;INDIRECT(ADDRESS(ROW()-1,COLUMN(COND_INTERSTICIAL[[#This Row],[tramo gráf]]),4)))+COND_INTERSTICIAL[[#This Row],[agua líquida]],COND_INTERSTICIAL[[#This Row],[Capa]],INDIRECT(ADDRESS(ROW()-1,COLUMN(),4))))</f>
        <v>#N/A</v>
      </c>
      <c r="EG150" s="114" t="e" cm="1">
        <f t="array" aca="1" ref="EG150" ca="1">IF((COND_INTERSTICIAL[[#This Row],[Capa]]=N_capas)+(COND_INTERSTICIAL[[#This Row],[tramo gráf]]=COUNTIFS(COND_INTERSTICIAL[agua líquida],TRUE,COND_INTERSTICIAL[Mes],CW150,COND_INTERSTICIAL[Sección],CX150)+1),N_capas,INDEX(COND_INTERSTICIAL[capa lím inf gráf],MATCH(COND_INTERSTICIAL[[#This Row],[Mes]]&amp;"-"&amp;COND_INTERSTICIAL[[#This Row],[Sección]]&amp;"-"&amp;(COND_INTERSTICIAL[[#This Row],[tramo gráf]]+1),COND_INTERSTICIAL[llave tramo gráf],0)))</f>
        <v>#N/A</v>
      </c>
      <c r="EH150" s="114" cm="1">
        <f t="array" aca="1" ref="EH15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0" s="116" t="e" cm="1">
        <f t="array" aca="1" ref="EI15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1" spans="101:139" x14ac:dyDescent="0.45">
      <c r="CW151" s="1" cm="1">
        <f t="array" ref="CW151">ROUNDUP((ROW()-$CN$18+(Mes_inicial_de_análisis-1)*N_capas*N_secciones)/(N_capas*N_secciones),0)-12*IF(ROW()-$CN$18&gt;(12-Mes_inicial_de_análisis+1)*N_capas*N_secciones,1,0)</f>
        <v>4</v>
      </c>
      <c r="CX151" cm="1">
        <f t="array" ref="CX151">ROUNDUP((ROW()-$CN$18)/N_capas-(ROUNDUP((ROW()-$CN$18)/(N_capas*N_secciones),0)-1)*N_secciones,0)</f>
        <v>1</v>
      </c>
      <c r="CY151" cm="1">
        <f t="array" ref="CY151">(ROW()-$CN$18)-(COND_INTERSTICIAL[[#This Row],[Sección]]-1)*N_capas-(ROUNDUP((ROW()-$CN$18)/(N_capas*N_secciones),0)-1)*N_capas*N_secciones</f>
        <v>6</v>
      </c>
      <c r="CZ151" t="str">
        <f>COND_INTERSTICIAL[[#This Row],[Mes]]&amp;"-"&amp;COND_INTERSTICIAL[[#This Row],[Sección]]&amp;"-"&amp;COND_INTERSTICIAL[[#This Row],[Capa]]</f>
        <v>4-1-6</v>
      </c>
      <c r="DA151">
        <f ca="1">INDEX(SECCIONES_CAPAS[R''n],MATCH(COND_INTERSTICIAL[[#This Row],[Sección]]&amp;"-"&amp;COND_INTERSTICIAL[[#This Row],[Capa]],SECCIONES_CAPAS[llave],0))</f>
        <v>0.04</v>
      </c>
      <c r="DB151" s="172" t="e" cm="1">
        <f t="array" aca="1" ref="DB151" ca="1">INDEX(CLIMA[ϴe],COND_INTERSTICIAL[[#This Row],[Mes]])+COND_INTERSTICIAL[[#This Row],[Rn]]*(INDEX(CLIMA[ϴi],COND_INTERSTICIAL[[#This Row],[Mes]])-INDEX(CLIMA[ϴe],COND_INTERSTICIAL[[#This Row],[Mes]]))/(INDEX(SECCIONES[Rtsección_condensación],COND_INTERSTICIAL[[#This Row],[Sección]]))</f>
        <v>#N/A</v>
      </c>
      <c r="DC151">
        <f>INDEX(SECCIONES_CAPAS[Sd],MATCH(COND_INTERSTICIAL[[#This Row],[Sección]]&amp;"-"&amp;COND_INTERSTICIAL[[#This Row],[Capa]],SECCIONES_CAPAS[llave],0))</f>
        <v>0</v>
      </c>
      <c r="DD151">
        <f ca="1">INDEX(SECCIONES_CAPAS[S''d],MATCH(COND_INTERSTICIAL[[#This Row],[Sección]]&amp;"-"&amp;COND_INTERSTICIAL[[#This Row],[Capa]],SECCIONES_CAPAS[llave],0))</f>
        <v>0</v>
      </c>
      <c r="DE151" s="90" t="e">
        <f ca="1">IF(COND_INTERSTICIAL[[#This Row],[ϴn]]&gt;=0,610.5*EXP((17.269*COND_INTERSTICIAL[[#This Row],[ϴn]])/(237.3+COND_INTERSTICIAL[[#This Row],[ϴn]])),610.5*EXP((21.875*COND_INTERSTICIAL[[#This Row],[ϴn]])/(265.5+COND_INTERSTICIAL[[#This Row],[ϴn]])))</f>
        <v>#N/A</v>
      </c>
      <c r="DF151" s="90" t="e" cm="1">
        <f t="array" aca="1" ref="DF151" ca="1">COND_INTERSTICIAL[[#This Row],[S''d]]*((INDEX(CLIMA[Pi],COND_INTERSTICIAL[[#This Row],[Mes]])-INDEX(CLIMA[Pe],COND_INTERSTICIAL[[#This Row],[Mes]]))/INDEX(SECCIONES[SdT],COND_INTERSTICIAL[[#This Row],[Sección]]))+INDEX(CLIMA[Pe],COND_INTERSTICIAL[[#This Row],[Mes]])</f>
        <v>#N/A</v>
      </c>
      <c r="DG151" s="108" t="e">
        <f ca="1">IF((COND_INTERSTICIAL[[#This Row],[Pn]]&gt;=COND_INTERSTICIAL[[#This Row],[Psat]]),TRUE,FALSE)</f>
        <v>#N/A</v>
      </c>
      <c r="DH151" s="109" t="e" cm="1">
        <f t="array" aca="1" ref="DH151" ca="1">IF(COND_INTERSTICIAL[[#This Row],[Condensa]],COND_INTERSTICIAL[[#This Row],[Psat]],IF(COND_INTERSTICIAL[[#This Row],[Capa]]=N_capas,COND_INTERSTICIAL[[#This Row],[Pn]],""))</f>
        <v>#N/A</v>
      </c>
      <c r="DI151" s="109" t="e">
        <f ca="1">COND_INTERSTICIAL[[#This Row],[Mes]]&amp;"-"&amp;COND_INTERSTICIAL[[#This Row],[Sección]]&amp;"-"&amp;COND_INTERSTICIAL[[#This Row],[tramo cond]]</f>
        <v>#N/A</v>
      </c>
      <c r="DJ151" t="e" cm="1">
        <f t="array" aca="1" ref="DJ151" ca="1">IF(COND_INTERSTICIAL[[#This Row],[Capa]]=1,IF(COND_INTERSTICIAL[[#This Row],[Condensa]],2,1),IF(COND_INTERSTICIAL[[#This Row],[Condensa]],1,0)+INDIRECT(ADDRESS(ROW()-1,COLUMN(),4)))</f>
        <v>#N/A</v>
      </c>
      <c r="DK151" s="108" t="e" cm="1">
        <f t="array" aca="1" ref="DK151" ca="1">IF(COND_INTERSTICIAL[[#This Row],[tramo cond]]=1,0,IF((COND_INTERSTICIAL[[#This Row],[tramo cond]]&gt;INDIRECT(ADDRESS(ROW()-1,COLUMN(COND_INTERSTICIAL[[#This Row],[tramo cond]]),4)))+COND_INTERSTICIAL[[#This Row],[Condensa]],COND_INTERSTICIAL[[#This Row],[Capa]],INDIRECT(ADDRESS(ROW()-1,COLUMN(),4))))</f>
        <v>#N/A</v>
      </c>
      <c r="DL151" s="108" t="e" cm="1">
        <f t="array" aca="1" ref="DL151" ca="1">IF((COND_INTERSTICIAL[[#This Row],[Capa]]=N_capas)+(COND_INTERSTICIAL[[#This Row],[tramo cond]]=COUNTIFS(COND_INTERSTICIAL[Condensa],TRUE,COND_INTERSTICIAL[Mes],CW151,COND_INTERSTICIAL[Sección],CX151)+1),N_capas,INDEX(COND_INTERSTICIAL[capa lím inf cond],MATCH(COND_INTERSTICIAL[[#This Row],[Mes]]&amp;"-"&amp;COND_INTERSTICIAL[[#This Row],[Sección]]&amp;"-"&amp;(COND_INTERSTICIAL[[#This Row],[tramo cond]]+1),COND_INTERSTICIAL[llave tramo cond],0)))</f>
        <v>#N/A</v>
      </c>
      <c r="DM151" s="108" cm="1">
        <f t="array" aca="1" ref="DM15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1" s="110" t="e" cm="1">
        <f t="array" aca="1" ref="DN15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1" s="107" t="e">
        <f ca="1">COND_INTERSTICIAL[[#This Row],[gc]]+COND_INTERSTICIAL[[#This Row],[Ma_anterior cond]]</f>
        <v>#N/A</v>
      </c>
      <c r="DQ151" s="113" t="e">
        <f ca="1">IF((COND_INTERSTICIAL[[#This Row],[Ma_anterior cond]]&gt;0)*NOT(COND_INTERSTICIAL[[#This Row],[Condensa]]),TRUE,FALSE)</f>
        <v>#N/A</v>
      </c>
      <c r="DR151" s="112" t="e" cm="1">
        <f t="array" aca="1" ref="DR151" ca="1">IF(COND_INTERSTICIAL[[#This Row],[evapora]],COND_INTERSTICIAL[[#This Row],[Psat]],IF(COND_INTERSTICIAL[[#This Row],[Capa]]=N_capas,COND_INTERSTICIAL[[#This Row],[Pn]],""))</f>
        <v>#N/A</v>
      </c>
      <c r="DS151" s="112" t="e">
        <f ca="1">COND_INTERSTICIAL[[#This Row],[Mes]]&amp;"-"&amp;COND_INTERSTICIAL[[#This Row],[Sección]]&amp;"-"&amp;COND_INTERSTICIAL[[#This Row],[tramo ev]]</f>
        <v>#N/A</v>
      </c>
      <c r="DT151" s="111" t="e" cm="1">
        <f t="array" aca="1" ref="DT151" ca="1">IF(COND_INTERSTICIAL[[#This Row],[Capa]]=1,IF(COND_INTERSTICIAL[[#This Row],[evapora]],2,1),IF(COND_INTERSTICIAL[[#This Row],[evapora]],1,0)+INDIRECT(ADDRESS(ROW()-1,COLUMN(),4)))</f>
        <v>#N/A</v>
      </c>
      <c r="DU151" s="111" t="e" cm="1">
        <f t="array" aca="1" ref="DU151" ca="1">IF(COND_INTERSTICIAL[[#This Row],[tramo ev]]=1,0,IF((COND_INTERSTICIAL[[#This Row],[tramo ev]]&gt;INDIRECT(ADDRESS(ROW()-1,COLUMN(COND_INTERSTICIAL[[#This Row],[tramo ev]]),4)))+COND_INTERSTICIAL[[#This Row],[evapora]],COND_INTERSTICIAL[[#This Row],[Capa]],INDIRECT(ADDRESS(ROW()-1,COLUMN(),4))))</f>
        <v>#N/A</v>
      </c>
      <c r="DV151" s="111" t="e" cm="1">
        <f t="array" aca="1" ref="DV151" ca="1">IF((COND_INTERSTICIAL[[#This Row],[Capa]]=N_capas)+(COND_INTERSTICIAL[[#This Row],[tramo ev]]=COUNTIFS(COND_INTERSTICIAL[evapora],TRUE,COND_INTERSTICIAL[Mes],CW151,COND_INTERSTICIAL[Sección],CX151)+1),N_capas,INDEX(COND_INTERSTICIAL[capa lím inf ev],MATCH(COND_INTERSTICIAL[[#This Row],[Mes]]&amp;"-"&amp;COND_INTERSTICIAL[[#This Row],[Sección]]&amp;"-"&amp;(COND_INTERSTICIAL[[#This Row],[tramo ev]]+1),COND_INTERSTICIAL[llave tramo ev],0)))</f>
        <v>#N/A</v>
      </c>
      <c r="DW151" s="111" cm="1">
        <f t="array" aca="1" ref="DW15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1" s="113" t="e" cm="1">
        <f t="array" aca="1" ref="DX15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1" s="113" t="e">
        <f ca="1">COND_INTERSTICIAL[[#This Row],[gev]]+COND_INTERSTICIAL[[#This Row],[Ma anterior ev]]</f>
        <v>#N/A</v>
      </c>
      <c r="EA151" s="115" t="e">
        <f ca="1">IF(COND_INTERSTICIAL[[#This Row],[Ma cond]]+COND_INTERSTICIAL[[#This Row],[Ma ev]]&lt;=0,0,COND_INTERSTICIAL[[#This Row],[Ma cond]]+COND_INTERSTICIAL[[#This Row],[Ma ev]])</f>
        <v>#N/A</v>
      </c>
      <c r="EB151" s="115" t="e">
        <f ca="1">IF(COND_INTERSTICIAL[[#This Row],[Ma]]&gt;0,TRUE,FALSE)</f>
        <v>#N/A</v>
      </c>
      <c r="EC151" s="115" t="e" cm="1">
        <f t="array" aca="1" ref="EC151" ca="1">IF(COND_INTERSTICIAL[[#This Row],[agua líquida]],IF(COND_INTERSTICIAL[[#This Row],[Condensa]],COND_INTERSTICIAL[[#This Row],[P límite cond]],COND_INTERSTICIAL[[#This Row],[P límite ev]]),IF(COND_INTERSTICIAL[[#This Row],[Capa]]=N_capas,COND_INTERSTICIAL[[#This Row],[Pn]],""))</f>
        <v>#N/A</v>
      </c>
      <c r="ED151" s="115" t="e">
        <f ca="1">COND_INTERSTICIAL[[#This Row],[Mes]]&amp;"-"&amp;COND_INTERSTICIAL[[#This Row],[Sección]]&amp;"-"&amp;COND_INTERSTICIAL[[#This Row],[tramo gráf]]</f>
        <v>#N/A</v>
      </c>
      <c r="EE151" s="114" t="e" cm="1">
        <f t="array" aca="1" ref="EE151" ca="1">IF(COND_INTERSTICIAL[[#This Row],[Capa]]=1,IF(COND_INTERSTICIAL[[#This Row],[agua líquida]],2,1),IF(COND_INTERSTICIAL[[#This Row],[agua líquida]],1,0)+INDIRECT(ADDRESS(ROW()-1,COLUMN(),4)))</f>
        <v>#N/A</v>
      </c>
      <c r="EF151" s="114" t="e" cm="1">
        <f t="array" aca="1" ref="EF151" ca="1">IF(COND_INTERSTICIAL[[#This Row],[tramo gráf]]=1,0,IF((COND_INTERSTICIAL[[#This Row],[tramo gráf]]&gt;INDIRECT(ADDRESS(ROW()-1,COLUMN(COND_INTERSTICIAL[[#This Row],[tramo gráf]]),4)))+COND_INTERSTICIAL[[#This Row],[agua líquida]],COND_INTERSTICIAL[[#This Row],[Capa]],INDIRECT(ADDRESS(ROW()-1,COLUMN(),4))))</f>
        <v>#N/A</v>
      </c>
      <c r="EG151" s="114" t="e" cm="1">
        <f t="array" aca="1" ref="EG151" ca="1">IF((COND_INTERSTICIAL[[#This Row],[Capa]]=N_capas)+(COND_INTERSTICIAL[[#This Row],[tramo gráf]]=COUNTIFS(COND_INTERSTICIAL[agua líquida],TRUE,COND_INTERSTICIAL[Mes],CW151,COND_INTERSTICIAL[Sección],CX151)+1),N_capas,INDEX(COND_INTERSTICIAL[capa lím inf gráf],MATCH(COND_INTERSTICIAL[[#This Row],[Mes]]&amp;"-"&amp;COND_INTERSTICIAL[[#This Row],[Sección]]&amp;"-"&amp;(COND_INTERSTICIAL[[#This Row],[tramo gráf]]+1),COND_INTERSTICIAL[llave tramo gráf],0)))</f>
        <v>#N/A</v>
      </c>
      <c r="EH151" s="114" cm="1">
        <f t="array" aca="1" ref="EH15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1" s="116" t="e" cm="1">
        <f t="array" aca="1" ref="EI15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2" spans="101:139" x14ac:dyDescent="0.45">
      <c r="CW152" s="1" cm="1">
        <f t="array" ref="CW152">ROUNDUP((ROW()-$CN$18+(Mes_inicial_de_análisis-1)*N_capas*N_secciones)/(N_capas*N_secciones),0)-12*IF(ROW()-$CN$18&gt;(12-Mes_inicial_de_análisis+1)*N_capas*N_secciones,1,0)</f>
        <v>4</v>
      </c>
      <c r="CX152" cm="1">
        <f t="array" ref="CX152">ROUNDUP((ROW()-$CN$18)/N_capas-(ROUNDUP((ROW()-$CN$18)/(N_capas*N_secciones),0)-1)*N_secciones,0)</f>
        <v>1</v>
      </c>
      <c r="CY152" cm="1">
        <f t="array" ref="CY152">(ROW()-$CN$18)-(COND_INTERSTICIAL[[#This Row],[Sección]]-1)*N_capas-(ROUNDUP((ROW()-$CN$18)/(N_capas*N_secciones),0)-1)*N_capas*N_secciones</f>
        <v>7</v>
      </c>
      <c r="CZ152" t="str">
        <f>COND_INTERSTICIAL[[#This Row],[Mes]]&amp;"-"&amp;COND_INTERSTICIAL[[#This Row],[Sección]]&amp;"-"&amp;COND_INTERSTICIAL[[#This Row],[Capa]]</f>
        <v>4-1-7</v>
      </c>
      <c r="DA152">
        <f ca="1">INDEX(SECCIONES_CAPAS[R''n],MATCH(COND_INTERSTICIAL[[#This Row],[Sección]]&amp;"-"&amp;COND_INTERSTICIAL[[#This Row],[Capa]],SECCIONES_CAPAS[llave],0))</f>
        <v>0.04</v>
      </c>
      <c r="DB152" s="172" t="e" cm="1">
        <f t="array" aca="1" ref="DB152" ca="1">INDEX(CLIMA[ϴe],COND_INTERSTICIAL[[#This Row],[Mes]])+COND_INTERSTICIAL[[#This Row],[Rn]]*(INDEX(CLIMA[ϴi],COND_INTERSTICIAL[[#This Row],[Mes]])-INDEX(CLIMA[ϴe],COND_INTERSTICIAL[[#This Row],[Mes]]))/(INDEX(SECCIONES[Rtsección_condensación],COND_INTERSTICIAL[[#This Row],[Sección]]))</f>
        <v>#N/A</v>
      </c>
      <c r="DC152">
        <f>INDEX(SECCIONES_CAPAS[Sd],MATCH(COND_INTERSTICIAL[[#This Row],[Sección]]&amp;"-"&amp;COND_INTERSTICIAL[[#This Row],[Capa]],SECCIONES_CAPAS[llave],0))</f>
        <v>0</v>
      </c>
      <c r="DD152">
        <f ca="1">INDEX(SECCIONES_CAPAS[S''d],MATCH(COND_INTERSTICIAL[[#This Row],[Sección]]&amp;"-"&amp;COND_INTERSTICIAL[[#This Row],[Capa]],SECCIONES_CAPAS[llave],0))</f>
        <v>0</v>
      </c>
      <c r="DE152" s="90" t="e">
        <f ca="1">IF(COND_INTERSTICIAL[[#This Row],[ϴn]]&gt;=0,610.5*EXP((17.269*COND_INTERSTICIAL[[#This Row],[ϴn]])/(237.3+COND_INTERSTICIAL[[#This Row],[ϴn]])),610.5*EXP((21.875*COND_INTERSTICIAL[[#This Row],[ϴn]])/(265.5+COND_INTERSTICIAL[[#This Row],[ϴn]])))</f>
        <v>#N/A</v>
      </c>
      <c r="DF152" s="90" t="e" cm="1">
        <f t="array" aca="1" ref="DF152" ca="1">COND_INTERSTICIAL[[#This Row],[S''d]]*((INDEX(CLIMA[Pi],COND_INTERSTICIAL[[#This Row],[Mes]])-INDEX(CLIMA[Pe],COND_INTERSTICIAL[[#This Row],[Mes]]))/INDEX(SECCIONES[SdT],COND_INTERSTICIAL[[#This Row],[Sección]]))+INDEX(CLIMA[Pe],COND_INTERSTICIAL[[#This Row],[Mes]])</f>
        <v>#N/A</v>
      </c>
      <c r="DG152" s="108" t="e">
        <f ca="1">IF((COND_INTERSTICIAL[[#This Row],[Pn]]&gt;=COND_INTERSTICIAL[[#This Row],[Psat]]),TRUE,FALSE)</f>
        <v>#N/A</v>
      </c>
      <c r="DH152" s="109" t="e" cm="1">
        <f t="array" aca="1" ref="DH152" ca="1">IF(COND_INTERSTICIAL[[#This Row],[Condensa]],COND_INTERSTICIAL[[#This Row],[Psat]],IF(COND_INTERSTICIAL[[#This Row],[Capa]]=N_capas,COND_INTERSTICIAL[[#This Row],[Pn]],""))</f>
        <v>#N/A</v>
      </c>
      <c r="DI152" s="109" t="e">
        <f ca="1">COND_INTERSTICIAL[[#This Row],[Mes]]&amp;"-"&amp;COND_INTERSTICIAL[[#This Row],[Sección]]&amp;"-"&amp;COND_INTERSTICIAL[[#This Row],[tramo cond]]</f>
        <v>#N/A</v>
      </c>
      <c r="DJ152" t="e" cm="1">
        <f t="array" aca="1" ref="DJ152" ca="1">IF(COND_INTERSTICIAL[[#This Row],[Capa]]=1,IF(COND_INTERSTICIAL[[#This Row],[Condensa]],2,1),IF(COND_INTERSTICIAL[[#This Row],[Condensa]],1,0)+INDIRECT(ADDRESS(ROW()-1,COLUMN(),4)))</f>
        <v>#N/A</v>
      </c>
      <c r="DK152" s="108" t="e" cm="1">
        <f t="array" aca="1" ref="DK152" ca="1">IF(COND_INTERSTICIAL[[#This Row],[tramo cond]]=1,0,IF((COND_INTERSTICIAL[[#This Row],[tramo cond]]&gt;INDIRECT(ADDRESS(ROW()-1,COLUMN(COND_INTERSTICIAL[[#This Row],[tramo cond]]),4)))+COND_INTERSTICIAL[[#This Row],[Condensa]],COND_INTERSTICIAL[[#This Row],[Capa]],INDIRECT(ADDRESS(ROW()-1,COLUMN(),4))))</f>
        <v>#N/A</v>
      </c>
      <c r="DL152" s="108" t="e" cm="1">
        <f t="array" aca="1" ref="DL152" ca="1">IF((COND_INTERSTICIAL[[#This Row],[Capa]]=N_capas)+(COND_INTERSTICIAL[[#This Row],[tramo cond]]=COUNTIFS(COND_INTERSTICIAL[Condensa],TRUE,COND_INTERSTICIAL[Mes],CW152,COND_INTERSTICIAL[Sección],CX152)+1),N_capas,INDEX(COND_INTERSTICIAL[capa lím inf cond],MATCH(COND_INTERSTICIAL[[#This Row],[Mes]]&amp;"-"&amp;COND_INTERSTICIAL[[#This Row],[Sección]]&amp;"-"&amp;(COND_INTERSTICIAL[[#This Row],[tramo cond]]+1),COND_INTERSTICIAL[llave tramo cond],0)))</f>
        <v>#N/A</v>
      </c>
      <c r="DM152" s="108" cm="1">
        <f t="array" aca="1" ref="DM15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2" s="110" t="e" cm="1">
        <f t="array" aca="1" ref="DN15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2" s="107" t="e">
        <f ca="1">COND_INTERSTICIAL[[#This Row],[gc]]+COND_INTERSTICIAL[[#This Row],[Ma_anterior cond]]</f>
        <v>#N/A</v>
      </c>
      <c r="DQ152" s="113" t="e">
        <f ca="1">IF((COND_INTERSTICIAL[[#This Row],[Ma_anterior cond]]&gt;0)*NOT(COND_INTERSTICIAL[[#This Row],[Condensa]]),TRUE,FALSE)</f>
        <v>#N/A</v>
      </c>
      <c r="DR152" s="112" t="e" cm="1">
        <f t="array" aca="1" ref="DR152" ca="1">IF(COND_INTERSTICIAL[[#This Row],[evapora]],COND_INTERSTICIAL[[#This Row],[Psat]],IF(COND_INTERSTICIAL[[#This Row],[Capa]]=N_capas,COND_INTERSTICIAL[[#This Row],[Pn]],""))</f>
        <v>#N/A</v>
      </c>
      <c r="DS152" s="112" t="e">
        <f ca="1">COND_INTERSTICIAL[[#This Row],[Mes]]&amp;"-"&amp;COND_INTERSTICIAL[[#This Row],[Sección]]&amp;"-"&amp;COND_INTERSTICIAL[[#This Row],[tramo ev]]</f>
        <v>#N/A</v>
      </c>
      <c r="DT152" s="111" t="e" cm="1">
        <f t="array" aca="1" ref="DT152" ca="1">IF(COND_INTERSTICIAL[[#This Row],[Capa]]=1,IF(COND_INTERSTICIAL[[#This Row],[evapora]],2,1),IF(COND_INTERSTICIAL[[#This Row],[evapora]],1,0)+INDIRECT(ADDRESS(ROW()-1,COLUMN(),4)))</f>
        <v>#N/A</v>
      </c>
      <c r="DU152" s="111" t="e" cm="1">
        <f t="array" aca="1" ref="DU152" ca="1">IF(COND_INTERSTICIAL[[#This Row],[tramo ev]]=1,0,IF((COND_INTERSTICIAL[[#This Row],[tramo ev]]&gt;INDIRECT(ADDRESS(ROW()-1,COLUMN(COND_INTERSTICIAL[[#This Row],[tramo ev]]),4)))+COND_INTERSTICIAL[[#This Row],[evapora]],COND_INTERSTICIAL[[#This Row],[Capa]],INDIRECT(ADDRESS(ROW()-1,COLUMN(),4))))</f>
        <v>#N/A</v>
      </c>
      <c r="DV152" s="111" t="e" cm="1">
        <f t="array" aca="1" ref="DV152" ca="1">IF((COND_INTERSTICIAL[[#This Row],[Capa]]=N_capas)+(COND_INTERSTICIAL[[#This Row],[tramo ev]]=COUNTIFS(COND_INTERSTICIAL[evapora],TRUE,COND_INTERSTICIAL[Mes],CW152,COND_INTERSTICIAL[Sección],CX152)+1),N_capas,INDEX(COND_INTERSTICIAL[capa lím inf ev],MATCH(COND_INTERSTICIAL[[#This Row],[Mes]]&amp;"-"&amp;COND_INTERSTICIAL[[#This Row],[Sección]]&amp;"-"&amp;(COND_INTERSTICIAL[[#This Row],[tramo ev]]+1),COND_INTERSTICIAL[llave tramo ev],0)))</f>
        <v>#N/A</v>
      </c>
      <c r="DW152" s="111" cm="1">
        <f t="array" aca="1" ref="DW15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2" s="113" t="e" cm="1">
        <f t="array" aca="1" ref="DX15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2" s="113" t="e">
        <f ca="1">COND_INTERSTICIAL[[#This Row],[gev]]+COND_INTERSTICIAL[[#This Row],[Ma anterior ev]]</f>
        <v>#N/A</v>
      </c>
      <c r="EA152" s="115" t="e">
        <f ca="1">IF(COND_INTERSTICIAL[[#This Row],[Ma cond]]+COND_INTERSTICIAL[[#This Row],[Ma ev]]&lt;=0,0,COND_INTERSTICIAL[[#This Row],[Ma cond]]+COND_INTERSTICIAL[[#This Row],[Ma ev]])</f>
        <v>#N/A</v>
      </c>
      <c r="EB152" s="115" t="e">
        <f ca="1">IF(COND_INTERSTICIAL[[#This Row],[Ma]]&gt;0,TRUE,FALSE)</f>
        <v>#N/A</v>
      </c>
      <c r="EC152" s="115" t="e" cm="1">
        <f t="array" aca="1" ref="EC152" ca="1">IF(COND_INTERSTICIAL[[#This Row],[agua líquida]],IF(COND_INTERSTICIAL[[#This Row],[Condensa]],COND_INTERSTICIAL[[#This Row],[P límite cond]],COND_INTERSTICIAL[[#This Row],[P límite ev]]),IF(COND_INTERSTICIAL[[#This Row],[Capa]]=N_capas,COND_INTERSTICIAL[[#This Row],[Pn]],""))</f>
        <v>#N/A</v>
      </c>
      <c r="ED152" s="115" t="e">
        <f ca="1">COND_INTERSTICIAL[[#This Row],[Mes]]&amp;"-"&amp;COND_INTERSTICIAL[[#This Row],[Sección]]&amp;"-"&amp;COND_INTERSTICIAL[[#This Row],[tramo gráf]]</f>
        <v>#N/A</v>
      </c>
      <c r="EE152" s="114" t="e" cm="1">
        <f t="array" aca="1" ref="EE152" ca="1">IF(COND_INTERSTICIAL[[#This Row],[Capa]]=1,IF(COND_INTERSTICIAL[[#This Row],[agua líquida]],2,1),IF(COND_INTERSTICIAL[[#This Row],[agua líquida]],1,0)+INDIRECT(ADDRESS(ROW()-1,COLUMN(),4)))</f>
        <v>#N/A</v>
      </c>
      <c r="EF152" s="114" t="e" cm="1">
        <f t="array" aca="1" ref="EF152" ca="1">IF(COND_INTERSTICIAL[[#This Row],[tramo gráf]]=1,0,IF((COND_INTERSTICIAL[[#This Row],[tramo gráf]]&gt;INDIRECT(ADDRESS(ROW()-1,COLUMN(COND_INTERSTICIAL[[#This Row],[tramo gráf]]),4)))+COND_INTERSTICIAL[[#This Row],[agua líquida]],COND_INTERSTICIAL[[#This Row],[Capa]],INDIRECT(ADDRESS(ROW()-1,COLUMN(),4))))</f>
        <v>#N/A</v>
      </c>
      <c r="EG152" s="114" t="e" cm="1">
        <f t="array" aca="1" ref="EG152" ca="1">IF((COND_INTERSTICIAL[[#This Row],[Capa]]=N_capas)+(COND_INTERSTICIAL[[#This Row],[tramo gráf]]=COUNTIFS(COND_INTERSTICIAL[agua líquida],TRUE,COND_INTERSTICIAL[Mes],CW152,COND_INTERSTICIAL[Sección],CX152)+1),N_capas,INDEX(COND_INTERSTICIAL[capa lím inf gráf],MATCH(COND_INTERSTICIAL[[#This Row],[Mes]]&amp;"-"&amp;COND_INTERSTICIAL[[#This Row],[Sección]]&amp;"-"&amp;(COND_INTERSTICIAL[[#This Row],[tramo gráf]]+1),COND_INTERSTICIAL[llave tramo gráf],0)))</f>
        <v>#N/A</v>
      </c>
      <c r="EH152" s="114" cm="1">
        <f t="array" aca="1" ref="EH15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2" s="116" t="e" cm="1">
        <f t="array" aca="1" ref="EI15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3" spans="101:139" x14ac:dyDescent="0.45">
      <c r="CW153" s="1" cm="1">
        <f t="array" ref="CW153">ROUNDUP((ROW()-$CN$18+(Mes_inicial_de_análisis-1)*N_capas*N_secciones)/(N_capas*N_secciones),0)-12*IF(ROW()-$CN$18&gt;(12-Mes_inicial_de_análisis+1)*N_capas*N_secciones,1,0)</f>
        <v>4</v>
      </c>
      <c r="CX153" cm="1">
        <f t="array" ref="CX153">ROUNDUP((ROW()-$CN$18)/N_capas-(ROUNDUP((ROW()-$CN$18)/(N_capas*N_secciones),0)-1)*N_secciones,0)</f>
        <v>2</v>
      </c>
      <c r="CY153" cm="1">
        <f t="array" ref="CY153">(ROW()-$CN$18)-(COND_INTERSTICIAL[[#This Row],[Sección]]-1)*N_capas-(ROUNDUP((ROW()-$CN$18)/(N_capas*N_secciones),0)-1)*N_capas*N_secciones</f>
        <v>1</v>
      </c>
      <c r="CZ153" t="str">
        <f>COND_INTERSTICIAL[[#This Row],[Mes]]&amp;"-"&amp;COND_INTERSTICIAL[[#This Row],[Sección]]&amp;"-"&amp;COND_INTERSTICIAL[[#This Row],[Capa]]</f>
        <v>4-2-1</v>
      </c>
      <c r="DA153">
        <f ca="1">INDEX(SECCIONES_CAPAS[R''n],MATCH(COND_INTERSTICIAL[[#This Row],[Sección]]&amp;"-"&amp;COND_INTERSTICIAL[[#This Row],[Capa]],SECCIONES_CAPAS[llave],0))</f>
        <v>0.04</v>
      </c>
      <c r="DB153" s="172" t="e" cm="1">
        <f t="array" aca="1" ref="DB153" ca="1">INDEX(CLIMA[ϴe],COND_INTERSTICIAL[[#This Row],[Mes]])+COND_INTERSTICIAL[[#This Row],[Rn]]*(INDEX(CLIMA[ϴi],COND_INTERSTICIAL[[#This Row],[Mes]])-INDEX(CLIMA[ϴe],COND_INTERSTICIAL[[#This Row],[Mes]]))/(INDEX(SECCIONES[Rtsección_condensación],COND_INTERSTICIAL[[#This Row],[Sección]]))</f>
        <v>#N/A</v>
      </c>
      <c r="DC153">
        <f>INDEX(SECCIONES_CAPAS[Sd],MATCH(COND_INTERSTICIAL[[#This Row],[Sección]]&amp;"-"&amp;COND_INTERSTICIAL[[#This Row],[Capa]],SECCIONES_CAPAS[llave],0))</f>
        <v>0</v>
      </c>
      <c r="DD153">
        <f ca="1">INDEX(SECCIONES_CAPAS[S''d],MATCH(COND_INTERSTICIAL[[#This Row],[Sección]]&amp;"-"&amp;COND_INTERSTICIAL[[#This Row],[Capa]],SECCIONES_CAPAS[llave],0))</f>
        <v>0</v>
      </c>
      <c r="DE153" s="90" t="e">
        <f ca="1">IF(COND_INTERSTICIAL[[#This Row],[ϴn]]&gt;=0,610.5*EXP((17.269*COND_INTERSTICIAL[[#This Row],[ϴn]])/(237.3+COND_INTERSTICIAL[[#This Row],[ϴn]])),610.5*EXP((21.875*COND_INTERSTICIAL[[#This Row],[ϴn]])/(265.5+COND_INTERSTICIAL[[#This Row],[ϴn]])))</f>
        <v>#N/A</v>
      </c>
      <c r="DF153" s="90" t="e" cm="1">
        <f t="array" aca="1" ref="DF153" ca="1">COND_INTERSTICIAL[[#This Row],[S''d]]*((INDEX(CLIMA[Pi],COND_INTERSTICIAL[[#This Row],[Mes]])-INDEX(CLIMA[Pe],COND_INTERSTICIAL[[#This Row],[Mes]]))/INDEX(SECCIONES[SdT],COND_INTERSTICIAL[[#This Row],[Sección]]))+INDEX(CLIMA[Pe],COND_INTERSTICIAL[[#This Row],[Mes]])</f>
        <v>#N/A</v>
      </c>
      <c r="DG153" s="108" t="e">
        <f ca="1">IF((COND_INTERSTICIAL[[#This Row],[Pn]]&gt;=COND_INTERSTICIAL[[#This Row],[Psat]]),TRUE,FALSE)</f>
        <v>#N/A</v>
      </c>
      <c r="DH153" s="109" t="e" cm="1">
        <f t="array" aca="1" ref="DH153" ca="1">IF(COND_INTERSTICIAL[[#This Row],[Condensa]],COND_INTERSTICIAL[[#This Row],[Psat]],IF(COND_INTERSTICIAL[[#This Row],[Capa]]=N_capas,COND_INTERSTICIAL[[#This Row],[Pn]],""))</f>
        <v>#N/A</v>
      </c>
      <c r="DI153" s="109" t="e">
        <f ca="1">COND_INTERSTICIAL[[#This Row],[Mes]]&amp;"-"&amp;COND_INTERSTICIAL[[#This Row],[Sección]]&amp;"-"&amp;COND_INTERSTICIAL[[#This Row],[tramo cond]]</f>
        <v>#N/A</v>
      </c>
      <c r="DJ153" t="e" cm="1">
        <f t="array" aca="1" ref="DJ153" ca="1">IF(COND_INTERSTICIAL[[#This Row],[Capa]]=1,IF(COND_INTERSTICIAL[[#This Row],[Condensa]],2,1),IF(COND_INTERSTICIAL[[#This Row],[Condensa]],1,0)+INDIRECT(ADDRESS(ROW()-1,COLUMN(),4)))</f>
        <v>#N/A</v>
      </c>
      <c r="DK153" s="108" t="e" cm="1">
        <f t="array" aca="1" ref="DK153" ca="1">IF(COND_INTERSTICIAL[[#This Row],[tramo cond]]=1,0,IF((COND_INTERSTICIAL[[#This Row],[tramo cond]]&gt;INDIRECT(ADDRESS(ROW()-1,COLUMN(COND_INTERSTICIAL[[#This Row],[tramo cond]]),4)))+COND_INTERSTICIAL[[#This Row],[Condensa]],COND_INTERSTICIAL[[#This Row],[Capa]],INDIRECT(ADDRESS(ROW()-1,COLUMN(),4))))</f>
        <v>#N/A</v>
      </c>
      <c r="DL153" s="108" t="e" cm="1">
        <f t="array" aca="1" ref="DL153" ca="1">IF((COND_INTERSTICIAL[[#This Row],[Capa]]=N_capas)+(COND_INTERSTICIAL[[#This Row],[tramo cond]]=COUNTIFS(COND_INTERSTICIAL[Condensa],TRUE,COND_INTERSTICIAL[Mes],CW153,COND_INTERSTICIAL[Sección],CX153)+1),N_capas,INDEX(COND_INTERSTICIAL[capa lím inf cond],MATCH(COND_INTERSTICIAL[[#This Row],[Mes]]&amp;"-"&amp;COND_INTERSTICIAL[[#This Row],[Sección]]&amp;"-"&amp;(COND_INTERSTICIAL[[#This Row],[tramo cond]]+1),COND_INTERSTICIAL[llave tramo cond],0)))</f>
        <v>#N/A</v>
      </c>
      <c r="DM153" s="108" cm="1">
        <f t="array" aca="1" ref="DM15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3" s="110" t="e" cm="1">
        <f t="array" aca="1" ref="DN15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3" s="107" t="e">
        <f ca="1">COND_INTERSTICIAL[[#This Row],[gc]]+COND_INTERSTICIAL[[#This Row],[Ma_anterior cond]]</f>
        <v>#N/A</v>
      </c>
      <c r="DQ153" s="113" t="e">
        <f ca="1">IF((COND_INTERSTICIAL[[#This Row],[Ma_anterior cond]]&gt;0)*NOT(COND_INTERSTICIAL[[#This Row],[Condensa]]),TRUE,FALSE)</f>
        <v>#N/A</v>
      </c>
      <c r="DR153" s="112" t="e" cm="1">
        <f t="array" aca="1" ref="DR153" ca="1">IF(COND_INTERSTICIAL[[#This Row],[evapora]],COND_INTERSTICIAL[[#This Row],[Psat]],IF(COND_INTERSTICIAL[[#This Row],[Capa]]=N_capas,COND_INTERSTICIAL[[#This Row],[Pn]],""))</f>
        <v>#N/A</v>
      </c>
      <c r="DS153" s="112" t="e">
        <f ca="1">COND_INTERSTICIAL[[#This Row],[Mes]]&amp;"-"&amp;COND_INTERSTICIAL[[#This Row],[Sección]]&amp;"-"&amp;COND_INTERSTICIAL[[#This Row],[tramo ev]]</f>
        <v>#N/A</v>
      </c>
      <c r="DT153" s="111" t="e" cm="1">
        <f t="array" aca="1" ref="DT153" ca="1">IF(COND_INTERSTICIAL[[#This Row],[Capa]]=1,IF(COND_INTERSTICIAL[[#This Row],[evapora]],2,1),IF(COND_INTERSTICIAL[[#This Row],[evapora]],1,0)+INDIRECT(ADDRESS(ROW()-1,COLUMN(),4)))</f>
        <v>#N/A</v>
      </c>
      <c r="DU153" s="111" t="e" cm="1">
        <f t="array" aca="1" ref="DU153" ca="1">IF(COND_INTERSTICIAL[[#This Row],[tramo ev]]=1,0,IF((COND_INTERSTICIAL[[#This Row],[tramo ev]]&gt;INDIRECT(ADDRESS(ROW()-1,COLUMN(COND_INTERSTICIAL[[#This Row],[tramo ev]]),4)))+COND_INTERSTICIAL[[#This Row],[evapora]],COND_INTERSTICIAL[[#This Row],[Capa]],INDIRECT(ADDRESS(ROW()-1,COLUMN(),4))))</f>
        <v>#N/A</v>
      </c>
      <c r="DV153" s="111" t="e" cm="1">
        <f t="array" aca="1" ref="DV153" ca="1">IF((COND_INTERSTICIAL[[#This Row],[Capa]]=N_capas)+(COND_INTERSTICIAL[[#This Row],[tramo ev]]=COUNTIFS(COND_INTERSTICIAL[evapora],TRUE,COND_INTERSTICIAL[Mes],CW153,COND_INTERSTICIAL[Sección],CX153)+1),N_capas,INDEX(COND_INTERSTICIAL[capa lím inf ev],MATCH(COND_INTERSTICIAL[[#This Row],[Mes]]&amp;"-"&amp;COND_INTERSTICIAL[[#This Row],[Sección]]&amp;"-"&amp;(COND_INTERSTICIAL[[#This Row],[tramo ev]]+1),COND_INTERSTICIAL[llave tramo ev],0)))</f>
        <v>#N/A</v>
      </c>
      <c r="DW153" s="111" cm="1">
        <f t="array" aca="1" ref="DW15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3" s="113" t="e" cm="1">
        <f t="array" aca="1" ref="DX15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3" s="113" t="e">
        <f ca="1">COND_INTERSTICIAL[[#This Row],[gev]]+COND_INTERSTICIAL[[#This Row],[Ma anterior ev]]</f>
        <v>#N/A</v>
      </c>
      <c r="EA153" s="115" t="e">
        <f ca="1">IF(COND_INTERSTICIAL[[#This Row],[Ma cond]]+COND_INTERSTICIAL[[#This Row],[Ma ev]]&lt;=0,0,COND_INTERSTICIAL[[#This Row],[Ma cond]]+COND_INTERSTICIAL[[#This Row],[Ma ev]])</f>
        <v>#N/A</v>
      </c>
      <c r="EB153" s="115" t="e">
        <f ca="1">IF(COND_INTERSTICIAL[[#This Row],[Ma]]&gt;0,TRUE,FALSE)</f>
        <v>#N/A</v>
      </c>
      <c r="EC153" s="115" t="e" cm="1">
        <f t="array" aca="1" ref="EC153" ca="1">IF(COND_INTERSTICIAL[[#This Row],[agua líquida]],IF(COND_INTERSTICIAL[[#This Row],[Condensa]],COND_INTERSTICIAL[[#This Row],[P límite cond]],COND_INTERSTICIAL[[#This Row],[P límite ev]]),IF(COND_INTERSTICIAL[[#This Row],[Capa]]=N_capas,COND_INTERSTICIAL[[#This Row],[Pn]],""))</f>
        <v>#N/A</v>
      </c>
      <c r="ED153" s="115" t="e">
        <f ca="1">COND_INTERSTICIAL[[#This Row],[Mes]]&amp;"-"&amp;COND_INTERSTICIAL[[#This Row],[Sección]]&amp;"-"&amp;COND_INTERSTICIAL[[#This Row],[tramo gráf]]</f>
        <v>#N/A</v>
      </c>
      <c r="EE153" s="114" t="e" cm="1">
        <f t="array" aca="1" ref="EE153" ca="1">IF(COND_INTERSTICIAL[[#This Row],[Capa]]=1,IF(COND_INTERSTICIAL[[#This Row],[agua líquida]],2,1),IF(COND_INTERSTICIAL[[#This Row],[agua líquida]],1,0)+INDIRECT(ADDRESS(ROW()-1,COLUMN(),4)))</f>
        <v>#N/A</v>
      </c>
      <c r="EF153" s="114" t="e" cm="1">
        <f t="array" aca="1" ref="EF153" ca="1">IF(COND_INTERSTICIAL[[#This Row],[tramo gráf]]=1,0,IF((COND_INTERSTICIAL[[#This Row],[tramo gráf]]&gt;INDIRECT(ADDRESS(ROW()-1,COLUMN(COND_INTERSTICIAL[[#This Row],[tramo gráf]]),4)))+COND_INTERSTICIAL[[#This Row],[agua líquida]],COND_INTERSTICIAL[[#This Row],[Capa]],INDIRECT(ADDRESS(ROW()-1,COLUMN(),4))))</f>
        <v>#N/A</v>
      </c>
      <c r="EG153" s="114" t="e" cm="1">
        <f t="array" aca="1" ref="EG153" ca="1">IF((COND_INTERSTICIAL[[#This Row],[Capa]]=N_capas)+(COND_INTERSTICIAL[[#This Row],[tramo gráf]]=COUNTIFS(COND_INTERSTICIAL[agua líquida],TRUE,COND_INTERSTICIAL[Mes],CW153,COND_INTERSTICIAL[Sección],CX153)+1),N_capas,INDEX(COND_INTERSTICIAL[capa lím inf gráf],MATCH(COND_INTERSTICIAL[[#This Row],[Mes]]&amp;"-"&amp;COND_INTERSTICIAL[[#This Row],[Sección]]&amp;"-"&amp;(COND_INTERSTICIAL[[#This Row],[tramo gráf]]+1),COND_INTERSTICIAL[llave tramo gráf],0)))</f>
        <v>#N/A</v>
      </c>
      <c r="EH153" s="114" cm="1">
        <f t="array" aca="1" ref="EH15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3" s="116" t="e" cm="1">
        <f t="array" aca="1" ref="EI15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4" spans="101:139" x14ac:dyDescent="0.45">
      <c r="CW154" s="1" cm="1">
        <f t="array" ref="CW154">ROUNDUP((ROW()-$CN$18+(Mes_inicial_de_análisis-1)*N_capas*N_secciones)/(N_capas*N_secciones),0)-12*IF(ROW()-$CN$18&gt;(12-Mes_inicial_de_análisis+1)*N_capas*N_secciones,1,0)</f>
        <v>4</v>
      </c>
      <c r="CX154" cm="1">
        <f t="array" ref="CX154">ROUNDUP((ROW()-$CN$18)/N_capas-(ROUNDUP((ROW()-$CN$18)/(N_capas*N_secciones),0)-1)*N_secciones,0)</f>
        <v>2</v>
      </c>
      <c r="CY154" cm="1">
        <f t="array" ref="CY154">(ROW()-$CN$18)-(COND_INTERSTICIAL[[#This Row],[Sección]]-1)*N_capas-(ROUNDUP((ROW()-$CN$18)/(N_capas*N_secciones),0)-1)*N_capas*N_secciones</f>
        <v>2</v>
      </c>
      <c r="CZ154" t="str">
        <f>COND_INTERSTICIAL[[#This Row],[Mes]]&amp;"-"&amp;COND_INTERSTICIAL[[#This Row],[Sección]]&amp;"-"&amp;COND_INTERSTICIAL[[#This Row],[Capa]]</f>
        <v>4-2-2</v>
      </c>
      <c r="DA154">
        <f ca="1">INDEX(SECCIONES_CAPAS[R''n],MATCH(COND_INTERSTICIAL[[#This Row],[Sección]]&amp;"-"&amp;COND_INTERSTICIAL[[#This Row],[Capa]],SECCIONES_CAPAS[llave],0))</f>
        <v>0.04</v>
      </c>
      <c r="DB154" s="172" t="e" cm="1">
        <f t="array" aca="1" ref="DB154" ca="1">INDEX(CLIMA[ϴe],COND_INTERSTICIAL[[#This Row],[Mes]])+COND_INTERSTICIAL[[#This Row],[Rn]]*(INDEX(CLIMA[ϴi],COND_INTERSTICIAL[[#This Row],[Mes]])-INDEX(CLIMA[ϴe],COND_INTERSTICIAL[[#This Row],[Mes]]))/(INDEX(SECCIONES[Rtsección_condensación],COND_INTERSTICIAL[[#This Row],[Sección]]))</f>
        <v>#N/A</v>
      </c>
      <c r="DC154">
        <f>INDEX(SECCIONES_CAPAS[Sd],MATCH(COND_INTERSTICIAL[[#This Row],[Sección]]&amp;"-"&amp;COND_INTERSTICIAL[[#This Row],[Capa]],SECCIONES_CAPAS[llave],0))</f>
        <v>0</v>
      </c>
      <c r="DD154">
        <f ca="1">INDEX(SECCIONES_CAPAS[S''d],MATCH(COND_INTERSTICIAL[[#This Row],[Sección]]&amp;"-"&amp;COND_INTERSTICIAL[[#This Row],[Capa]],SECCIONES_CAPAS[llave],0))</f>
        <v>0</v>
      </c>
      <c r="DE154" s="90" t="e">
        <f ca="1">IF(COND_INTERSTICIAL[[#This Row],[ϴn]]&gt;=0,610.5*EXP((17.269*COND_INTERSTICIAL[[#This Row],[ϴn]])/(237.3+COND_INTERSTICIAL[[#This Row],[ϴn]])),610.5*EXP((21.875*COND_INTERSTICIAL[[#This Row],[ϴn]])/(265.5+COND_INTERSTICIAL[[#This Row],[ϴn]])))</f>
        <v>#N/A</v>
      </c>
      <c r="DF154" s="90" t="e" cm="1">
        <f t="array" aca="1" ref="DF154" ca="1">COND_INTERSTICIAL[[#This Row],[S''d]]*((INDEX(CLIMA[Pi],COND_INTERSTICIAL[[#This Row],[Mes]])-INDEX(CLIMA[Pe],COND_INTERSTICIAL[[#This Row],[Mes]]))/INDEX(SECCIONES[SdT],COND_INTERSTICIAL[[#This Row],[Sección]]))+INDEX(CLIMA[Pe],COND_INTERSTICIAL[[#This Row],[Mes]])</f>
        <v>#N/A</v>
      </c>
      <c r="DG154" s="108" t="e">
        <f ca="1">IF((COND_INTERSTICIAL[[#This Row],[Pn]]&gt;=COND_INTERSTICIAL[[#This Row],[Psat]]),TRUE,FALSE)</f>
        <v>#N/A</v>
      </c>
      <c r="DH154" s="109" t="e" cm="1">
        <f t="array" aca="1" ref="DH154" ca="1">IF(COND_INTERSTICIAL[[#This Row],[Condensa]],COND_INTERSTICIAL[[#This Row],[Psat]],IF(COND_INTERSTICIAL[[#This Row],[Capa]]=N_capas,COND_INTERSTICIAL[[#This Row],[Pn]],""))</f>
        <v>#N/A</v>
      </c>
      <c r="DI154" s="109" t="e">
        <f ca="1">COND_INTERSTICIAL[[#This Row],[Mes]]&amp;"-"&amp;COND_INTERSTICIAL[[#This Row],[Sección]]&amp;"-"&amp;COND_INTERSTICIAL[[#This Row],[tramo cond]]</f>
        <v>#N/A</v>
      </c>
      <c r="DJ154" t="e" cm="1">
        <f t="array" aca="1" ref="DJ154" ca="1">IF(COND_INTERSTICIAL[[#This Row],[Capa]]=1,IF(COND_INTERSTICIAL[[#This Row],[Condensa]],2,1),IF(COND_INTERSTICIAL[[#This Row],[Condensa]],1,0)+INDIRECT(ADDRESS(ROW()-1,COLUMN(),4)))</f>
        <v>#N/A</v>
      </c>
      <c r="DK154" s="108" t="e" cm="1">
        <f t="array" aca="1" ref="DK154" ca="1">IF(COND_INTERSTICIAL[[#This Row],[tramo cond]]=1,0,IF((COND_INTERSTICIAL[[#This Row],[tramo cond]]&gt;INDIRECT(ADDRESS(ROW()-1,COLUMN(COND_INTERSTICIAL[[#This Row],[tramo cond]]),4)))+COND_INTERSTICIAL[[#This Row],[Condensa]],COND_INTERSTICIAL[[#This Row],[Capa]],INDIRECT(ADDRESS(ROW()-1,COLUMN(),4))))</f>
        <v>#N/A</v>
      </c>
      <c r="DL154" s="108" t="e" cm="1">
        <f t="array" aca="1" ref="DL154" ca="1">IF((COND_INTERSTICIAL[[#This Row],[Capa]]=N_capas)+(COND_INTERSTICIAL[[#This Row],[tramo cond]]=COUNTIFS(COND_INTERSTICIAL[Condensa],TRUE,COND_INTERSTICIAL[Mes],CW154,COND_INTERSTICIAL[Sección],CX154)+1),N_capas,INDEX(COND_INTERSTICIAL[capa lím inf cond],MATCH(COND_INTERSTICIAL[[#This Row],[Mes]]&amp;"-"&amp;COND_INTERSTICIAL[[#This Row],[Sección]]&amp;"-"&amp;(COND_INTERSTICIAL[[#This Row],[tramo cond]]+1),COND_INTERSTICIAL[llave tramo cond],0)))</f>
        <v>#N/A</v>
      </c>
      <c r="DM154" s="108" cm="1">
        <f t="array" aca="1" ref="DM15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4" s="110" t="e" cm="1">
        <f t="array" aca="1" ref="DN15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4" s="107" t="e">
        <f ca="1">COND_INTERSTICIAL[[#This Row],[gc]]+COND_INTERSTICIAL[[#This Row],[Ma_anterior cond]]</f>
        <v>#N/A</v>
      </c>
      <c r="DQ154" s="113" t="e">
        <f ca="1">IF((COND_INTERSTICIAL[[#This Row],[Ma_anterior cond]]&gt;0)*NOT(COND_INTERSTICIAL[[#This Row],[Condensa]]),TRUE,FALSE)</f>
        <v>#N/A</v>
      </c>
      <c r="DR154" s="112" t="e" cm="1">
        <f t="array" aca="1" ref="DR154" ca="1">IF(COND_INTERSTICIAL[[#This Row],[evapora]],COND_INTERSTICIAL[[#This Row],[Psat]],IF(COND_INTERSTICIAL[[#This Row],[Capa]]=N_capas,COND_INTERSTICIAL[[#This Row],[Pn]],""))</f>
        <v>#N/A</v>
      </c>
      <c r="DS154" s="112" t="e">
        <f ca="1">COND_INTERSTICIAL[[#This Row],[Mes]]&amp;"-"&amp;COND_INTERSTICIAL[[#This Row],[Sección]]&amp;"-"&amp;COND_INTERSTICIAL[[#This Row],[tramo ev]]</f>
        <v>#N/A</v>
      </c>
      <c r="DT154" s="111" t="e" cm="1">
        <f t="array" aca="1" ref="DT154" ca="1">IF(COND_INTERSTICIAL[[#This Row],[Capa]]=1,IF(COND_INTERSTICIAL[[#This Row],[evapora]],2,1),IF(COND_INTERSTICIAL[[#This Row],[evapora]],1,0)+INDIRECT(ADDRESS(ROW()-1,COLUMN(),4)))</f>
        <v>#N/A</v>
      </c>
      <c r="DU154" s="111" t="e" cm="1">
        <f t="array" aca="1" ref="DU154" ca="1">IF(COND_INTERSTICIAL[[#This Row],[tramo ev]]=1,0,IF((COND_INTERSTICIAL[[#This Row],[tramo ev]]&gt;INDIRECT(ADDRESS(ROW()-1,COLUMN(COND_INTERSTICIAL[[#This Row],[tramo ev]]),4)))+COND_INTERSTICIAL[[#This Row],[evapora]],COND_INTERSTICIAL[[#This Row],[Capa]],INDIRECT(ADDRESS(ROW()-1,COLUMN(),4))))</f>
        <v>#N/A</v>
      </c>
      <c r="DV154" s="111" t="e" cm="1">
        <f t="array" aca="1" ref="DV154" ca="1">IF((COND_INTERSTICIAL[[#This Row],[Capa]]=N_capas)+(COND_INTERSTICIAL[[#This Row],[tramo ev]]=COUNTIFS(COND_INTERSTICIAL[evapora],TRUE,COND_INTERSTICIAL[Mes],CW154,COND_INTERSTICIAL[Sección],CX154)+1),N_capas,INDEX(COND_INTERSTICIAL[capa lím inf ev],MATCH(COND_INTERSTICIAL[[#This Row],[Mes]]&amp;"-"&amp;COND_INTERSTICIAL[[#This Row],[Sección]]&amp;"-"&amp;(COND_INTERSTICIAL[[#This Row],[tramo ev]]+1),COND_INTERSTICIAL[llave tramo ev],0)))</f>
        <v>#N/A</v>
      </c>
      <c r="DW154" s="111" cm="1">
        <f t="array" aca="1" ref="DW15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4" s="113" t="e" cm="1">
        <f t="array" aca="1" ref="DX15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4" s="113" t="e">
        <f ca="1">COND_INTERSTICIAL[[#This Row],[gev]]+COND_INTERSTICIAL[[#This Row],[Ma anterior ev]]</f>
        <v>#N/A</v>
      </c>
      <c r="EA154" s="115" t="e">
        <f ca="1">IF(COND_INTERSTICIAL[[#This Row],[Ma cond]]+COND_INTERSTICIAL[[#This Row],[Ma ev]]&lt;=0,0,COND_INTERSTICIAL[[#This Row],[Ma cond]]+COND_INTERSTICIAL[[#This Row],[Ma ev]])</f>
        <v>#N/A</v>
      </c>
      <c r="EB154" s="115" t="e">
        <f ca="1">IF(COND_INTERSTICIAL[[#This Row],[Ma]]&gt;0,TRUE,FALSE)</f>
        <v>#N/A</v>
      </c>
      <c r="EC154" s="115" t="e" cm="1">
        <f t="array" aca="1" ref="EC154" ca="1">IF(COND_INTERSTICIAL[[#This Row],[agua líquida]],IF(COND_INTERSTICIAL[[#This Row],[Condensa]],COND_INTERSTICIAL[[#This Row],[P límite cond]],COND_INTERSTICIAL[[#This Row],[P límite ev]]),IF(COND_INTERSTICIAL[[#This Row],[Capa]]=N_capas,COND_INTERSTICIAL[[#This Row],[Pn]],""))</f>
        <v>#N/A</v>
      </c>
      <c r="ED154" s="115" t="e">
        <f ca="1">COND_INTERSTICIAL[[#This Row],[Mes]]&amp;"-"&amp;COND_INTERSTICIAL[[#This Row],[Sección]]&amp;"-"&amp;COND_INTERSTICIAL[[#This Row],[tramo gráf]]</f>
        <v>#N/A</v>
      </c>
      <c r="EE154" s="114" t="e" cm="1">
        <f t="array" aca="1" ref="EE154" ca="1">IF(COND_INTERSTICIAL[[#This Row],[Capa]]=1,IF(COND_INTERSTICIAL[[#This Row],[agua líquida]],2,1),IF(COND_INTERSTICIAL[[#This Row],[agua líquida]],1,0)+INDIRECT(ADDRESS(ROW()-1,COLUMN(),4)))</f>
        <v>#N/A</v>
      </c>
      <c r="EF154" s="114" t="e" cm="1">
        <f t="array" aca="1" ref="EF154" ca="1">IF(COND_INTERSTICIAL[[#This Row],[tramo gráf]]=1,0,IF((COND_INTERSTICIAL[[#This Row],[tramo gráf]]&gt;INDIRECT(ADDRESS(ROW()-1,COLUMN(COND_INTERSTICIAL[[#This Row],[tramo gráf]]),4)))+COND_INTERSTICIAL[[#This Row],[agua líquida]],COND_INTERSTICIAL[[#This Row],[Capa]],INDIRECT(ADDRESS(ROW()-1,COLUMN(),4))))</f>
        <v>#N/A</v>
      </c>
      <c r="EG154" s="114" t="e" cm="1">
        <f t="array" aca="1" ref="EG154" ca="1">IF((COND_INTERSTICIAL[[#This Row],[Capa]]=N_capas)+(COND_INTERSTICIAL[[#This Row],[tramo gráf]]=COUNTIFS(COND_INTERSTICIAL[agua líquida],TRUE,COND_INTERSTICIAL[Mes],CW154,COND_INTERSTICIAL[Sección],CX154)+1),N_capas,INDEX(COND_INTERSTICIAL[capa lím inf gráf],MATCH(COND_INTERSTICIAL[[#This Row],[Mes]]&amp;"-"&amp;COND_INTERSTICIAL[[#This Row],[Sección]]&amp;"-"&amp;(COND_INTERSTICIAL[[#This Row],[tramo gráf]]+1),COND_INTERSTICIAL[llave tramo gráf],0)))</f>
        <v>#N/A</v>
      </c>
      <c r="EH154" s="114" cm="1">
        <f t="array" aca="1" ref="EH15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4" s="116" t="e" cm="1">
        <f t="array" aca="1" ref="EI15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5" spans="101:139" x14ac:dyDescent="0.45">
      <c r="CW155" s="1" cm="1">
        <f t="array" ref="CW155">ROUNDUP((ROW()-$CN$18+(Mes_inicial_de_análisis-1)*N_capas*N_secciones)/(N_capas*N_secciones),0)-12*IF(ROW()-$CN$18&gt;(12-Mes_inicial_de_análisis+1)*N_capas*N_secciones,1,0)</f>
        <v>4</v>
      </c>
      <c r="CX155" cm="1">
        <f t="array" ref="CX155">ROUNDUP((ROW()-$CN$18)/N_capas-(ROUNDUP((ROW()-$CN$18)/(N_capas*N_secciones),0)-1)*N_secciones,0)</f>
        <v>2</v>
      </c>
      <c r="CY155" cm="1">
        <f t="array" ref="CY155">(ROW()-$CN$18)-(COND_INTERSTICIAL[[#This Row],[Sección]]-1)*N_capas-(ROUNDUP((ROW()-$CN$18)/(N_capas*N_secciones),0)-1)*N_capas*N_secciones</f>
        <v>3</v>
      </c>
      <c r="CZ155" t="str">
        <f>COND_INTERSTICIAL[[#This Row],[Mes]]&amp;"-"&amp;COND_INTERSTICIAL[[#This Row],[Sección]]&amp;"-"&amp;COND_INTERSTICIAL[[#This Row],[Capa]]</f>
        <v>4-2-3</v>
      </c>
      <c r="DA155">
        <f ca="1">INDEX(SECCIONES_CAPAS[R''n],MATCH(COND_INTERSTICIAL[[#This Row],[Sección]]&amp;"-"&amp;COND_INTERSTICIAL[[#This Row],[Capa]],SECCIONES_CAPAS[llave],0))</f>
        <v>0.04</v>
      </c>
      <c r="DB155" s="172" t="e" cm="1">
        <f t="array" aca="1" ref="DB155" ca="1">INDEX(CLIMA[ϴe],COND_INTERSTICIAL[[#This Row],[Mes]])+COND_INTERSTICIAL[[#This Row],[Rn]]*(INDEX(CLIMA[ϴi],COND_INTERSTICIAL[[#This Row],[Mes]])-INDEX(CLIMA[ϴe],COND_INTERSTICIAL[[#This Row],[Mes]]))/(INDEX(SECCIONES[Rtsección_condensación],COND_INTERSTICIAL[[#This Row],[Sección]]))</f>
        <v>#N/A</v>
      </c>
      <c r="DC155">
        <f>INDEX(SECCIONES_CAPAS[Sd],MATCH(COND_INTERSTICIAL[[#This Row],[Sección]]&amp;"-"&amp;COND_INTERSTICIAL[[#This Row],[Capa]],SECCIONES_CAPAS[llave],0))</f>
        <v>0</v>
      </c>
      <c r="DD155">
        <f ca="1">INDEX(SECCIONES_CAPAS[S''d],MATCH(COND_INTERSTICIAL[[#This Row],[Sección]]&amp;"-"&amp;COND_INTERSTICIAL[[#This Row],[Capa]],SECCIONES_CAPAS[llave],0))</f>
        <v>0</v>
      </c>
      <c r="DE155" s="90" t="e">
        <f ca="1">IF(COND_INTERSTICIAL[[#This Row],[ϴn]]&gt;=0,610.5*EXP((17.269*COND_INTERSTICIAL[[#This Row],[ϴn]])/(237.3+COND_INTERSTICIAL[[#This Row],[ϴn]])),610.5*EXP((21.875*COND_INTERSTICIAL[[#This Row],[ϴn]])/(265.5+COND_INTERSTICIAL[[#This Row],[ϴn]])))</f>
        <v>#N/A</v>
      </c>
      <c r="DF155" s="90" t="e" cm="1">
        <f t="array" aca="1" ref="DF155" ca="1">COND_INTERSTICIAL[[#This Row],[S''d]]*((INDEX(CLIMA[Pi],COND_INTERSTICIAL[[#This Row],[Mes]])-INDEX(CLIMA[Pe],COND_INTERSTICIAL[[#This Row],[Mes]]))/INDEX(SECCIONES[SdT],COND_INTERSTICIAL[[#This Row],[Sección]]))+INDEX(CLIMA[Pe],COND_INTERSTICIAL[[#This Row],[Mes]])</f>
        <v>#N/A</v>
      </c>
      <c r="DG155" s="108" t="e">
        <f ca="1">IF((COND_INTERSTICIAL[[#This Row],[Pn]]&gt;=COND_INTERSTICIAL[[#This Row],[Psat]]),TRUE,FALSE)</f>
        <v>#N/A</v>
      </c>
      <c r="DH155" s="109" t="e" cm="1">
        <f t="array" aca="1" ref="DH155" ca="1">IF(COND_INTERSTICIAL[[#This Row],[Condensa]],COND_INTERSTICIAL[[#This Row],[Psat]],IF(COND_INTERSTICIAL[[#This Row],[Capa]]=N_capas,COND_INTERSTICIAL[[#This Row],[Pn]],""))</f>
        <v>#N/A</v>
      </c>
      <c r="DI155" s="109" t="e">
        <f ca="1">COND_INTERSTICIAL[[#This Row],[Mes]]&amp;"-"&amp;COND_INTERSTICIAL[[#This Row],[Sección]]&amp;"-"&amp;COND_INTERSTICIAL[[#This Row],[tramo cond]]</f>
        <v>#N/A</v>
      </c>
      <c r="DJ155" t="e" cm="1">
        <f t="array" aca="1" ref="DJ155" ca="1">IF(COND_INTERSTICIAL[[#This Row],[Capa]]=1,IF(COND_INTERSTICIAL[[#This Row],[Condensa]],2,1),IF(COND_INTERSTICIAL[[#This Row],[Condensa]],1,0)+INDIRECT(ADDRESS(ROW()-1,COLUMN(),4)))</f>
        <v>#N/A</v>
      </c>
      <c r="DK155" s="108" t="e" cm="1">
        <f t="array" aca="1" ref="DK155" ca="1">IF(COND_INTERSTICIAL[[#This Row],[tramo cond]]=1,0,IF((COND_INTERSTICIAL[[#This Row],[tramo cond]]&gt;INDIRECT(ADDRESS(ROW()-1,COLUMN(COND_INTERSTICIAL[[#This Row],[tramo cond]]),4)))+COND_INTERSTICIAL[[#This Row],[Condensa]],COND_INTERSTICIAL[[#This Row],[Capa]],INDIRECT(ADDRESS(ROW()-1,COLUMN(),4))))</f>
        <v>#N/A</v>
      </c>
      <c r="DL155" s="108" t="e" cm="1">
        <f t="array" aca="1" ref="DL155" ca="1">IF((COND_INTERSTICIAL[[#This Row],[Capa]]=N_capas)+(COND_INTERSTICIAL[[#This Row],[tramo cond]]=COUNTIFS(COND_INTERSTICIAL[Condensa],TRUE,COND_INTERSTICIAL[Mes],CW155,COND_INTERSTICIAL[Sección],CX155)+1),N_capas,INDEX(COND_INTERSTICIAL[capa lím inf cond],MATCH(COND_INTERSTICIAL[[#This Row],[Mes]]&amp;"-"&amp;COND_INTERSTICIAL[[#This Row],[Sección]]&amp;"-"&amp;(COND_INTERSTICIAL[[#This Row],[tramo cond]]+1),COND_INTERSTICIAL[llave tramo cond],0)))</f>
        <v>#N/A</v>
      </c>
      <c r="DM155" s="108" cm="1">
        <f t="array" aca="1" ref="DM15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5" s="110" t="e" cm="1">
        <f t="array" aca="1" ref="DN15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5" s="107" t="e">
        <f ca="1">COND_INTERSTICIAL[[#This Row],[gc]]+COND_INTERSTICIAL[[#This Row],[Ma_anterior cond]]</f>
        <v>#N/A</v>
      </c>
      <c r="DQ155" s="113" t="e">
        <f ca="1">IF((COND_INTERSTICIAL[[#This Row],[Ma_anterior cond]]&gt;0)*NOT(COND_INTERSTICIAL[[#This Row],[Condensa]]),TRUE,FALSE)</f>
        <v>#N/A</v>
      </c>
      <c r="DR155" s="112" t="e" cm="1">
        <f t="array" aca="1" ref="DR155" ca="1">IF(COND_INTERSTICIAL[[#This Row],[evapora]],COND_INTERSTICIAL[[#This Row],[Psat]],IF(COND_INTERSTICIAL[[#This Row],[Capa]]=N_capas,COND_INTERSTICIAL[[#This Row],[Pn]],""))</f>
        <v>#N/A</v>
      </c>
      <c r="DS155" s="112" t="e">
        <f ca="1">COND_INTERSTICIAL[[#This Row],[Mes]]&amp;"-"&amp;COND_INTERSTICIAL[[#This Row],[Sección]]&amp;"-"&amp;COND_INTERSTICIAL[[#This Row],[tramo ev]]</f>
        <v>#N/A</v>
      </c>
      <c r="DT155" s="111" t="e" cm="1">
        <f t="array" aca="1" ref="DT155" ca="1">IF(COND_INTERSTICIAL[[#This Row],[Capa]]=1,IF(COND_INTERSTICIAL[[#This Row],[evapora]],2,1),IF(COND_INTERSTICIAL[[#This Row],[evapora]],1,0)+INDIRECT(ADDRESS(ROW()-1,COLUMN(),4)))</f>
        <v>#N/A</v>
      </c>
      <c r="DU155" s="111" t="e" cm="1">
        <f t="array" aca="1" ref="DU155" ca="1">IF(COND_INTERSTICIAL[[#This Row],[tramo ev]]=1,0,IF((COND_INTERSTICIAL[[#This Row],[tramo ev]]&gt;INDIRECT(ADDRESS(ROW()-1,COLUMN(COND_INTERSTICIAL[[#This Row],[tramo ev]]),4)))+COND_INTERSTICIAL[[#This Row],[evapora]],COND_INTERSTICIAL[[#This Row],[Capa]],INDIRECT(ADDRESS(ROW()-1,COLUMN(),4))))</f>
        <v>#N/A</v>
      </c>
      <c r="DV155" s="111" t="e" cm="1">
        <f t="array" aca="1" ref="DV155" ca="1">IF((COND_INTERSTICIAL[[#This Row],[Capa]]=N_capas)+(COND_INTERSTICIAL[[#This Row],[tramo ev]]=COUNTIFS(COND_INTERSTICIAL[evapora],TRUE,COND_INTERSTICIAL[Mes],CW155,COND_INTERSTICIAL[Sección],CX155)+1),N_capas,INDEX(COND_INTERSTICIAL[capa lím inf ev],MATCH(COND_INTERSTICIAL[[#This Row],[Mes]]&amp;"-"&amp;COND_INTERSTICIAL[[#This Row],[Sección]]&amp;"-"&amp;(COND_INTERSTICIAL[[#This Row],[tramo ev]]+1),COND_INTERSTICIAL[llave tramo ev],0)))</f>
        <v>#N/A</v>
      </c>
      <c r="DW155" s="111" cm="1">
        <f t="array" aca="1" ref="DW15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5" s="113" t="e" cm="1">
        <f t="array" aca="1" ref="DX15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5" s="113" t="e">
        <f ca="1">COND_INTERSTICIAL[[#This Row],[gev]]+COND_INTERSTICIAL[[#This Row],[Ma anterior ev]]</f>
        <v>#N/A</v>
      </c>
      <c r="EA155" s="115" t="e">
        <f ca="1">IF(COND_INTERSTICIAL[[#This Row],[Ma cond]]+COND_INTERSTICIAL[[#This Row],[Ma ev]]&lt;=0,0,COND_INTERSTICIAL[[#This Row],[Ma cond]]+COND_INTERSTICIAL[[#This Row],[Ma ev]])</f>
        <v>#N/A</v>
      </c>
      <c r="EB155" s="115" t="e">
        <f ca="1">IF(COND_INTERSTICIAL[[#This Row],[Ma]]&gt;0,TRUE,FALSE)</f>
        <v>#N/A</v>
      </c>
      <c r="EC155" s="115" t="e" cm="1">
        <f t="array" aca="1" ref="EC155" ca="1">IF(COND_INTERSTICIAL[[#This Row],[agua líquida]],IF(COND_INTERSTICIAL[[#This Row],[Condensa]],COND_INTERSTICIAL[[#This Row],[P límite cond]],COND_INTERSTICIAL[[#This Row],[P límite ev]]),IF(COND_INTERSTICIAL[[#This Row],[Capa]]=N_capas,COND_INTERSTICIAL[[#This Row],[Pn]],""))</f>
        <v>#N/A</v>
      </c>
      <c r="ED155" s="115" t="e">
        <f ca="1">COND_INTERSTICIAL[[#This Row],[Mes]]&amp;"-"&amp;COND_INTERSTICIAL[[#This Row],[Sección]]&amp;"-"&amp;COND_INTERSTICIAL[[#This Row],[tramo gráf]]</f>
        <v>#N/A</v>
      </c>
      <c r="EE155" s="114" t="e" cm="1">
        <f t="array" aca="1" ref="EE155" ca="1">IF(COND_INTERSTICIAL[[#This Row],[Capa]]=1,IF(COND_INTERSTICIAL[[#This Row],[agua líquida]],2,1),IF(COND_INTERSTICIAL[[#This Row],[agua líquida]],1,0)+INDIRECT(ADDRESS(ROW()-1,COLUMN(),4)))</f>
        <v>#N/A</v>
      </c>
      <c r="EF155" s="114" t="e" cm="1">
        <f t="array" aca="1" ref="EF155" ca="1">IF(COND_INTERSTICIAL[[#This Row],[tramo gráf]]=1,0,IF((COND_INTERSTICIAL[[#This Row],[tramo gráf]]&gt;INDIRECT(ADDRESS(ROW()-1,COLUMN(COND_INTERSTICIAL[[#This Row],[tramo gráf]]),4)))+COND_INTERSTICIAL[[#This Row],[agua líquida]],COND_INTERSTICIAL[[#This Row],[Capa]],INDIRECT(ADDRESS(ROW()-1,COLUMN(),4))))</f>
        <v>#N/A</v>
      </c>
      <c r="EG155" s="114" t="e" cm="1">
        <f t="array" aca="1" ref="EG155" ca="1">IF((COND_INTERSTICIAL[[#This Row],[Capa]]=N_capas)+(COND_INTERSTICIAL[[#This Row],[tramo gráf]]=COUNTIFS(COND_INTERSTICIAL[agua líquida],TRUE,COND_INTERSTICIAL[Mes],CW155,COND_INTERSTICIAL[Sección],CX155)+1),N_capas,INDEX(COND_INTERSTICIAL[capa lím inf gráf],MATCH(COND_INTERSTICIAL[[#This Row],[Mes]]&amp;"-"&amp;COND_INTERSTICIAL[[#This Row],[Sección]]&amp;"-"&amp;(COND_INTERSTICIAL[[#This Row],[tramo gráf]]+1),COND_INTERSTICIAL[llave tramo gráf],0)))</f>
        <v>#N/A</v>
      </c>
      <c r="EH155" s="114" cm="1">
        <f t="array" aca="1" ref="EH15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5" s="116" t="e" cm="1">
        <f t="array" aca="1" ref="EI15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6" spans="101:139" x14ac:dyDescent="0.45">
      <c r="CW156" s="1" cm="1">
        <f t="array" ref="CW156">ROUNDUP((ROW()-$CN$18+(Mes_inicial_de_análisis-1)*N_capas*N_secciones)/(N_capas*N_secciones),0)-12*IF(ROW()-$CN$18&gt;(12-Mes_inicial_de_análisis+1)*N_capas*N_secciones,1,0)</f>
        <v>4</v>
      </c>
      <c r="CX156" cm="1">
        <f t="array" ref="CX156">ROUNDUP((ROW()-$CN$18)/N_capas-(ROUNDUP((ROW()-$CN$18)/(N_capas*N_secciones),0)-1)*N_secciones,0)</f>
        <v>2</v>
      </c>
      <c r="CY156" cm="1">
        <f t="array" ref="CY156">(ROW()-$CN$18)-(COND_INTERSTICIAL[[#This Row],[Sección]]-1)*N_capas-(ROUNDUP((ROW()-$CN$18)/(N_capas*N_secciones),0)-1)*N_capas*N_secciones</f>
        <v>4</v>
      </c>
      <c r="CZ156" t="str">
        <f>COND_INTERSTICIAL[[#This Row],[Mes]]&amp;"-"&amp;COND_INTERSTICIAL[[#This Row],[Sección]]&amp;"-"&amp;COND_INTERSTICIAL[[#This Row],[Capa]]</f>
        <v>4-2-4</v>
      </c>
      <c r="DA156">
        <f ca="1">INDEX(SECCIONES_CAPAS[R''n],MATCH(COND_INTERSTICIAL[[#This Row],[Sección]]&amp;"-"&amp;COND_INTERSTICIAL[[#This Row],[Capa]],SECCIONES_CAPAS[llave],0))</f>
        <v>0.04</v>
      </c>
      <c r="DB156" s="172" t="e" cm="1">
        <f t="array" aca="1" ref="DB156" ca="1">INDEX(CLIMA[ϴe],COND_INTERSTICIAL[[#This Row],[Mes]])+COND_INTERSTICIAL[[#This Row],[Rn]]*(INDEX(CLIMA[ϴi],COND_INTERSTICIAL[[#This Row],[Mes]])-INDEX(CLIMA[ϴe],COND_INTERSTICIAL[[#This Row],[Mes]]))/(INDEX(SECCIONES[Rtsección_condensación],COND_INTERSTICIAL[[#This Row],[Sección]]))</f>
        <v>#N/A</v>
      </c>
      <c r="DC156">
        <f>INDEX(SECCIONES_CAPAS[Sd],MATCH(COND_INTERSTICIAL[[#This Row],[Sección]]&amp;"-"&amp;COND_INTERSTICIAL[[#This Row],[Capa]],SECCIONES_CAPAS[llave],0))</f>
        <v>0</v>
      </c>
      <c r="DD156">
        <f ca="1">INDEX(SECCIONES_CAPAS[S''d],MATCH(COND_INTERSTICIAL[[#This Row],[Sección]]&amp;"-"&amp;COND_INTERSTICIAL[[#This Row],[Capa]],SECCIONES_CAPAS[llave],0))</f>
        <v>0</v>
      </c>
      <c r="DE156" s="90" t="e">
        <f ca="1">IF(COND_INTERSTICIAL[[#This Row],[ϴn]]&gt;=0,610.5*EXP((17.269*COND_INTERSTICIAL[[#This Row],[ϴn]])/(237.3+COND_INTERSTICIAL[[#This Row],[ϴn]])),610.5*EXP((21.875*COND_INTERSTICIAL[[#This Row],[ϴn]])/(265.5+COND_INTERSTICIAL[[#This Row],[ϴn]])))</f>
        <v>#N/A</v>
      </c>
      <c r="DF156" s="90" t="e" cm="1">
        <f t="array" aca="1" ref="DF156" ca="1">COND_INTERSTICIAL[[#This Row],[S''d]]*((INDEX(CLIMA[Pi],COND_INTERSTICIAL[[#This Row],[Mes]])-INDEX(CLIMA[Pe],COND_INTERSTICIAL[[#This Row],[Mes]]))/INDEX(SECCIONES[SdT],COND_INTERSTICIAL[[#This Row],[Sección]]))+INDEX(CLIMA[Pe],COND_INTERSTICIAL[[#This Row],[Mes]])</f>
        <v>#N/A</v>
      </c>
      <c r="DG156" s="108" t="e">
        <f ca="1">IF((COND_INTERSTICIAL[[#This Row],[Pn]]&gt;=COND_INTERSTICIAL[[#This Row],[Psat]]),TRUE,FALSE)</f>
        <v>#N/A</v>
      </c>
      <c r="DH156" s="109" t="e" cm="1">
        <f t="array" aca="1" ref="DH156" ca="1">IF(COND_INTERSTICIAL[[#This Row],[Condensa]],COND_INTERSTICIAL[[#This Row],[Psat]],IF(COND_INTERSTICIAL[[#This Row],[Capa]]=N_capas,COND_INTERSTICIAL[[#This Row],[Pn]],""))</f>
        <v>#N/A</v>
      </c>
      <c r="DI156" s="109" t="e">
        <f ca="1">COND_INTERSTICIAL[[#This Row],[Mes]]&amp;"-"&amp;COND_INTERSTICIAL[[#This Row],[Sección]]&amp;"-"&amp;COND_INTERSTICIAL[[#This Row],[tramo cond]]</f>
        <v>#N/A</v>
      </c>
      <c r="DJ156" t="e" cm="1">
        <f t="array" aca="1" ref="DJ156" ca="1">IF(COND_INTERSTICIAL[[#This Row],[Capa]]=1,IF(COND_INTERSTICIAL[[#This Row],[Condensa]],2,1),IF(COND_INTERSTICIAL[[#This Row],[Condensa]],1,0)+INDIRECT(ADDRESS(ROW()-1,COLUMN(),4)))</f>
        <v>#N/A</v>
      </c>
      <c r="DK156" s="108" t="e" cm="1">
        <f t="array" aca="1" ref="DK156" ca="1">IF(COND_INTERSTICIAL[[#This Row],[tramo cond]]=1,0,IF((COND_INTERSTICIAL[[#This Row],[tramo cond]]&gt;INDIRECT(ADDRESS(ROW()-1,COLUMN(COND_INTERSTICIAL[[#This Row],[tramo cond]]),4)))+COND_INTERSTICIAL[[#This Row],[Condensa]],COND_INTERSTICIAL[[#This Row],[Capa]],INDIRECT(ADDRESS(ROW()-1,COLUMN(),4))))</f>
        <v>#N/A</v>
      </c>
      <c r="DL156" s="108" t="e" cm="1">
        <f t="array" aca="1" ref="DL156" ca="1">IF((COND_INTERSTICIAL[[#This Row],[Capa]]=N_capas)+(COND_INTERSTICIAL[[#This Row],[tramo cond]]=COUNTIFS(COND_INTERSTICIAL[Condensa],TRUE,COND_INTERSTICIAL[Mes],CW156,COND_INTERSTICIAL[Sección],CX156)+1),N_capas,INDEX(COND_INTERSTICIAL[capa lím inf cond],MATCH(COND_INTERSTICIAL[[#This Row],[Mes]]&amp;"-"&amp;COND_INTERSTICIAL[[#This Row],[Sección]]&amp;"-"&amp;(COND_INTERSTICIAL[[#This Row],[tramo cond]]+1),COND_INTERSTICIAL[llave tramo cond],0)))</f>
        <v>#N/A</v>
      </c>
      <c r="DM156" s="108" cm="1">
        <f t="array" aca="1" ref="DM15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6" s="110" t="e" cm="1">
        <f t="array" aca="1" ref="DN15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6" s="107" t="e">
        <f ca="1">COND_INTERSTICIAL[[#This Row],[gc]]+COND_INTERSTICIAL[[#This Row],[Ma_anterior cond]]</f>
        <v>#N/A</v>
      </c>
      <c r="DQ156" s="113" t="e">
        <f ca="1">IF((COND_INTERSTICIAL[[#This Row],[Ma_anterior cond]]&gt;0)*NOT(COND_INTERSTICIAL[[#This Row],[Condensa]]),TRUE,FALSE)</f>
        <v>#N/A</v>
      </c>
      <c r="DR156" s="112" t="e" cm="1">
        <f t="array" aca="1" ref="DR156" ca="1">IF(COND_INTERSTICIAL[[#This Row],[evapora]],COND_INTERSTICIAL[[#This Row],[Psat]],IF(COND_INTERSTICIAL[[#This Row],[Capa]]=N_capas,COND_INTERSTICIAL[[#This Row],[Pn]],""))</f>
        <v>#N/A</v>
      </c>
      <c r="DS156" s="112" t="e">
        <f ca="1">COND_INTERSTICIAL[[#This Row],[Mes]]&amp;"-"&amp;COND_INTERSTICIAL[[#This Row],[Sección]]&amp;"-"&amp;COND_INTERSTICIAL[[#This Row],[tramo ev]]</f>
        <v>#N/A</v>
      </c>
      <c r="DT156" s="111" t="e" cm="1">
        <f t="array" aca="1" ref="DT156" ca="1">IF(COND_INTERSTICIAL[[#This Row],[Capa]]=1,IF(COND_INTERSTICIAL[[#This Row],[evapora]],2,1),IF(COND_INTERSTICIAL[[#This Row],[evapora]],1,0)+INDIRECT(ADDRESS(ROW()-1,COLUMN(),4)))</f>
        <v>#N/A</v>
      </c>
      <c r="DU156" s="111" t="e" cm="1">
        <f t="array" aca="1" ref="DU156" ca="1">IF(COND_INTERSTICIAL[[#This Row],[tramo ev]]=1,0,IF((COND_INTERSTICIAL[[#This Row],[tramo ev]]&gt;INDIRECT(ADDRESS(ROW()-1,COLUMN(COND_INTERSTICIAL[[#This Row],[tramo ev]]),4)))+COND_INTERSTICIAL[[#This Row],[evapora]],COND_INTERSTICIAL[[#This Row],[Capa]],INDIRECT(ADDRESS(ROW()-1,COLUMN(),4))))</f>
        <v>#N/A</v>
      </c>
      <c r="DV156" s="111" t="e" cm="1">
        <f t="array" aca="1" ref="DV156" ca="1">IF((COND_INTERSTICIAL[[#This Row],[Capa]]=N_capas)+(COND_INTERSTICIAL[[#This Row],[tramo ev]]=COUNTIFS(COND_INTERSTICIAL[evapora],TRUE,COND_INTERSTICIAL[Mes],CW156,COND_INTERSTICIAL[Sección],CX156)+1),N_capas,INDEX(COND_INTERSTICIAL[capa lím inf ev],MATCH(COND_INTERSTICIAL[[#This Row],[Mes]]&amp;"-"&amp;COND_INTERSTICIAL[[#This Row],[Sección]]&amp;"-"&amp;(COND_INTERSTICIAL[[#This Row],[tramo ev]]+1),COND_INTERSTICIAL[llave tramo ev],0)))</f>
        <v>#N/A</v>
      </c>
      <c r="DW156" s="111" cm="1">
        <f t="array" aca="1" ref="DW15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6" s="113" t="e" cm="1">
        <f t="array" aca="1" ref="DX15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6" s="113" t="e">
        <f ca="1">COND_INTERSTICIAL[[#This Row],[gev]]+COND_INTERSTICIAL[[#This Row],[Ma anterior ev]]</f>
        <v>#N/A</v>
      </c>
      <c r="EA156" s="115" t="e">
        <f ca="1">IF(COND_INTERSTICIAL[[#This Row],[Ma cond]]+COND_INTERSTICIAL[[#This Row],[Ma ev]]&lt;=0,0,COND_INTERSTICIAL[[#This Row],[Ma cond]]+COND_INTERSTICIAL[[#This Row],[Ma ev]])</f>
        <v>#N/A</v>
      </c>
      <c r="EB156" s="115" t="e">
        <f ca="1">IF(COND_INTERSTICIAL[[#This Row],[Ma]]&gt;0,TRUE,FALSE)</f>
        <v>#N/A</v>
      </c>
      <c r="EC156" s="115" t="e" cm="1">
        <f t="array" aca="1" ref="EC156" ca="1">IF(COND_INTERSTICIAL[[#This Row],[agua líquida]],IF(COND_INTERSTICIAL[[#This Row],[Condensa]],COND_INTERSTICIAL[[#This Row],[P límite cond]],COND_INTERSTICIAL[[#This Row],[P límite ev]]),IF(COND_INTERSTICIAL[[#This Row],[Capa]]=N_capas,COND_INTERSTICIAL[[#This Row],[Pn]],""))</f>
        <v>#N/A</v>
      </c>
      <c r="ED156" s="115" t="e">
        <f ca="1">COND_INTERSTICIAL[[#This Row],[Mes]]&amp;"-"&amp;COND_INTERSTICIAL[[#This Row],[Sección]]&amp;"-"&amp;COND_INTERSTICIAL[[#This Row],[tramo gráf]]</f>
        <v>#N/A</v>
      </c>
      <c r="EE156" s="114" t="e" cm="1">
        <f t="array" aca="1" ref="EE156" ca="1">IF(COND_INTERSTICIAL[[#This Row],[Capa]]=1,IF(COND_INTERSTICIAL[[#This Row],[agua líquida]],2,1),IF(COND_INTERSTICIAL[[#This Row],[agua líquida]],1,0)+INDIRECT(ADDRESS(ROW()-1,COLUMN(),4)))</f>
        <v>#N/A</v>
      </c>
      <c r="EF156" s="114" t="e" cm="1">
        <f t="array" aca="1" ref="EF156" ca="1">IF(COND_INTERSTICIAL[[#This Row],[tramo gráf]]=1,0,IF((COND_INTERSTICIAL[[#This Row],[tramo gráf]]&gt;INDIRECT(ADDRESS(ROW()-1,COLUMN(COND_INTERSTICIAL[[#This Row],[tramo gráf]]),4)))+COND_INTERSTICIAL[[#This Row],[agua líquida]],COND_INTERSTICIAL[[#This Row],[Capa]],INDIRECT(ADDRESS(ROW()-1,COLUMN(),4))))</f>
        <v>#N/A</v>
      </c>
      <c r="EG156" s="114" t="e" cm="1">
        <f t="array" aca="1" ref="EG156" ca="1">IF((COND_INTERSTICIAL[[#This Row],[Capa]]=N_capas)+(COND_INTERSTICIAL[[#This Row],[tramo gráf]]=COUNTIFS(COND_INTERSTICIAL[agua líquida],TRUE,COND_INTERSTICIAL[Mes],CW156,COND_INTERSTICIAL[Sección],CX156)+1),N_capas,INDEX(COND_INTERSTICIAL[capa lím inf gráf],MATCH(COND_INTERSTICIAL[[#This Row],[Mes]]&amp;"-"&amp;COND_INTERSTICIAL[[#This Row],[Sección]]&amp;"-"&amp;(COND_INTERSTICIAL[[#This Row],[tramo gráf]]+1),COND_INTERSTICIAL[llave tramo gráf],0)))</f>
        <v>#N/A</v>
      </c>
      <c r="EH156" s="114" cm="1">
        <f t="array" aca="1" ref="EH15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6" s="116" t="e" cm="1">
        <f t="array" aca="1" ref="EI15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7" spans="101:139" x14ac:dyDescent="0.45">
      <c r="CW157" s="1" cm="1">
        <f t="array" ref="CW157">ROUNDUP((ROW()-$CN$18+(Mes_inicial_de_análisis-1)*N_capas*N_secciones)/(N_capas*N_secciones),0)-12*IF(ROW()-$CN$18&gt;(12-Mes_inicial_de_análisis+1)*N_capas*N_secciones,1,0)</f>
        <v>4</v>
      </c>
      <c r="CX157" cm="1">
        <f t="array" ref="CX157">ROUNDUP((ROW()-$CN$18)/N_capas-(ROUNDUP((ROW()-$CN$18)/(N_capas*N_secciones),0)-1)*N_secciones,0)</f>
        <v>2</v>
      </c>
      <c r="CY157" cm="1">
        <f t="array" ref="CY157">(ROW()-$CN$18)-(COND_INTERSTICIAL[[#This Row],[Sección]]-1)*N_capas-(ROUNDUP((ROW()-$CN$18)/(N_capas*N_secciones),0)-1)*N_capas*N_secciones</f>
        <v>5</v>
      </c>
      <c r="CZ157" t="str">
        <f>COND_INTERSTICIAL[[#This Row],[Mes]]&amp;"-"&amp;COND_INTERSTICIAL[[#This Row],[Sección]]&amp;"-"&amp;COND_INTERSTICIAL[[#This Row],[Capa]]</f>
        <v>4-2-5</v>
      </c>
      <c r="DA157">
        <f ca="1">INDEX(SECCIONES_CAPAS[R''n],MATCH(COND_INTERSTICIAL[[#This Row],[Sección]]&amp;"-"&amp;COND_INTERSTICIAL[[#This Row],[Capa]],SECCIONES_CAPAS[llave],0))</f>
        <v>0.04</v>
      </c>
      <c r="DB157" s="172" t="e" cm="1">
        <f t="array" aca="1" ref="DB157" ca="1">INDEX(CLIMA[ϴe],COND_INTERSTICIAL[[#This Row],[Mes]])+COND_INTERSTICIAL[[#This Row],[Rn]]*(INDEX(CLIMA[ϴi],COND_INTERSTICIAL[[#This Row],[Mes]])-INDEX(CLIMA[ϴe],COND_INTERSTICIAL[[#This Row],[Mes]]))/(INDEX(SECCIONES[Rtsección_condensación],COND_INTERSTICIAL[[#This Row],[Sección]]))</f>
        <v>#N/A</v>
      </c>
      <c r="DC157">
        <f>INDEX(SECCIONES_CAPAS[Sd],MATCH(COND_INTERSTICIAL[[#This Row],[Sección]]&amp;"-"&amp;COND_INTERSTICIAL[[#This Row],[Capa]],SECCIONES_CAPAS[llave],0))</f>
        <v>0</v>
      </c>
      <c r="DD157">
        <f ca="1">INDEX(SECCIONES_CAPAS[S''d],MATCH(COND_INTERSTICIAL[[#This Row],[Sección]]&amp;"-"&amp;COND_INTERSTICIAL[[#This Row],[Capa]],SECCIONES_CAPAS[llave],0))</f>
        <v>0</v>
      </c>
      <c r="DE157" s="90" t="e">
        <f ca="1">IF(COND_INTERSTICIAL[[#This Row],[ϴn]]&gt;=0,610.5*EXP((17.269*COND_INTERSTICIAL[[#This Row],[ϴn]])/(237.3+COND_INTERSTICIAL[[#This Row],[ϴn]])),610.5*EXP((21.875*COND_INTERSTICIAL[[#This Row],[ϴn]])/(265.5+COND_INTERSTICIAL[[#This Row],[ϴn]])))</f>
        <v>#N/A</v>
      </c>
      <c r="DF157" s="90" t="e" cm="1">
        <f t="array" aca="1" ref="DF157" ca="1">COND_INTERSTICIAL[[#This Row],[S''d]]*((INDEX(CLIMA[Pi],COND_INTERSTICIAL[[#This Row],[Mes]])-INDEX(CLIMA[Pe],COND_INTERSTICIAL[[#This Row],[Mes]]))/INDEX(SECCIONES[SdT],COND_INTERSTICIAL[[#This Row],[Sección]]))+INDEX(CLIMA[Pe],COND_INTERSTICIAL[[#This Row],[Mes]])</f>
        <v>#N/A</v>
      </c>
      <c r="DG157" s="108" t="e">
        <f ca="1">IF((COND_INTERSTICIAL[[#This Row],[Pn]]&gt;=COND_INTERSTICIAL[[#This Row],[Psat]]),TRUE,FALSE)</f>
        <v>#N/A</v>
      </c>
      <c r="DH157" s="109" t="e" cm="1">
        <f t="array" aca="1" ref="DH157" ca="1">IF(COND_INTERSTICIAL[[#This Row],[Condensa]],COND_INTERSTICIAL[[#This Row],[Psat]],IF(COND_INTERSTICIAL[[#This Row],[Capa]]=N_capas,COND_INTERSTICIAL[[#This Row],[Pn]],""))</f>
        <v>#N/A</v>
      </c>
      <c r="DI157" s="109" t="e">
        <f ca="1">COND_INTERSTICIAL[[#This Row],[Mes]]&amp;"-"&amp;COND_INTERSTICIAL[[#This Row],[Sección]]&amp;"-"&amp;COND_INTERSTICIAL[[#This Row],[tramo cond]]</f>
        <v>#N/A</v>
      </c>
      <c r="DJ157" t="e" cm="1">
        <f t="array" aca="1" ref="DJ157" ca="1">IF(COND_INTERSTICIAL[[#This Row],[Capa]]=1,IF(COND_INTERSTICIAL[[#This Row],[Condensa]],2,1),IF(COND_INTERSTICIAL[[#This Row],[Condensa]],1,0)+INDIRECT(ADDRESS(ROW()-1,COLUMN(),4)))</f>
        <v>#N/A</v>
      </c>
      <c r="DK157" s="108" t="e" cm="1">
        <f t="array" aca="1" ref="DK157" ca="1">IF(COND_INTERSTICIAL[[#This Row],[tramo cond]]=1,0,IF((COND_INTERSTICIAL[[#This Row],[tramo cond]]&gt;INDIRECT(ADDRESS(ROW()-1,COLUMN(COND_INTERSTICIAL[[#This Row],[tramo cond]]),4)))+COND_INTERSTICIAL[[#This Row],[Condensa]],COND_INTERSTICIAL[[#This Row],[Capa]],INDIRECT(ADDRESS(ROW()-1,COLUMN(),4))))</f>
        <v>#N/A</v>
      </c>
      <c r="DL157" s="108" t="e" cm="1">
        <f t="array" aca="1" ref="DL157" ca="1">IF((COND_INTERSTICIAL[[#This Row],[Capa]]=N_capas)+(COND_INTERSTICIAL[[#This Row],[tramo cond]]=COUNTIFS(COND_INTERSTICIAL[Condensa],TRUE,COND_INTERSTICIAL[Mes],CW157,COND_INTERSTICIAL[Sección],CX157)+1),N_capas,INDEX(COND_INTERSTICIAL[capa lím inf cond],MATCH(COND_INTERSTICIAL[[#This Row],[Mes]]&amp;"-"&amp;COND_INTERSTICIAL[[#This Row],[Sección]]&amp;"-"&amp;(COND_INTERSTICIAL[[#This Row],[tramo cond]]+1),COND_INTERSTICIAL[llave tramo cond],0)))</f>
        <v>#N/A</v>
      </c>
      <c r="DM157" s="108" cm="1">
        <f t="array" aca="1" ref="DM15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7" s="110" t="e" cm="1">
        <f t="array" aca="1" ref="DN15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7" s="107" t="e">
        <f ca="1">COND_INTERSTICIAL[[#This Row],[gc]]+COND_INTERSTICIAL[[#This Row],[Ma_anterior cond]]</f>
        <v>#N/A</v>
      </c>
      <c r="DQ157" s="113" t="e">
        <f ca="1">IF((COND_INTERSTICIAL[[#This Row],[Ma_anterior cond]]&gt;0)*NOT(COND_INTERSTICIAL[[#This Row],[Condensa]]),TRUE,FALSE)</f>
        <v>#N/A</v>
      </c>
      <c r="DR157" s="112" t="e" cm="1">
        <f t="array" aca="1" ref="DR157" ca="1">IF(COND_INTERSTICIAL[[#This Row],[evapora]],COND_INTERSTICIAL[[#This Row],[Psat]],IF(COND_INTERSTICIAL[[#This Row],[Capa]]=N_capas,COND_INTERSTICIAL[[#This Row],[Pn]],""))</f>
        <v>#N/A</v>
      </c>
      <c r="DS157" s="112" t="e">
        <f ca="1">COND_INTERSTICIAL[[#This Row],[Mes]]&amp;"-"&amp;COND_INTERSTICIAL[[#This Row],[Sección]]&amp;"-"&amp;COND_INTERSTICIAL[[#This Row],[tramo ev]]</f>
        <v>#N/A</v>
      </c>
      <c r="DT157" s="111" t="e" cm="1">
        <f t="array" aca="1" ref="DT157" ca="1">IF(COND_INTERSTICIAL[[#This Row],[Capa]]=1,IF(COND_INTERSTICIAL[[#This Row],[evapora]],2,1),IF(COND_INTERSTICIAL[[#This Row],[evapora]],1,0)+INDIRECT(ADDRESS(ROW()-1,COLUMN(),4)))</f>
        <v>#N/A</v>
      </c>
      <c r="DU157" s="111" t="e" cm="1">
        <f t="array" aca="1" ref="DU157" ca="1">IF(COND_INTERSTICIAL[[#This Row],[tramo ev]]=1,0,IF((COND_INTERSTICIAL[[#This Row],[tramo ev]]&gt;INDIRECT(ADDRESS(ROW()-1,COLUMN(COND_INTERSTICIAL[[#This Row],[tramo ev]]),4)))+COND_INTERSTICIAL[[#This Row],[evapora]],COND_INTERSTICIAL[[#This Row],[Capa]],INDIRECT(ADDRESS(ROW()-1,COLUMN(),4))))</f>
        <v>#N/A</v>
      </c>
      <c r="DV157" s="111" t="e" cm="1">
        <f t="array" aca="1" ref="DV157" ca="1">IF((COND_INTERSTICIAL[[#This Row],[Capa]]=N_capas)+(COND_INTERSTICIAL[[#This Row],[tramo ev]]=COUNTIFS(COND_INTERSTICIAL[evapora],TRUE,COND_INTERSTICIAL[Mes],CW157,COND_INTERSTICIAL[Sección],CX157)+1),N_capas,INDEX(COND_INTERSTICIAL[capa lím inf ev],MATCH(COND_INTERSTICIAL[[#This Row],[Mes]]&amp;"-"&amp;COND_INTERSTICIAL[[#This Row],[Sección]]&amp;"-"&amp;(COND_INTERSTICIAL[[#This Row],[tramo ev]]+1),COND_INTERSTICIAL[llave tramo ev],0)))</f>
        <v>#N/A</v>
      </c>
      <c r="DW157" s="111" cm="1">
        <f t="array" aca="1" ref="DW15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7" s="113" t="e" cm="1">
        <f t="array" aca="1" ref="DX15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7" s="113" t="e">
        <f ca="1">COND_INTERSTICIAL[[#This Row],[gev]]+COND_INTERSTICIAL[[#This Row],[Ma anterior ev]]</f>
        <v>#N/A</v>
      </c>
      <c r="EA157" s="115" t="e">
        <f ca="1">IF(COND_INTERSTICIAL[[#This Row],[Ma cond]]+COND_INTERSTICIAL[[#This Row],[Ma ev]]&lt;=0,0,COND_INTERSTICIAL[[#This Row],[Ma cond]]+COND_INTERSTICIAL[[#This Row],[Ma ev]])</f>
        <v>#N/A</v>
      </c>
      <c r="EB157" s="115" t="e">
        <f ca="1">IF(COND_INTERSTICIAL[[#This Row],[Ma]]&gt;0,TRUE,FALSE)</f>
        <v>#N/A</v>
      </c>
      <c r="EC157" s="115" t="e" cm="1">
        <f t="array" aca="1" ref="EC157" ca="1">IF(COND_INTERSTICIAL[[#This Row],[agua líquida]],IF(COND_INTERSTICIAL[[#This Row],[Condensa]],COND_INTERSTICIAL[[#This Row],[P límite cond]],COND_INTERSTICIAL[[#This Row],[P límite ev]]),IF(COND_INTERSTICIAL[[#This Row],[Capa]]=N_capas,COND_INTERSTICIAL[[#This Row],[Pn]],""))</f>
        <v>#N/A</v>
      </c>
      <c r="ED157" s="115" t="e">
        <f ca="1">COND_INTERSTICIAL[[#This Row],[Mes]]&amp;"-"&amp;COND_INTERSTICIAL[[#This Row],[Sección]]&amp;"-"&amp;COND_INTERSTICIAL[[#This Row],[tramo gráf]]</f>
        <v>#N/A</v>
      </c>
      <c r="EE157" s="114" t="e" cm="1">
        <f t="array" aca="1" ref="EE157" ca="1">IF(COND_INTERSTICIAL[[#This Row],[Capa]]=1,IF(COND_INTERSTICIAL[[#This Row],[agua líquida]],2,1),IF(COND_INTERSTICIAL[[#This Row],[agua líquida]],1,0)+INDIRECT(ADDRESS(ROW()-1,COLUMN(),4)))</f>
        <v>#N/A</v>
      </c>
      <c r="EF157" s="114" t="e" cm="1">
        <f t="array" aca="1" ref="EF157" ca="1">IF(COND_INTERSTICIAL[[#This Row],[tramo gráf]]=1,0,IF((COND_INTERSTICIAL[[#This Row],[tramo gráf]]&gt;INDIRECT(ADDRESS(ROW()-1,COLUMN(COND_INTERSTICIAL[[#This Row],[tramo gráf]]),4)))+COND_INTERSTICIAL[[#This Row],[agua líquida]],COND_INTERSTICIAL[[#This Row],[Capa]],INDIRECT(ADDRESS(ROW()-1,COLUMN(),4))))</f>
        <v>#N/A</v>
      </c>
      <c r="EG157" s="114" t="e" cm="1">
        <f t="array" aca="1" ref="EG157" ca="1">IF((COND_INTERSTICIAL[[#This Row],[Capa]]=N_capas)+(COND_INTERSTICIAL[[#This Row],[tramo gráf]]=COUNTIFS(COND_INTERSTICIAL[agua líquida],TRUE,COND_INTERSTICIAL[Mes],CW157,COND_INTERSTICIAL[Sección],CX157)+1),N_capas,INDEX(COND_INTERSTICIAL[capa lím inf gráf],MATCH(COND_INTERSTICIAL[[#This Row],[Mes]]&amp;"-"&amp;COND_INTERSTICIAL[[#This Row],[Sección]]&amp;"-"&amp;(COND_INTERSTICIAL[[#This Row],[tramo gráf]]+1),COND_INTERSTICIAL[llave tramo gráf],0)))</f>
        <v>#N/A</v>
      </c>
      <c r="EH157" s="114" cm="1">
        <f t="array" aca="1" ref="EH15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7" s="116" t="e" cm="1">
        <f t="array" aca="1" ref="EI15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8" spans="101:139" x14ac:dyDescent="0.45">
      <c r="CW158" s="1" cm="1">
        <f t="array" ref="CW158">ROUNDUP((ROW()-$CN$18+(Mes_inicial_de_análisis-1)*N_capas*N_secciones)/(N_capas*N_secciones),0)-12*IF(ROW()-$CN$18&gt;(12-Mes_inicial_de_análisis+1)*N_capas*N_secciones,1,0)</f>
        <v>4</v>
      </c>
      <c r="CX158" cm="1">
        <f t="array" ref="CX158">ROUNDUP((ROW()-$CN$18)/N_capas-(ROUNDUP((ROW()-$CN$18)/(N_capas*N_secciones),0)-1)*N_secciones,0)</f>
        <v>2</v>
      </c>
      <c r="CY158" cm="1">
        <f t="array" ref="CY158">(ROW()-$CN$18)-(COND_INTERSTICIAL[[#This Row],[Sección]]-1)*N_capas-(ROUNDUP((ROW()-$CN$18)/(N_capas*N_secciones),0)-1)*N_capas*N_secciones</f>
        <v>6</v>
      </c>
      <c r="CZ158" t="str">
        <f>COND_INTERSTICIAL[[#This Row],[Mes]]&amp;"-"&amp;COND_INTERSTICIAL[[#This Row],[Sección]]&amp;"-"&amp;COND_INTERSTICIAL[[#This Row],[Capa]]</f>
        <v>4-2-6</v>
      </c>
      <c r="DA158">
        <f ca="1">INDEX(SECCIONES_CAPAS[R''n],MATCH(COND_INTERSTICIAL[[#This Row],[Sección]]&amp;"-"&amp;COND_INTERSTICIAL[[#This Row],[Capa]],SECCIONES_CAPAS[llave],0))</f>
        <v>0.04</v>
      </c>
      <c r="DB158" s="172" t="e" cm="1">
        <f t="array" aca="1" ref="DB158" ca="1">INDEX(CLIMA[ϴe],COND_INTERSTICIAL[[#This Row],[Mes]])+COND_INTERSTICIAL[[#This Row],[Rn]]*(INDEX(CLIMA[ϴi],COND_INTERSTICIAL[[#This Row],[Mes]])-INDEX(CLIMA[ϴe],COND_INTERSTICIAL[[#This Row],[Mes]]))/(INDEX(SECCIONES[Rtsección_condensación],COND_INTERSTICIAL[[#This Row],[Sección]]))</f>
        <v>#N/A</v>
      </c>
      <c r="DC158">
        <f>INDEX(SECCIONES_CAPAS[Sd],MATCH(COND_INTERSTICIAL[[#This Row],[Sección]]&amp;"-"&amp;COND_INTERSTICIAL[[#This Row],[Capa]],SECCIONES_CAPAS[llave],0))</f>
        <v>0</v>
      </c>
      <c r="DD158">
        <f ca="1">INDEX(SECCIONES_CAPAS[S''d],MATCH(COND_INTERSTICIAL[[#This Row],[Sección]]&amp;"-"&amp;COND_INTERSTICIAL[[#This Row],[Capa]],SECCIONES_CAPAS[llave],0))</f>
        <v>0</v>
      </c>
      <c r="DE158" s="90" t="e">
        <f ca="1">IF(COND_INTERSTICIAL[[#This Row],[ϴn]]&gt;=0,610.5*EXP((17.269*COND_INTERSTICIAL[[#This Row],[ϴn]])/(237.3+COND_INTERSTICIAL[[#This Row],[ϴn]])),610.5*EXP((21.875*COND_INTERSTICIAL[[#This Row],[ϴn]])/(265.5+COND_INTERSTICIAL[[#This Row],[ϴn]])))</f>
        <v>#N/A</v>
      </c>
      <c r="DF158" s="90" t="e" cm="1">
        <f t="array" aca="1" ref="DF158" ca="1">COND_INTERSTICIAL[[#This Row],[S''d]]*((INDEX(CLIMA[Pi],COND_INTERSTICIAL[[#This Row],[Mes]])-INDEX(CLIMA[Pe],COND_INTERSTICIAL[[#This Row],[Mes]]))/INDEX(SECCIONES[SdT],COND_INTERSTICIAL[[#This Row],[Sección]]))+INDEX(CLIMA[Pe],COND_INTERSTICIAL[[#This Row],[Mes]])</f>
        <v>#N/A</v>
      </c>
      <c r="DG158" s="108" t="e">
        <f ca="1">IF((COND_INTERSTICIAL[[#This Row],[Pn]]&gt;=COND_INTERSTICIAL[[#This Row],[Psat]]),TRUE,FALSE)</f>
        <v>#N/A</v>
      </c>
      <c r="DH158" s="109" t="e" cm="1">
        <f t="array" aca="1" ref="DH158" ca="1">IF(COND_INTERSTICIAL[[#This Row],[Condensa]],COND_INTERSTICIAL[[#This Row],[Psat]],IF(COND_INTERSTICIAL[[#This Row],[Capa]]=N_capas,COND_INTERSTICIAL[[#This Row],[Pn]],""))</f>
        <v>#N/A</v>
      </c>
      <c r="DI158" s="109" t="e">
        <f ca="1">COND_INTERSTICIAL[[#This Row],[Mes]]&amp;"-"&amp;COND_INTERSTICIAL[[#This Row],[Sección]]&amp;"-"&amp;COND_INTERSTICIAL[[#This Row],[tramo cond]]</f>
        <v>#N/A</v>
      </c>
      <c r="DJ158" t="e" cm="1">
        <f t="array" aca="1" ref="DJ158" ca="1">IF(COND_INTERSTICIAL[[#This Row],[Capa]]=1,IF(COND_INTERSTICIAL[[#This Row],[Condensa]],2,1),IF(COND_INTERSTICIAL[[#This Row],[Condensa]],1,0)+INDIRECT(ADDRESS(ROW()-1,COLUMN(),4)))</f>
        <v>#N/A</v>
      </c>
      <c r="DK158" s="108" t="e" cm="1">
        <f t="array" aca="1" ref="DK158" ca="1">IF(COND_INTERSTICIAL[[#This Row],[tramo cond]]=1,0,IF((COND_INTERSTICIAL[[#This Row],[tramo cond]]&gt;INDIRECT(ADDRESS(ROW()-1,COLUMN(COND_INTERSTICIAL[[#This Row],[tramo cond]]),4)))+COND_INTERSTICIAL[[#This Row],[Condensa]],COND_INTERSTICIAL[[#This Row],[Capa]],INDIRECT(ADDRESS(ROW()-1,COLUMN(),4))))</f>
        <v>#N/A</v>
      </c>
      <c r="DL158" s="108" t="e" cm="1">
        <f t="array" aca="1" ref="DL158" ca="1">IF((COND_INTERSTICIAL[[#This Row],[Capa]]=N_capas)+(COND_INTERSTICIAL[[#This Row],[tramo cond]]=COUNTIFS(COND_INTERSTICIAL[Condensa],TRUE,COND_INTERSTICIAL[Mes],CW158,COND_INTERSTICIAL[Sección],CX158)+1),N_capas,INDEX(COND_INTERSTICIAL[capa lím inf cond],MATCH(COND_INTERSTICIAL[[#This Row],[Mes]]&amp;"-"&amp;COND_INTERSTICIAL[[#This Row],[Sección]]&amp;"-"&amp;(COND_INTERSTICIAL[[#This Row],[tramo cond]]+1),COND_INTERSTICIAL[llave tramo cond],0)))</f>
        <v>#N/A</v>
      </c>
      <c r="DM158" s="108" cm="1">
        <f t="array" aca="1" ref="DM15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8" s="110" t="e" cm="1">
        <f t="array" aca="1" ref="DN15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8" s="107" t="e">
        <f ca="1">COND_INTERSTICIAL[[#This Row],[gc]]+COND_INTERSTICIAL[[#This Row],[Ma_anterior cond]]</f>
        <v>#N/A</v>
      </c>
      <c r="DQ158" s="113" t="e">
        <f ca="1">IF((COND_INTERSTICIAL[[#This Row],[Ma_anterior cond]]&gt;0)*NOT(COND_INTERSTICIAL[[#This Row],[Condensa]]),TRUE,FALSE)</f>
        <v>#N/A</v>
      </c>
      <c r="DR158" s="112" t="e" cm="1">
        <f t="array" aca="1" ref="DR158" ca="1">IF(COND_INTERSTICIAL[[#This Row],[evapora]],COND_INTERSTICIAL[[#This Row],[Psat]],IF(COND_INTERSTICIAL[[#This Row],[Capa]]=N_capas,COND_INTERSTICIAL[[#This Row],[Pn]],""))</f>
        <v>#N/A</v>
      </c>
      <c r="DS158" s="112" t="e">
        <f ca="1">COND_INTERSTICIAL[[#This Row],[Mes]]&amp;"-"&amp;COND_INTERSTICIAL[[#This Row],[Sección]]&amp;"-"&amp;COND_INTERSTICIAL[[#This Row],[tramo ev]]</f>
        <v>#N/A</v>
      </c>
      <c r="DT158" s="111" t="e" cm="1">
        <f t="array" aca="1" ref="DT158" ca="1">IF(COND_INTERSTICIAL[[#This Row],[Capa]]=1,IF(COND_INTERSTICIAL[[#This Row],[evapora]],2,1),IF(COND_INTERSTICIAL[[#This Row],[evapora]],1,0)+INDIRECT(ADDRESS(ROW()-1,COLUMN(),4)))</f>
        <v>#N/A</v>
      </c>
      <c r="DU158" s="111" t="e" cm="1">
        <f t="array" aca="1" ref="DU158" ca="1">IF(COND_INTERSTICIAL[[#This Row],[tramo ev]]=1,0,IF((COND_INTERSTICIAL[[#This Row],[tramo ev]]&gt;INDIRECT(ADDRESS(ROW()-1,COLUMN(COND_INTERSTICIAL[[#This Row],[tramo ev]]),4)))+COND_INTERSTICIAL[[#This Row],[evapora]],COND_INTERSTICIAL[[#This Row],[Capa]],INDIRECT(ADDRESS(ROW()-1,COLUMN(),4))))</f>
        <v>#N/A</v>
      </c>
      <c r="DV158" s="111" t="e" cm="1">
        <f t="array" aca="1" ref="DV158" ca="1">IF((COND_INTERSTICIAL[[#This Row],[Capa]]=N_capas)+(COND_INTERSTICIAL[[#This Row],[tramo ev]]=COUNTIFS(COND_INTERSTICIAL[evapora],TRUE,COND_INTERSTICIAL[Mes],CW158,COND_INTERSTICIAL[Sección],CX158)+1),N_capas,INDEX(COND_INTERSTICIAL[capa lím inf ev],MATCH(COND_INTERSTICIAL[[#This Row],[Mes]]&amp;"-"&amp;COND_INTERSTICIAL[[#This Row],[Sección]]&amp;"-"&amp;(COND_INTERSTICIAL[[#This Row],[tramo ev]]+1),COND_INTERSTICIAL[llave tramo ev],0)))</f>
        <v>#N/A</v>
      </c>
      <c r="DW158" s="111" cm="1">
        <f t="array" aca="1" ref="DW15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8" s="113" t="e" cm="1">
        <f t="array" aca="1" ref="DX15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8" s="113" t="e">
        <f ca="1">COND_INTERSTICIAL[[#This Row],[gev]]+COND_INTERSTICIAL[[#This Row],[Ma anterior ev]]</f>
        <v>#N/A</v>
      </c>
      <c r="EA158" s="115" t="e">
        <f ca="1">IF(COND_INTERSTICIAL[[#This Row],[Ma cond]]+COND_INTERSTICIAL[[#This Row],[Ma ev]]&lt;=0,0,COND_INTERSTICIAL[[#This Row],[Ma cond]]+COND_INTERSTICIAL[[#This Row],[Ma ev]])</f>
        <v>#N/A</v>
      </c>
      <c r="EB158" s="115" t="e">
        <f ca="1">IF(COND_INTERSTICIAL[[#This Row],[Ma]]&gt;0,TRUE,FALSE)</f>
        <v>#N/A</v>
      </c>
      <c r="EC158" s="115" t="e" cm="1">
        <f t="array" aca="1" ref="EC158" ca="1">IF(COND_INTERSTICIAL[[#This Row],[agua líquida]],IF(COND_INTERSTICIAL[[#This Row],[Condensa]],COND_INTERSTICIAL[[#This Row],[P límite cond]],COND_INTERSTICIAL[[#This Row],[P límite ev]]),IF(COND_INTERSTICIAL[[#This Row],[Capa]]=N_capas,COND_INTERSTICIAL[[#This Row],[Pn]],""))</f>
        <v>#N/A</v>
      </c>
      <c r="ED158" s="115" t="e">
        <f ca="1">COND_INTERSTICIAL[[#This Row],[Mes]]&amp;"-"&amp;COND_INTERSTICIAL[[#This Row],[Sección]]&amp;"-"&amp;COND_INTERSTICIAL[[#This Row],[tramo gráf]]</f>
        <v>#N/A</v>
      </c>
      <c r="EE158" s="114" t="e" cm="1">
        <f t="array" aca="1" ref="EE158" ca="1">IF(COND_INTERSTICIAL[[#This Row],[Capa]]=1,IF(COND_INTERSTICIAL[[#This Row],[agua líquida]],2,1),IF(COND_INTERSTICIAL[[#This Row],[agua líquida]],1,0)+INDIRECT(ADDRESS(ROW()-1,COLUMN(),4)))</f>
        <v>#N/A</v>
      </c>
      <c r="EF158" s="114" t="e" cm="1">
        <f t="array" aca="1" ref="EF158" ca="1">IF(COND_INTERSTICIAL[[#This Row],[tramo gráf]]=1,0,IF((COND_INTERSTICIAL[[#This Row],[tramo gráf]]&gt;INDIRECT(ADDRESS(ROW()-1,COLUMN(COND_INTERSTICIAL[[#This Row],[tramo gráf]]),4)))+COND_INTERSTICIAL[[#This Row],[agua líquida]],COND_INTERSTICIAL[[#This Row],[Capa]],INDIRECT(ADDRESS(ROW()-1,COLUMN(),4))))</f>
        <v>#N/A</v>
      </c>
      <c r="EG158" s="114" t="e" cm="1">
        <f t="array" aca="1" ref="EG158" ca="1">IF((COND_INTERSTICIAL[[#This Row],[Capa]]=N_capas)+(COND_INTERSTICIAL[[#This Row],[tramo gráf]]=COUNTIFS(COND_INTERSTICIAL[agua líquida],TRUE,COND_INTERSTICIAL[Mes],CW158,COND_INTERSTICIAL[Sección],CX158)+1),N_capas,INDEX(COND_INTERSTICIAL[capa lím inf gráf],MATCH(COND_INTERSTICIAL[[#This Row],[Mes]]&amp;"-"&amp;COND_INTERSTICIAL[[#This Row],[Sección]]&amp;"-"&amp;(COND_INTERSTICIAL[[#This Row],[tramo gráf]]+1),COND_INTERSTICIAL[llave tramo gráf],0)))</f>
        <v>#N/A</v>
      </c>
      <c r="EH158" s="114" cm="1">
        <f t="array" aca="1" ref="EH15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8" s="116" t="e" cm="1">
        <f t="array" aca="1" ref="EI15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9" spans="101:139" x14ac:dyDescent="0.45">
      <c r="CW159" s="1" cm="1">
        <f t="array" ref="CW159">ROUNDUP((ROW()-$CN$18+(Mes_inicial_de_análisis-1)*N_capas*N_secciones)/(N_capas*N_secciones),0)-12*IF(ROW()-$CN$18&gt;(12-Mes_inicial_de_análisis+1)*N_capas*N_secciones,1,0)</f>
        <v>4</v>
      </c>
      <c r="CX159" cm="1">
        <f t="array" ref="CX159">ROUNDUP((ROW()-$CN$18)/N_capas-(ROUNDUP((ROW()-$CN$18)/(N_capas*N_secciones),0)-1)*N_secciones,0)</f>
        <v>2</v>
      </c>
      <c r="CY159" cm="1">
        <f t="array" ref="CY159">(ROW()-$CN$18)-(COND_INTERSTICIAL[[#This Row],[Sección]]-1)*N_capas-(ROUNDUP((ROW()-$CN$18)/(N_capas*N_secciones),0)-1)*N_capas*N_secciones</f>
        <v>7</v>
      </c>
      <c r="CZ159" t="str">
        <f>COND_INTERSTICIAL[[#This Row],[Mes]]&amp;"-"&amp;COND_INTERSTICIAL[[#This Row],[Sección]]&amp;"-"&amp;COND_INTERSTICIAL[[#This Row],[Capa]]</f>
        <v>4-2-7</v>
      </c>
      <c r="DA159">
        <f ca="1">INDEX(SECCIONES_CAPAS[R''n],MATCH(COND_INTERSTICIAL[[#This Row],[Sección]]&amp;"-"&amp;COND_INTERSTICIAL[[#This Row],[Capa]],SECCIONES_CAPAS[llave],0))</f>
        <v>0.04</v>
      </c>
      <c r="DB159" s="172" t="e" cm="1">
        <f t="array" aca="1" ref="DB159" ca="1">INDEX(CLIMA[ϴe],COND_INTERSTICIAL[[#This Row],[Mes]])+COND_INTERSTICIAL[[#This Row],[Rn]]*(INDEX(CLIMA[ϴi],COND_INTERSTICIAL[[#This Row],[Mes]])-INDEX(CLIMA[ϴe],COND_INTERSTICIAL[[#This Row],[Mes]]))/(INDEX(SECCIONES[Rtsección_condensación],COND_INTERSTICIAL[[#This Row],[Sección]]))</f>
        <v>#N/A</v>
      </c>
      <c r="DC159">
        <f>INDEX(SECCIONES_CAPAS[Sd],MATCH(COND_INTERSTICIAL[[#This Row],[Sección]]&amp;"-"&amp;COND_INTERSTICIAL[[#This Row],[Capa]],SECCIONES_CAPAS[llave],0))</f>
        <v>0</v>
      </c>
      <c r="DD159">
        <f ca="1">INDEX(SECCIONES_CAPAS[S''d],MATCH(COND_INTERSTICIAL[[#This Row],[Sección]]&amp;"-"&amp;COND_INTERSTICIAL[[#This Row],[Capa]],SECCIONES_CAPAS[llave],0))</f>
        <v>0</v>
      </c>
      <c r="DE159" s="90" t="e">
        <f ca="1">IF(COND_INTERSTICIAL[[#This Row],[ϴn]]&gt;=0,610.5*EXP((17.269*COND_INTERSTICIAL[[#This Row],[ϴn]])/(237.3+COND_INTERSTICIAL[[#This Row],[ϴn]])),610.5*EXP((21.875*COND_INTERSTICIAL[[#This Row],[ϴn]])/(265.5+COND_INTERSTICIAL[[#This Row],[ϴn]])))</f>
        <v>#N/A</v>
      </c>
      <c r="DF159" s="90" t="e" cm="1">
        <f t="array" aca="1" ref="DF159" ca="1">COND_INTERSTICIAL[[#This Row],[S''d]]*((INDEX(CLIMA[Pi],COND_INTERSTICIAL[[#This Row],[Mes]])-INDEX(CLIMA[Pe],COND_INTERSTICIAL[[#This Row],[Mes]]))/INDEX(SECCIONES[SdT],COND_INTERSTICIAL[[#This Row],[Sección]]))+INDEX(CLIMA[Pe],COND_INTERSTICIAL[[#This Row],[Mes]])</f>
        <v>#N/A</v>
      </c>
      <c r="DG159" s="108" t="e">
        <f ca="1">IF((COND_INTERSTICIAL[[#This Row],[Pn]]&gt;=COND_INTERSTICIAL[[#This Row],[Psat]]),TRUE,FALSE)</f>
        <v>#N/A</v>
      </c>
      <c r="DH159" s="109" t="e" cm="1">
        <f t="array" aca="1" ref="DH159" ca="1">IF(COND_INTERSTICIAL[[#This Row],[Condensa]],COND_INTERSTICIAL[[#This Row],[Psat]],IF(COND_INTERSTICIAL[[#This Row],[Capa]]=N_capas,COND_INTERSTICIAL[[#This Row],[Pn]],""))</f>
        <v>#N/A</v>
      </c>
      <c r="DI159" s="109" t="e">
        <f ca="1">COND_INTERSTICIAL[[#This Row],[Mes]]&amp;"-"&amp;COND_INTERSTICIAL[[#This Row],[Sección]]&amp;"-"&amp;COND_INTERSTICIAL[[#This Row],[tramo cond]]</f>
        <v>#N/A</v>
      </c>
      <c r="DJ159" t="e" cm="1">
        <f t="array" aca="1" ref="DJ159" ca="1">IF(COND_INTERSTICIAL[[#This Row],[Capa]]=1,IF(COND_INTERSTICIAL[[#This Row],[Condensa]],2,1),IF(COND_INTERSTICIAL[[#This Row],[Condensa]],1,0)+INDIRECT(ADDRESS(ROW()-1,COLUMN(),4)))</f>
        <v>#N/A</v>
      </c>
      <c r="DK159" s="108" t="e" cm="1">
        <f t="array" aca="1" ref="DK159" ca="1">IF(COND_INTERSTICIAL[[#This Row],[tramo cond]]=1,0,IF((COND_INTERSTICIAL[[#This Row],[tramo cond]]&gt;INDIRECT(ADDRESS(ROW()-1,COLUMN(COND_INTERSTICIAL[[#This Row],[tramo cond]]),4)))+COND_INTERSTICIAL[[#This Row],[Condensa]],COND_INTERSTICIAL[[#This Row],[Capa]],INDIRECT(ADDRESS(ROW()-1,COLUMN(),4))))</f>
        <v>#N/A</v>
      </c>
      <c r="DL159" s="108" t="e" cm="1">
        <f t="array" aca="1" ref="DL159" ca="1">IF((COND_INTERSTICIAL[[#This Row],[Capa]]=N_capas)+(COND_INTERSTICIAL[[#This Row],[tramo cond]]=COUNTIFS(COND_INTERSTICIAL[Condensa],TRUE,COND_INTERSTICIAL[Mes],CW159,COND_INTERSTICIAL[Sección],CX159)+1),N_capas,INDEX(COND_INTERSTICIAL[capa lím inf cond],MATCH(COND_INTERSTICIAL[[#This Row],[Mes]]&amp;"-"&amp;COND_INTERSTICIAL[[#This Row],[Sección]]&amp;"-"&amp;(COND_INTERSTICIAL[[#This Row],[tramo cond]]+1),COND_INTERSTICIAL[llave tramo cond],0)))</f>
        <v>#N/A</v>
      </c>
      <c r="DM159" s="108" cm="1">
        <f t="array" aca="1" ref="DM15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9" s="110" t="e" cm="1">
        <f t="array" aca="1" ref="DN15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9" s="107" t="e">
        <f ca="1">COND_INTERSTICIAL[[#This Row],[gc]]+COND_INTERSTICIAL[[#This Row],[Ma_anterior cond]]</f>
        <v>#N/A</v>
      </c>
      <c r="DQ159" s="113" t="e">
        <f ca="1">IF((COND_INTERSTICIAL[[#This Row],[Ma_anterior cond]]&gt;0)*NOT(COND_INTERSTICIAL[[#This Row],[Condensa]]),TRUE,FALSE)</f>
        <v>#N/A</v>
      </c>
      <c r="DR159" s="112" t="e" cm="1">
        <f t="array" aca="1" ref="DR159" ca="1">IF(COND_INTERSTICIAL[[#This Row],[evapora]],COND_INTERSTICIAL[[#This Row],[Psat]],IF(COND_INTERSTICIAL[[#This Row],[Capa]]=N_capas,COND_INTERSTICIAL[[#This Row],[Pn]],""))</f>
        <v>#N/A</v>
      </c>
      <c r="DS159" s="112" t="e">
        <f ca="1">COND_INTERSTICIAL[[#This Row],[Mes]]&amp;"-"&amp;COND_INTERSTICIAL[[#This Row],[Sección]]&amp;"-"&amp;COND_INTERSTICIAL[[#This Row],[tramo ev]]</f>
        <v>#N/A</v>
      </c>
      <c r="DT159" s="111" t="e" cm="1">
        <f t="array" aca="1" ref="DT159" ca="1">IF(COND_INTERSTICIAL[[#This Row],[Capa]]=1,IF(COND_INTERSTICIAL[[#This Row],[evapora]],2,1),IF(COND_INTERSTICIAL[[#This Row],[evapora]],1,0)+INDIRECT(ADDRESS(ROW()-1,COLUMN(),4)))</f>
        <v>#N/A</v>
      </c>
      <c r="DU159" s="111" t="e" cm="1">
        <f t="array" aca="1" ref="DU159" ca="1">IF(COND_INTERSTICIAL[[#This Row],[tramo ev]]=1,0,IF((COND_INTERSTICIAL[[#This Row],[tramo ev]]&gt;INDIRECT(ADDRESS(ROW()-1,COLUMN(COND_INTERSTICIAL[[#This Row],[tramo ev]]),4)))+COND_INTERSTICIAL[[#This Row],[evapora]],COND_INTERSTICIAL[[#This Row],[Capa]],INDIRECT(ADDRESS(ROW()-1,COLUMN(),4))))</f>
        <v>#N/A</v>
      </c>
      <c r="DV159" s="111" t="e" cm="1">
        <f t="array" aca="1" ref="DV159" ca="1">IF((COND_INTERSTICIAL[[#This Row],[Capa]]=N_capas)+(COND_INTERSTICIAL[[#This Row],[tramo ev]]=COUNTIFS(COND_INTERSTICIAL[evapora],TRUE,COND_INTERSTICIAL[Mes],CW159,COND_INTERSTICIAL[Sección],CX159)+1),N_capas,INDEX(COND_INTERSTICIAL[capa lím inf ev],MATCH(COND_INTERSTICIAL[[#This Row],[Mes]]&amp;"-"&amp;COND_INTERSTICIAL[[#This Row],[Sección]]&amp;"-"&amp;(COND_INTERSTICIAL[[#This Row],[tramo ev]]+1),COND_INTERSTICIAL[llave tramo ev],0)))</f>
        <v>#N/A</v>
      </c>
      <c r="DW159" s="111" cm="1">
        <f t="array" aca="1" ref="DW15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9" s="113" t="e" cm="1">
        <f t="array" aca="1" ref="DX15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9" s="113" t="e">
        <f ca="1">COND_INTERSTICIAL[[#This Row],[gev]]+COND_INTERSTICIAL[[#This Row],[Ma anterior ev]]</f>
        <v>#N/A</v>
      </c>
      <c r="EA159" s="115" t="e">
        <f ca="1">IF(COND_INTERSTICIAL[[#This Row],[Ma cond]]+COND_INTERSTICIAL[[#This Row],[Ma ev]]&lt;=0,0,COND_INTERSTICIAL[[#This Row],[Ma cond]]+COND_INTERSTICIAL[[#This Row],[Ma ev]])</f>
        <v>#N/A</v>
      </c>
      <c r="EB159" s="115" t="e">
        <f ca="1">IF(COND_INTERSTICIAL[[#This Row],[Ma]]&gt;0,TRUE,FALSE)</f>
        <v>#N/A</v>
      </c>
      <c r="EC159" s="115" t="e" cm="1">
        <f t="array" aca="1" ref="EC159" ca="1">IF(COND_INTERSTICIAL[[#This Row],[agua líquida]],IF(COND_INTERSTICIAL[[#This Row],[Condensa]],COND_INTERSTICIAL[[#This Row],[P límite cond]],COND_INTERSTICIAL[[#This Row],[P límite ev]]),IF(COND_INTERSTICIAL[[#This Row],[Capa]]=N_capas,COND_INTERSTICIAL[[#This Row],[Pn]],""))</f>
        <v>#N/A</v>
      </c>
      <c r="ED159" s="115" t="e">
        <f ca="1">COND_INTERSTICIAL[[#This Row],[Mes]]&amp;"-"&amp;COND_INTERSTICIAL[[#This Row],[Sección]]&amp;"-"&amp;COND_INTERSTICIAL[[#This Row],[tramo gráf]]</f>
        <v>#N/A</v>
      </c>
      <c r="EE159" s="114" t="e" cm="1">
        <f t="array" aca="1" ref="EE159" ca="1">IF(COND_INTERSTICIAL[[#This Row],[Capa]]=1,IF(COND_INTERSTICIAL[[#This Row],[agua líquida]],2,1),IF(COND_INTERSTICIAL[[#This Row],[agua líquida]],1,0)+INDIRECT(ADDRESS(ROW()-1,COLUMN(),4)))</f>
        <v>#N/A</v>
      </c>
      <c r="EF159" s="114" t="e" cm="1">
        <f t="array" aca="1" ref="EF159" ca="1">IF(COND_INTERSTICIAL[[#This Row],[tramo gráf]]=1,0,IF((COND_INTERSTICIAL[[#This Row],[tramo gráf]]&gt;INDIRECT(ADDRESS(ROW()-1,COLUMN(COND_INTERSTICIAL[[#This Row],[tramo gráf]]),4)))+COND_INTERSTICIAL[[#This Row],[agua líquida]],COND_INTERSTICIAL[[#This Row],[Capa]],INDIRECT(ADDRESS(ROW()-1,COLUMN(),4))))</f>
        <v>#N/A</v>
      </c>
      <c r="EG159" s="114" t="e" cm="1">
        <f t="array" aca="1" ref="EG159" ca="1">IF((COND_INTERSTICIAL[[#This Row],[Capa]]=N_capas)+(COND_INTERSTICIAL[[#This Row],[tramo gráf]]=COUNTIFS(COND_INTERSTICIAL[agua líquida],TRUE,COND_INTERSTICIAL[Mes],CW159,COND_INTERSTICIAL[Sección],CX159)+1),N_capas,INDEX(COND_INTERSTICIAL[capa lím inf gráf],MATCH(COND_INTERSTICIAL[[#This Row],[Mes]]&amp;"-"&amp;COND_INTERSTICIAL[[#This Row],[Sección]]&amp;"-"&amp;(COND_INTERSTICIAL[[#This Row],[tramo gráf]]+1),COND_INTERSTICIAL[llave tramo gráf],0)))</f>
        <v>#N/A</v>
      </c>
      <c r="EH159" s="114" cm="1">
        <f t="array" aca="1" ref="EH15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9" s="116" t="e" cm="1">
        <f t="array" aca="1" ref="EI15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0" spans="101:139" x14ac:dyDescent="0.45">
      <c r="CW160" s="1" cm="1">
        <f t="array" ref="CW160">ROUNDUP((ROW()-$CN$18+(Mes_inicial_de_análisis-1)*N_capas*N_secciones)/(N_capas*N_secciones),0)-12*IF(ROW()-$CN$18&gt;(12-Mes_inicial_de_análisis+1)*N_capas*N_secciones,1,0)</f>
        <v>5</v>
      </c>
      <c r="CX160" cm="1">
        <f t="array" ref="CX160">ROUNDUP((ROW()-$CN$18)/N_capas-(ROUNDUP((ROW()-$CN$18)/(N_capas*N_secciones),0)-1)*N_secciones,0)</f>
        <v>1</v>
      </c>
      <c r="CY160" cm="1">
        <f t="array" ref="CY160">(ROW()-$CN$18)-(COND_INTERSTICIAL[[#This Row],[Sección]]-1)*N_capas-(ROUNDUP((ROW()-$CN$18)/(N_capas*N_secciones),0)-1)*N_capas*N_secciones</f>
        <v>1</v>
      </c>
      <c r="CZ160" t="str">
        <f>COND_INTERSTICIAL[[#This Row],[Mes]]&amp;"-"&amp;COND_INTERSTICIAL[[#This Row],[Sección]]&amp;"-"&amp;COND_INTERSTICIAL[[#This Row],[Capa]]</f>
        <v>5-1-1</v>
      </c>
      <c r="DA160">
        <f ca="1">INDEX(SECCIONES_CAPAS[R''n],MATCH(COND_INTERSTICIAL[[#This Row],[Sección]]&amp;"-"&amp;COND_INTERSTICIAL[[#This Row],[Capa]],SECCIONES_CAPAS[llave],0))</f>
        <v>0.04</v>
      </c>
      <c r="DB160" s="172" t="e" cm="1">
        <f t="array" aca="1" ref="DB160" ca="1">INDEX(CLIMA[ϴe],COND_INTERSTICIAL[[#This Row],[Mes]])+COND_INTERSTICIAL[[#This Row],[Rn]]*(INDEX(CLIMA[ϴi],COND_INTERSTICIAL[[#This Row],[Mes]])-INDEX(CLIMA[ϴe],COND_INTERSTICIAL[[#This Row],[Mes]]))/(INDEX(SECCIONES[Rtsección_condensación],COND_INTERSTICIAL[[#This Row],[Sección]]))</f>
        <v>#N/A</v>
      </c>
      <c r="DC160">
        <f>INDEX(SECCIONES_CAPAS[Sd],MATCH(COND_INTERSTICIAL[[#This Row],[Sección]]&amp;"-"&amp;COND_INTERSTICIAL[[#This Row],[Capa]],SECCIONES_CAPAS[llave],0))</f>
        <v>0</v>
      </c>
      <c r="DD160">
        <f ca="1">INDEX(SECCIONES_CAPAS[S''d],MATCH(COND_INTERSTICIAL[[#This Row],[Sección]]&amp;"-"&amp;COND_INTERSTICIAL[[#This Row],[Capa]],SECCIONES_CAPAS[llave],0))</f>
        <v>0</v>
      </c>
      <c r="DE160" s="90" t="e">
        <f ca="1">IF(COND_INTERSTICIAL[[#This Row],[ϴn]]&gt;=0,610.5*EXP((17.269*COND_INTERSTICIAL[[#This Row],[ϴn]])/(237.3+COND_INTERSTICIAL[[#This Row],[ϴn]])),610.5*EXP((21.875*COND_INTERSTICIAL[[#This Row],[ϴn]])/(265.5+COND_INTERSTICIAL[[#This Row],[ϴn]])))</f>
        <v>#N/A</v>
      </c>
      <c r="DF160" s="90" t="e" cm="1">
        <f t="array" aca="1" ref="DF160" ca="1">COND_INTERSTICIAL[[#This Row],[S''d]]*((INDEX(CLIMA[Pi],COND_INTERSTICIAL[[#This Row],[Mes]])-INDEX(CLIMA[Pe],COND_INTERSTICIAL[[#This Row],[Mes]]))/INDEX(SECCIONES[SdT],COND_INTERSTICIAL[[#This Row],[Sección]]))+INDEX(CLIMA[Pe],COND_INTERSTICIAL[[#This Row],[Mes]])</f>
        <v>#N/A</v>
      </c>
      <c r="DG160" s="108" t="e">
        <f ca="1">IF((COND_INTERSTICIAL[[#This Row],[Pn]]&gt;=COND_INTERSTICIAL[[#This Row],[Psat]]),TRUE,FALSE)</f>
        <v>#N/A</v>
      </c>
      <c r="DH160" s="109" t="e" cm="1">
        <f t="array" aca="1" ref="DH160" ca="1">IF(COND_INTERSTICIAL[[#This Row],[Condensa]],COND_INTERSTICIAL[[#This Row],[Psat]],IF(COND_INTERSTICIAL[[#This Row],[Capa]]=N_capas,COND_INTERSTICIAL[[#This Row],[Pn]],""))</f>
        <v>#N/A</v>
      </c>
      <c r="DI160" s="109" t="e">
        <f ca="1">COND_INTERSTICIAL[[#This Row],[Mes]]&amp;"-"&amp;COND_INTERSTICIAL[[#This Row],[Sección]]&amp;"-"&amp;COND_INTERSTICIAL[[#This Row],[tramo cond]]</f>
        <v>#N/A</v>
      </c>
      <c r="DJ160" t="e" cm="1">
        <f t="array" aca="1" ref="DJ160" ca="1">IF(COND_INTERSTICIAL[[#This Row],[Capa]]=1,IF(COND_INTERSTICIAL[[#This Row],[Condensa]],2,1),IF(COND_INTERSTICIAL[[#This Row],[Condensa]],1,0)+INDIRECT(ADDRESS(ROW()-1,COLUMN(),4)))</f>
        <v>#N/A</v>
      </c>
      <c r="DK160" s="108" t="e" cm="1">
        <f t="array" aca="1" ref="DK160" ca="1">IF(COND_INTERSTICIAL[[#This Row],[tramo cond]]=1,0,IF((COND_INTERSTICIAL[[#This Row],[tramo cond]]&gt;INDIRECT(ADDRESS(ROW()-1,COLUMN(COND_INTERSTICIAL[[#This Row],[tramo cond]]),4)))+COND_INTERSTICIAL[[#This Row],[Condensa]],COND_INTERSTICIAL[[#This Row],[Capa]],INDIRECT(ADDRESS(ROW()-1,COLUMN(),4))))</f>
        <v>#N/A</v>
      </c>
      <c r="DL160" s="108" t="e" cm="1">
        <f t="array" aca="1" ref="DL160" ca="1">IF((COND_INTERSTICIAL[[#This Row],[Capa]]=N_capas)+(COND_INTERSTICIAL[[#This Row],[tramo cond]]=COUNTIFS(COND_INTERSTICIAL[Condensa],TRUE,COND_INTERSTICIAL[Mes],CW160,COND_INTERSTICIAL[Sección],CX160)+1),N_capas,INDEX(COND_INTERSTICIAL[capa lím inf cond],MATCH(COND_INTERSTICIAL[[#This Row],[Mes]]&amp;"-"&amp;COND_INTERSTICIAL[[#This Row],[Sección]]&amp;"-"&amp;(COND_INTERSTICIAL[[#This Row],[tramo cond]]+1),COND_INTERSTICIAL[llave tramo cond],0)))</f>
        <v>#N/A</v>
      </c>
      <c r="DM160" s="108" cm="1">
        <f t="array" aca="1" ref="DM16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0" s="110" t="e" cm="1">
        <f t="array" aca="1" ref="DN16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0" s="107" t="e">
        <f ca="1">COND_INTERSTICIAL[[#This Row],[gc]]+COND_INTERSTICIAL[[#This Row],[Ma_anterior cond]]</f>
        <v>#N/A</v>
      </c>
      <c r="DQ160" s="113" t="e">
        <f ca="1">IF((COND_INTERSTICIAL[[#This Row],[Ma_anterior cond]]&gt;0)*NOT(COND_INTERSTICIAL[[#This Row],[Condensa]]),TRUE,FALSE)</f>
        <v>#N/A</v>
      </c>
      <c r="DR160" s="112" t="e" cm="1">
        <f t="array" aca="1" ref="DR160" ca="1">IF(COND_INTERSTICIAL[[#This Row],[evapora]],COND_INTERSTICIAL[[#This Row],[Psat]],IF(COND_INTERSTICIAL[[#This Row],[Capa]]=N_capas,COND_INTERSTICIAL[[#This Row],[Pn]],""))</f>
        <v>#N/A</v>
      </c>
      <c r="DS160" s="112" t="e">
        <f ca="1">COND_INTERSTICIAL[[#This Row],[Mes]]&amp;"-"&amp;COND_INTERSTICIAL[[#This Row],[Sección]]&amp;"-"&amp;COND_INTERSTICIAL[[#This Row],[tramo ev]]</f>
        <v>#N/A</v>
      </c>
      <c r="DT160" s="111" t="e" cm="1">
        <f t="array" aca="1" ref="DT160" ca="1">IF(COND_INTERSTICIAL[[#This Row],[Capa]]=1,IF(COND_INTERSTICIAL[[#This Row],[evapora]],2,1),IF(COND_INTERSTICIAL[[#This Row],[evapora]],1,0)+INDIRECT(ADDRESS(ROW()-1,COLUMN(),4)))</f>
        <v>#N/A</v>
      </c>
      <c r="DU160" s="111" t="e" cm="1">
        <f t="array" aca="1" ref="DU160" ca="1">IF(COND_INTERSTICIAL[[#This Row],[tramo ev]]=1,0,IF((COND_INTERSTICIAL[[#This Row],[tramo ev]]&gt;INDIRECT(ADDRESS(ROW()-1,COLUMN(COND_INTERSTICIAL[[#This Row],[tramo ev]]),4)))+COND_INTERSTICIAL[[#This Row],[evapora]],COND_INTERSTICIAL[[#This Row],[Capa]],INDIRECT(ADDRESS(ROW()-1,COLUMN(),4))))</f>
        <v>#N/A</v>
      </c>
      <c r="DV160" s="111" t="e" cm="1">
        <f t="array" aca="1" ref="DV160" ca="1">IF((COND_INTERSTICIAL[[#This Row],[Capa]]=N_capas)+(COND_INTERSTICIAL[[#This Row],[tramo ev]]=COUNTIFS(COND_INTERSTICIAL[evapora],TRUE,COND_INTERSTICIAL[Mes],CW160,COND_INTERSTICIAL[Sección],CX160)+1),N_capas,INDEX(COND_INTERSTICIAL[capa lím inf ev],MATCH(COND_INTERSTICIAL[[#This Row],[Mes]]&amp;"-"&amp;COND_INTERSTICIAL[[#This Row],[Sección]]&amp;"-"&amp;(COND_INTERSTICIAL[[#This Row],[tramo ev]]+1),COND_INTERSTICIAL[llave tramo ev],0)))</f>
        <v>#N/A</v>
      </c>
      <c r="DW160" s="111" cm="1">
        <f t="array" aca="1" ref="DW16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0" s="113" t="e" cm="1">
        <f t="array" aca="1" ref="DX16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0" s="113" t="e">
        <f ca="1">COND_INTERSTICIAL[[#This Row],[gev]]+COND_INTERSTICIAL[[#This Row],[Ma anterior ev]]</f>
        <v>#N/A</v>
      </c>
      <c r="EA160" s="115" t="e">
        <f ca="1">IF(COND_INTERSTICIAL[[#This Row],[Ma cond]]+COND_INTERSTICIAL[[#This Row],[Ma ev]]&lt;=0,0,COND_INTERSTICIAL[[#This Row],[Ma cond]]+COND_INTERSTICIAL[[#This Row],[Ma ev]])</f>
        <v>#N/A</v>
      </c>
      <c r="EB160" s="115" t="e">
        <f ca="1">IF(COND_INTERSTICIAL[[#This Row],[Ma]]&gt;0,TRUE,FALSE)</f>
        <v>#N/A</v>
      </c>
      <c r="EC160" s="115" t="e" cm="1">
        <f t="array" aca="1" ref="EC160" ca="1">IF(COND_INTERSTICIAL[[#This Row],[agua líquida]],IF(COND_INTERSTICIAL[[#This Row],[Condensa]],COND_INTERSTICIAL[[#This Row],[P límite cond]],COND_INTERSTICIAL[[#This Row],[P límite ev]]),IF(COND_INTERSTICIAL[[#This Row],[Capa]]=N_capas,COND_INTERSTICIAL[[#This Row],[Pn]],""))</f>
        <v>#N/A</v>
      </c>
      <c r="ED160" s="115" t="e">
        <f ca="1">COND_INTERSTICIAL[[#This Row],[Mes]]&amp;"-"&amp;COND_INTERSTICIAL[[#This Row],[Sección]]&amp;"-"&amp;COND_INTERSTICIAL[[#This Row],[tramo gráf]]</f>
        <v>#N/A</v>
      </c>
      <c r="EE160" s="114" t="e" cm="1">
        <f t="array" aca="1" ref="EE160" ca="1">IF(COND_INTERSTICIAL[[#This Row],[Capa]]=1,IF(COND_INTERSTICIAL[[#This Row],[agua líquida]],2,1),IF(COND_INTERSTICIAL[[#This Row],[agua líquida]],1,0)+INDIRECT(ADDRESS(ROW()-1,COLUMN(),4)))</f>
        <v>#N/A</v>
      </c>
      <c r="EF160" s="114" t="e" cm="1">
        <f t="array" aca="1" ref="EF160" ca="1">IF(COND_INTERSTICIAL[[#This Row],[tramo gráf]]=1,0,IF((COND_INTERSTICIAL[[#This Row],[tramo gráf]]&gt;INDIRECT(ADDRESS(ROW()-1,COLUMN(COND_INTERSTICIAL[[#This Row],[tramo gráf]]),4)))+COND_INTERSTICIAL[[#This Row],[agua líquida]],COND_INTERSTICIAL[[#This Row],[Capa]],INDIRECT(ADDRESS(ROW()-1,COLUMN(),4))))</f>
        <v>#N/A</v>
      </c>
      <c r="EG160" s="114" t="e" cm="1">
        <f t="array" aca="1" ref="EG160" ca="1">IF((COND_INTERSTICIAL[[#This Row],[Capa]]=N_capas)+(COND_INTERSTICIAL[[#This Row],[tramo gráf]]=COUNTIFS(COND_INTERSTICIAL[agua líquida],TRUE,COND_INTERSTICIAL[Mes],CW160,COND_INTERSTICIAL[Sección],CX160)+1),N_capas,INDEX(COND_INTERSTICIAL[capa lím inf gráf],MATCH(COND_INTERSTICIAL[[#This Row],[Mes]]&amp;"-"&amp;COND_INTERSTICIAL[[#This Row],[Sección]]&amp;"-"&amp;(COND_INTERSTICIAL[[#This Row],[tramo gráf]]+1),COND_INTERSTICIAL[llave tramo gráf],0)))</f>
        <v>#N/A</v>
      </c>
      <c r="EH160" s="114" cm="1">
        <f t="array" aca="1" ref="EH16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0" s="116" t="e" cm="1">
        <f t="array" aca="1" ref="EI16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1" spans="100:139" x14ac:dyDescent="0.45">
      <c r="CW161" s="1" cm="1">
        <f t="array" ref="CW161">ROUNDUP((ROW()-$CN$18+(Mes_inicial_de_análisis-1)*N_capas*N_secciones)/(N_capas*N_secciones),0)-12*IF(ROW()-$CN$18&gt;(12-Mes_inicial_de_análisis+1)*N_capas*N_secciones,1,0)</f>
        <v>5</v>
      </c>
      <c r="CX161" cm="1">
        <f t="array" ref="CX161">ROUNDUP((ROW()-$CN$18)/N_capas-(ROUNDUP((ROW()-$CN$18)/(N_capas*N_secciones),0)-1)*N_secciones,0)</f>
        <v>1</v>
      </c>
      <c r="CY161" cm="1">
        <f t="array" ref="CY161">(ROW()-$CN$18)-(COND_INTERSTICIAL[[#This Row],[Sección]]-1)*N_capas-(ROUNDUP((ROW()-$CN$18)/(N_capas*N_secciones),0)-1)*N_capas*N_secciones</f>
        <v>2</v>
      </c>
      <c r="CZ161" t="str">
        <f>COND_INTERSTICIAL[[#This Row],[Mes]]&amp;"-"&amp;COND_INTERSTICIAL[[#This Row],[Sección]]&amp;"-"&amp;COND_INTERSTICIAL[[#This Row],[Capa]]</f>
        <v>5-1-2</v>
      </c>
      <c r="DA161">
        <f ca="1">INDEX(SECCIONES_CAPAS[R''n],MATCH(COND_INTERSTICIAL[[#This Row],[Sección]]&amp;"-"&amp;COND_INTERSTICIAL[[#This Row],[Capa]],SECCIONES_CAPAS[llave],0))</f>
        <v>0.04</v>
      </c>
      <c r="DB161" s="172" t="e" cm="1">
        <f t="array" aca="1" ref="DB161" ca="1">INDEX(CLIMA[ϴe],COND_INTERSTICIAL[[#This Row],[Mes]])+COND_INTERSTICIAL[[#This Row],[Rn]]*(INDEX(CLIMA[ϴi],COND_INTERSTICIAL[[#This Row],[Mes]])-INDEX(CLIMA[ϴe],COND_INTERSTICIAL[[#This Row],[Mes]]))/(INDEX(SECCIONES[Rtsección_condensación],COND_INTERSTICIAL[[#This Row],[Sección]]))</f>
        <v>#N/A</v>
      </c>
      <c r="DC161">
        <f>INDEX(SECCIONES_CAPAS[Sd],MATCH(COND_INTERSTICIAL[[#This Row],[Sección]]&amp;"-"&amp;COND_INTERSTICIAL[[#This Row],[Capa]],SECCIONES_CAPAS[llave],0))</f>
        <v>0</v>
      </c>
      <c r="DD161">
        <f ca="1">INDEX(SECCIONES_CAPAS[S''d],MATCH(COND_INTERSTICIAL[[#This Row],[Sección]]&amp;"-"&amp;COND_INTERSTICIAL[[#This Row],[Capa]],SECCIONES_CAPAS[llave],0))</f>
        <v>0</v>
      </c>
      <c r="DE161" s="90" t="e">
        <f ca="1">IF(COND_INTERSTICIAL[[#This Row],[ϴn]]&gt;=0,610.5*EXP((17.269*COND_INTERSTICIAL[[#This Row],[ϴn]])/(237.3+COND_INTERSTICIAL[[#This Row],[ϴn]])),610.5*EXP((21.875*COND_INTERSTICIAL[[#This Row],[ϴn]])/(265.5+COND_INTERSTICIAL[[#This Row],[ϴn]])))</f>
        <v>#N/A</v>
      </c>
      <c r="DF161" s="90" t="e" cm="1">
        <f t="array" aca="1" ref="DF161" ca="1">COND_INTERSTICIAL[[#This Row],[S''d]]*((INDEX(CLIMA[Pi],COND_INTERSTICIAL[[#This Row],[Mes]])-INDEX(CLIMA[Pe],COND_INTERSTICIAL[[#This Row],[Mes]]))/INDEX(SECCIONES[SdT],COND_INTERSTICIAL[[#This Row],[Sección]]))+INDEX(CLIMA[Pe],COND_INTERSTICIAL[[#This Row],[Mes]])</f>
        <v>#N/A</v>
      </c>
      <c r="DG161" s="108" t="e">
        <f ca="1">IF((COND_INTERSTICIAL[[#This Row],[Pn]]&gt;=COND_INTERSTICIAL[[#This Row],[Psat]]),TRUE,FALSE)</f>
        <v>#N/A</v>
      </c>
      <c r="DH161" s="109" t="e" cm="1">
        <f t="array" aca="1" ref="DH161" ca="1">IF(COND_INTERSTICIAL[[#This Row],[Condensa]],COND_INTERSTICIAL[[#This Row],[Psat]],IF(COND_INTERSTICIAL[[#This Row],[Capa]]=N_capas,COND_INTERSTICIAL[[#This Row],[Pn]],""))</f>
        <v>#N/A</v>
      </c>
      <c r="DI161" s="109" t="e">
        <f ca="1">COND_INTERSTICIAL[[#This Row],[Mes]]&amp;"-"&amp;COND_INTERSTICIAL[[#This Row],[Sección]]&amp;"-"&amp;COND_INTERSTICIAL[[#This Row],[tramo cond]]</f>
        <v>#N/A</v>
      </c>
      <c r="DJ161" t="e" cm="1">
        <f t="array" aca="1" ref="DJ161" ca="1">IF(COND_INTERSTICIAL[[#This Row],[Capa]]=1,IF(COND_INTERSTICIAL[[#This Row],[Condensa]],2,1),IF(COND_INTERSTICIAL[[#This Row],[Condensa]],1,0)+INDIRECT(ADDRESS(ROW()-1,COLUMN(),4)))</f>
        <v>#N/A</v>
      </c>
      <c r="DK161" s="108" t="e" cm="1">
        <f t="array" aca="1" ref="DK161" ca="1">IF(COND_INTERSTICIAL[[#This Row],[tramo cond]]=1,0,IF((COND_INTERSTICIAL[[#This Row],[tramo cond]]&gt;INDIRECT(ADDRESS(ROW()-1,COLUMN(COND_INTERSTICIAL[[#This Row],[tramo cond]]),4)))+COND_INTERSTICIAL[[#This Row],[Condensa]],COND_INTERSTICIAL[[#This Row],[Capa]],INDIRECT(ADDRESS(ROW()-1,COLUMN(),4))))</f>
        <v>#N/A</v>
      </c>
      <c r="DL161" s="108" t="e" cm="1">
        <f t="array" aca="1" ref="DL161" ca="1">IF((COND_INTERSTICIAL[[#This Row],[Capa]]=N_capas)+(COND_INTERSTICIAL[[#This Row],[tramo cond]]=COUNTIFS(COND_INTERSTICIAL[Condensa],TRUE,COND_INTERSTICIAL[Mes],CW161,COND_INTERSTICIAL[Sección],CX161)+1),N_capas,INDEX(COND_INTERSTICIAL[capa lím inf cond],MATCH(COND_INTERSTICIAL[[#This Row],[Mes]]&amp;"-"&amp;COND_INTERSTICIAL[[#This Row],[Sección]]&amp;"-"&amp;(COND_INTERSTICIAL[[#This Row],[tramo cond]]+1),COND_INTERSTICIAL[llave tramo cond],0)))</f>
        <v>#N/A</v>
      </c>
      <c r="DM161" s="108" cm="1">
        <f t="array" aca="1" ref="DM16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1" s="110" t="e" cm="1">
        <f t="array" aca="1" ref="DN16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1" s="107" t="e">
        <f ca="1">COND_INTERSTICIAL[[#This Row],[gc]]+COND_INTERSTICIAL[[#This Row],[Ma_anterior cond]]</f>
        <v>#N/A</v>
      </c>
      <c r="DQ161" s="113" t="e">
        <f ca="1">IF((COND_INTERSTICIAL[[#This Row],[Ma_anterior cond]]&gt;0)*NOT(COND_INTERSTICIAL[[#This Row],[Condensa]]),TRUE,FALSE)</f>
        <v>#N/A</v>
      </c>
      <c r="DR161" s="112" t="e" cm="1">
        <f t="array" aca="1" ref="DR161" ca="1">IF(COND_INTERSTICIAL[[#This Row],[evapora]],COND_INTERSTICIAL[[#This Row],[Psat]],IF(COND_INTERSTICIAL[[#This Row],[Capa]]=N_capas,COND_INTERSTICIAL[[#This Row],[Pn]],""))</f>
        <v>#N/A</v>
      </c>
      <c r="DS161" s="112" t="e">
        <f ca="1">COND_INTERSTICIAL[[#This Row],[Mes]]&amp;"-"&amp;COND_INTERSTICIAL[[#This Row],[Sección]]&amp;"-"&amp;COND_INTERSTICIAL[[#This Row],[tramo ev]]</f>
        <v>#N/A</v>
      </c>
      <c r="DT161" s="111" t="e" cm="1">
        <f t="array" aca="1" ref="DT161" ca="1">IF(COND_INTERSTICIAL[[#This Row],[Capa]]=1,IF(COND_INTERSTICIAL[[#This Row],[evapora]],2,1),IF(COND_INTERSTICIAL[[#This Row],[evapora]],1,0)+INDIRECT(ADDRESS(ROW()-1,COLUMN(),4)))</f>
        <v>#N/A</v>
      </c>
      <c r="DU161" s="111" t="e" cm="1">
        <f t="array" aca="1" ref="DU161" ca="1">IF(COND_INTERSTICIAL[[#This Row],[tramo ev]]=1,0,IF((COND_INTERSTICIAL[[#This Row],[tramo ev]]&gt;INDIRECT(ADDRESS(ROW()-1,COLUMN(COND_INTERSTICIAL[[#This Row],[tramo ev]]),4)))+COND_INTERSTICIAL[[#This Row],[evapora]],COND_INTERSTICIAL[[#This Row],[Capa]],INDIRECT(ADDRESS(ROW()-1,COLUMN(),4))))</f>
        <v>#N/A</v>
      </c>
      <c r="DV161" s="111" t="e" cm="1">
        <f t="array" aca="1" ref="DV161" ca="1">IF((COND_INTERSTICIAL[[#This Row],[Capa]]=N_capas)+(COND_INTERSTICIAL[[#This Row],[tramo ev]]=COUNTIFS(COND_INTERSTICIAL[evapora],TRUE,COND_INTERSTICIAL[Mes],CW161,COND_INTERSTICIAL[Sección],CX161)+1),N_capas,INDEX(COND_INTERSTICIAL[capa lím inf ev],MATCH(COND_INTERSTICIAL[[#This Row],[Mes]]&amp;"-"&amp;COND_INTERSTICIAL[[#This Row],[Sección]]&amp;"-"&amp;(COND_INTERSTICIAL[[#This Row],[tramo ev]]+1),COND_INTERSTICIAL[llave tramo ev],0)))</f>
        <v>#N/A</v>
      </c>
      <c r="DW161" s="111" cm="1">
        <f t="array" aca="1" ref="DW16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1" s="113" t="e" cm="1">
        <f t="array" aca="1" ref="DX16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1" s="113" t="e">
        <f ca="1">COND_INTERSTICIAL[[#This Row],[gev]]+COND_INTERSTICIAL[[#This Row],[Ma anterior ev]]</f>
        <v>#N/A</v>
      </c>
      <c r="EA161" s="115" t="e">
        <f ca="1">IF(COND_INTERSTICIAL[[#This Row],[Ma cond]]+COND_INTERSTICIAL[[#This Row],[Ma ev]]&lt;=0,0,COND_INTERSTICIAL[[#This Row],[Ma cond]]+COND_INTERSTICIAL[[#This Row],[Ma ev]])</f>
        <v>#N/A</v>
      </c>
      <c r="EB161" s="115" t="e">
        <f ca="1">IF(COND_INTERSTICIAL[[#This Row],[Ma]]&gt;0,TRUE,FALSE)</f>
        <v>#N/A</v>
      </c>
      <c r="EC161" s="115" t="e" cm="1">
        <f t="array" aca="1" ref="EC161" ca="1">IF(COND_INTERSTICIAL[[#This Row],[agua líquida]],IF(COND_INTERSTICIAL[[#This Row],[Condensa]],COND_INTERSTICIAL[[#This Row],[P límite cond]],COND_INTERSTICIAL[[#This Row],[P límite ev]]),IF(COND_INTERSTICIAL[[#This Row],[Capa]]=N_capas,COND_INTERSTICIAL[[#This Row],[Pn]],""))</f>
        <v>#N/A</v>
      </c>
      <c r="ED161" s="115" t="e">
        <f ca="1">COND_INTERSTICIAL[[#This Row],[Mes]]&amp;"-"&amp;COND_INTERSTICIAL[[#This Row],[Sección]]&amp;"-"&amp;COND_INTERSTICIAL[[#This Row],[tramo gráf]]</f>
        <v>#N/A</v>
      </c>
      <c r="EE161" s="114" t="e" cm="1">
        <f t="array" aca="1" ref="EE161" ca="1">IF(COND_INTERSTICIAL[[#This Row],[Capa]]=1,IF(COND_INTERSTICIAL[[#This Row],[agua líquida]],2,1),IF(COND_INTERSTICIAL[[#This Row],[agua líquida]],1,0)+INDIRECT(ADDRESS(ROW()-1,COLUMN(),4)))</f>
        <v>#N/A</v>
      </c>
      <c r="EF161" s="114" t="e" cm="1">
        <f t="array" aca="1" ref="EF161" ca="1">IF(COND_INTERSTICIAL[[#This Row],[tramo gráf]]=1,0,IF((COND_INTERSTICIAL[[#This Row],[tramo gráf]]&gt;INDIRECT(ADDRESS(ROW()-1,COLUMN(COND_INTERSTICIAL[[#This Row],[tramo gráf]]),4)))+COND_INTERSTICIAL[[#This Row],[agua líquida]],COND_INTERSTICIAL[[#This Row],[Capa]],INDIRECT(ADDRESS(ROW()-1,COLUMN(),4))))</f>
        <v>#N/A</v>
      </c>
      <c r="EG161" s="114" t="e" cm="1">
        <f t="array" aca="1" ref="EG161" ca="1">IF((COND_INTERSTICIAL[[#This Row],[Capa]]=N_capas)+(COND_INTERSTICIAL[[#This Row],[tramo gráf]]=COUNTIFS(COND_INTERSTICIAL[agua líquida],TRUE,COND_INTERSTICIAL[Mes],CW161,COND_INTERSTICIAL[Sección],CX161)+1),N_capas,INDEX(COND_INTERSTICIAL[capa lím inf gráf],MATCH(COND_INTERSTICIAL[[#This Row],[Mes]]&amp;"-"&amp;COND_INTERSTICIAL[[#This Row],[Sección]]&amp;"-"&amp;(COND_INTERSTICIAL[[#This Row],[tramo gráf]]+1),COND_INTERSTICIAL[llave tramo gráf],0)))</f>
        <v>#N/A</v>
      </c>
      <c r="EH161" s="114" cm="1">
        <f t="array" aca="1" ref="EH16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1" s="116" t="e" cm="1">
        <f t="array" aca="1" ref="EI16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2" spans="100:139" x14ac:dyDescent="0.45">
      <c r="CW162" s="1" cm="1">
        <f t="array" ref="CW162">ROUNDUP((ROW()-$CN$18+(Mes_inicial_de_análisis-1)*N_capas*N_secciones)/(N_capas*N_secciones),0)-12*IF(ROW()-$CN$18&gt;(12-Mes_inicial_de_análisis+1)*N_capas*N_secciones,1,0)</f>
        <v>5</v>
      </c>
      <c r="CX162" cm="1">
        <f t="array" ref="CX162">ROUNDUP((ROW()-$CN$18)/N_capas-(ROUNDUP((ROW()-$CN$18)/(N_capas*N_secciones),0)-1)*N_secciones,0)</f>
        <v>1</v>
      </c>
      <c r="CY162" cm="1">
        <f t="array" ref="CY162">(ROW()-$CN$18)-(COND_INTERSTICIAL[[#This Row],[Sección]]-1)*N_capas-(ROUNDUP((ROW()-$CN$18)/(N_capas*N_secciones),0)-1)*N_capas*N_secciones</f>
        <v>3</v>
      </c>
      <c r="CZ162" t="str">
        <f>COND_INTERSTICIAL[[#This Row],[Mes]]&amp;"-"&amp;COND_INTERSTICIAL[[#This Row],[Sección]]&amp;"-"&amp;COND_INTERSTICIAL[[#This Row],[Capa]]</f>
        <v>5-1-3</v>
      </c>
      <c r="DA162">
        <f ca="1">INDEX(SECCIONES_CAPAS[R''n],MATCH(COND_INTERSTICIAL[[#This Row],[Sección]]&amp;"-"&amp;COND_INTERSTICIAL[[#This Row],[Capa]],SECCIONES_CAPAS[llave],0))</f>
        <v>0.04</v>
      </c>
      <c r="DB162" s="172" t="e" cm="1">
        <f t="array" aca="1" ref="DB162" ca="1">INDEX(CLIMA[ϴe],COND_INTERSTICIAL[[#This Row],[Mes]])+COND_INTERSTICIAL[[#This Row],[Rn]]*(INDEX(CLIMA[ϴi],COND_INTERSTICIAL[[#This Row],[Mes]])-INDEX(CLIMA[ϴe],COND_INTERSTICIAL[[#This Row],[Mes]]))/(INDEX(SECCIONES[Rtsección_condensación],COND_INTERSTICIAL[[#This Row],[Sección]]))</f>
        <v>#N/A</v>
      </c>
      <c r="DC162">
        <f>INDEX(SECCIONES_CAPAS[Sd],MATCH(COND_INTERSTICIAL[[#This Row],[Sección]]&amp;"-"&amp;COND_INTERSTICIAL[[#This Row],[Capa]],SECCIONES_CAPAS[llave],0))</f>
        <v>0</v>
      </c>
      <c r="DD162">
        <f ca="1">INDEX(SECCIONES_CAPAS[S''d],MATCH(COND_INTERSTICIAL[[#This Row],[Sección]]&amp;"-"&amp;COND_INTERSTICIAL[[#This Row],[Capa]],SECCIONES_CAPAS[llave],0))</f>
        <v>0</v>
      </c>
      <c r="DE162" s="90" t="e">
        <f ca="1">IF(COND_INTERSTICIAL[[#This Row],[ϴn]]&gt;=0,610.5*EXP((17.269*COND_INTERSTICIAL[[#This Row],[ϴn]])/(237.3+COND_INTERSTICIAL[[#This Row],[ϴn]])),610.5*EXP((21.875*COND_INTERSTICIAL[[#This Row],[ϴn]])/(265.5+COND_INTERSTICIAL[[#This Row],[ϴn]])))</f>
        <v>#N/A</v>
      </c>
      <c r="DF162" s="90" t="e" cm="1">
        <f t="array" aca="1" ref="DF162" ca="1">COND_INTERSTICIAL[[#This Row],[S''d]]*((INDEX(CLIMA[Pi],COND_INTERSTICIAL[[#This Row],[Mes]])-INDEX(CLIMA[Pe],COND_INTERSTICIAL[[#This Row],[Mes]]))/INDEX(SECCIONES[SdT],COND_INTERSTICIAL[[#This Row],[Sección]]))+INDEX(CLIMA[Pe],COND_INTERSTICIAL[[#This Row],[Mes]])</f>
        <v>#N/A</v>
      </c>
      <c r="DG162" s="108" t="e">
        <f ca="1">IF((COND_INTERSTICIAL[[#This Row],[Pn]]&gt;=COND_INTERSTICIAL[[#This Row],[Psat]]),TRUE,FALSE)</f>
        <v>#N/A</v>
      </c>
      <c r="DH162" s="109" t="e" cm="1">
        <f t="array" aca="1" ref="DH162" ca="1">IF(COND_INTERSTICIAL[[#This Row],[Condensa]],COND_INTERSTICIAL[[#This Row],[Psat]],IF(COND_INTERSTICIAL[[#This Row],[Capa]]=N_capas,COND_INTERSTICIAL[[#This Row],[Pn]],""))</f>
        <v>#N/A</v>
      </c>
      <c r="DI162" s="109" t="e">
        <f ca="1">COND_INTERSTICIAL[[#This Row],[Mes]]&amp;"-"&amp;COND_INTERSTICIAL[[#This Row],[Sección]]&amp;"-"&amp;COND_INTERSTICIAL[[#This Row],[tramo cond]]</f>
        <v>#N/A</v>
      </c>
      <c r="DJ162" t="e" cm="1">
        <f t="array" aca="1" ref="DJ162" ca="1">IF(COND_INTERSTICIAL[[#This Row],[Capa]]=1,IF(COND_INTERSTICIAL[[#This Row],[Condensa]],2,1),IF(COND_INTERSTICIAL[[#This Row],[Condensa]],1,0)+INDIRECT(ADDRESS(ROW()-1,COLUMN(),4)))</f>
        <v>#N/A</v>
      </c>
      <c r="DK162" s="108" t="e" cm="1">
        <f t="array" aca="1" ref="DK162" ca="1">IF(COND_INTERSTICIAL[[#This Row],[tramo cond]]=1,0,IF((COND_INTERSTICIAL[[#This Row],[tramo cond]]&gt;INDIRECT(ADDRESS(ROW()-1,COLUMN(COND_INTERSTICIAL[[#This Row],[tramo cond]]),4)))+COND_INTERSTICIAL[[#This Row],[Condensa]],COND_INTERSTICIAL[[#This Row],[Capa]],INDIRECT(ADDRESS(ROW()-1,COLUMN(),4))))</f>
        <v>#N/A</v>
      </c>
      <c r="DL162" s="108" t="e" cm="1">
        <f t="array" aca="1" ref="DL162" ca="1">IF((COND_INTERSTICIAL[[#This Row],[Capa]]=N_capas)+(COND_INTERSTICIAL[[#This Row],[tramo cond]]=COUNTIFS(COND_INTERSTICIAL[Condensa],TRUE,COND_INTERSTICIAL[Mes],CW162,COND_INTERSTICIAL[Sección],CX162)+1),N_capas,INDEX(COND_INTERSTICIAL[capa lím inf cond],MATCH(COND_INTERSTICIAL[[#This Row],[Mes]]&amp;"-"&amp;COND_INTERSTICIAL[[#This Row],[Sección]]&amp;"-"&amp;(COND_INTERSTICIAL[[#This Row],[tramo cond]]+1),COND_INTERSTICIAL[llave tramo cond],0)))</f>
        <v>#N/A</v>
      </c>
      <c r="DM162" s="108" cm="1">
        <f t="array" aca="1" ref="DM16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2" s="110" t="e" cm="1">
        <f t="array" aca="1" ref="DN16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2" s="107" t="e">
        <f ca="1">COND_INTERSTICIAL[[#This Row],[gc]]+COND_INTERSTICIAL[[#This Row],[Ma_anterior cond]]</f>
        <v>#N/A</v>
      </c>
      <c r="DQ162" s="113" t="e">
        <f ca="1">IF((COND_INTERSTICIAL[[#This Row],[Ma_anterior cond]]&gt;0)*NOT(COND_INTERSTICIAL[[#This Row],[Condensa]]),TRUE,FALSE)</f>
        <v>#N/A</v>
      </c>
      <c r="DR162" s="112" t="e" cm="1">
        <f t="array" aca="1" ref="DR162" ca="1">IF(COND_INTERSTICIAL[[#This Row],[evapora]],COND_INTERSTICIAL[[#This Row],[Psat]],IF(COND_INTERSTICIAL[[#This Row],[Capa]]=N_capas,COND_INTERSTICIAL[[#This Row],[Pn]],""))</f>
        <v>#N/A</v>
      </c>
      <c r="DS162" s="112" t="e">
        <f ca="1">COND_INTERSTICIAL[[#This Row],[Mes]]&amp;"-"&amp;COND_INTERSTICIAL[[#This Row],[Sección]]&amp;"-"&amp;COND_INTERSTICIAL[[#This Row],[tramo ev]]</f>
        <v>#N/A</v>
      </c>
      <c r="DT162" s="111" t="e" cm="1">
        <f t="array" aca="1" ref="DT162" ca="1">IF(COND_INTERSTICIAL[[#This Row],[Capa]]=1,IF(COND_INTERSTICIAL[[#This Row],[evapora]],2,1),IF(COND_INTERSTICIAL[[#This Row],[evapora]],1,0)+INDIRECT(ADDRESS(ROW()-1,COLUMN(),4)))</f>
        <v>#N/A</v>
      </c>
      <c r="DU162" s="111" t="e" cm="1">
        <f t="array" aca="1" ref="DU162" ca="1">IF(COND_INTERSTICIAL[[#This Row],[tramo ev]]=1,0,IF((COND_INTERSTICIAL[[#This Row],[tramo ev]]&gt;INDIRECT(ADDRESS(ROW()-1,COLUMN(COND_INTERSTICIAL[[#This Row],[tramo ev]]),4)))+COND_INTERSTICIAL[[#This Row],[evapora]],COND_INTERSTICIAL[[#This Row],[Capa]],INDIRECT(ADDRESS(ROW()-1,COLUMN(),4))))</f>
        <v>#N/A</v>
      </c>
      <c r="DV162" s="111" t="e" cm="1">
        <f t="array" aca="1" ref="DV162" ca="1">IF((COND_INTERSTICIAL[[#This Row],[Capa]]=N_capas)+(COND_INTERSTICIAL[[#This Row],[tramo ev]]=COUNTIFS(COND_INTERSTICIAL[evapora],TRUE,COND_INTERSTICIAL[Mes],CW162,COND_INTERSTICIAL[Sección],CX162)+1),N_capas,INDEX(COND_INTERSTICIAL[capa lím inf ev],MATCH(COND_INTERSTICIAL[[#This Row],[Mes]]&amp;"-"&amp;COND_INTERSTICIAL[[#This Row],[Sección]]&amp;"-"&amp;(COND_INTERSTICIAL[[#This Row],[tramo ev]]+1),COND_INTERSTICIAL[llave tramo ev],0)))</f>
        <v>#N/A</v>
      </c>
      <c r="DW162" s="111" cm="1">
        <f t="array" aca="1" ref="DW16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2" s="113" t="e" cm="1">
        <f t="array" aca="1" ref="DX16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2" s="113" t="e">
        <f ca="1">COND_INTERSTICIAL[[#This Row],[gev]]+COND_INTERSTICIAL[[#This Row],[Ma anterior ev]]</f>
        <v>#N/A</v>
      </c>
      <c r="EA162" s="115" t="e">
        <f ca="1">IF(COND_INTERSTICIAL[[#This Row],[Ma cond]]+COND_INTERSTICIAL[[#This Row],[Ma ev]]&lt;=0,0,COND_INTERSTICIAL[[#This Row],[Ma cond]]+COND_INTERSTICIAL[[#This Row],[Ma ev]])</f>
        <v>#N/A</v>
      </c>
      <c r="EB162" s="115" t="e">
        <f ca="1">IF(COND_INTERSTICIAL[[#This Row],[Ma]]&gt;0,TRUE,FALSE)</f>
        <v>#N/A</v>
      </c>
      <c r="EC162" s="115" t="e" cm="1">
        <f t="array" aca="1" ref="EC162" ca="1">IF(COND_INTERSTICIAL[[#This Row],[agua líquida]],IF(COND_INTERSTICIAL[[#This Row],[Condensa]],COND_INTERSTICIAL[[#This Row],[P límite cond]],COND_INTERSTICIAL[[#This Row],[P límite ev]]),IF(COND_INTERSTICIAL[[#This Row],[Capa]]=N_capas,COND_INTERSTICIAL[[#This Row],[Pn]],""))</f>
        <v>#N/A</v>
      </c>
      <c r="ED162" s="115" t="e">
        <f ca="1">COND_INTERSTICIAL[[#This Row],[Mes]]&amp;"-"&amp;COND_INTERSTICIAL[[#This Row],[Sección]]&amp;"-"&amp;COND_INTERSTICIAL[[#This Row],[tramo gráf]]</f>
        <v>#N/A</v>
      </c>
      <c r="EE162" s="114" t="e" cm="1">
        <f t="array" aca="1" ref="EE162" ca="1">IF(COND_INTERSTICIAL[[#This Row],[Capa]]=1,IF(COND_INTERSTICIAL[[#This Row],[agua líquida]],2,1),IF(COND_INTERSTICIAL[[#This Row],[agua líquida]],1,0)+INDIRECT(ADDRESS(ROW()-1,COLUMN(),4)))</f>
        <v>#N/A</v>
      </c>
      <c r="EF162" s="114" t="e" cm="1">
        <f t="array" aca="1" ref="EF162" ca="1">IF(COND_INTERSTICIAL[[#This Row],[tramo gráf]]=1,0,IF((COND_INTERSTICIAL[[#This Row],[tramo gráf]]&gt;INDIRECT(ADDRESS(ROW()-1,COLUMN(COND_INTERSTICIAL[[#This Row],[tramo gráf]]),4)))+COND_INTERSTICIAL[[#This Row],[agua líquida]],COND_INTERSTICIAL[[#This Row],[Capa]],INDIRECT(ADDRESS(ROW()-1,COLUMN(),4))))</f>
        <v>#N/A</v>
      </c>
      <c r="EG162" s="114" t="e" cm="1">
        <f t="array" aca="1" ref="EG162" ca="1">IF((COND_INTERSTICIAL[[#This Row],[Capa]]=N_capas)+(COND_INTERSTICIAL[[#This Row],[tramo gráf]]=COUNTIFS(COND_INTERSTICIAL[agua líquida],TRUE,COND_INTERSTICIAL[Mes],CW162,COND_INTERSTICIAL[Sección],CX162)+1),N_capas,INDEX(COND_INTERSTICIAL[capa lím inf gráf],MATCH(COND_INTERSTICIAL[[#This Row],[Mes]]&amp;"-"&amp;COND_INTERSTICIAL[[#This Row],[Sección]]&amp;"-"&amp;(COND_INTERSTICIAL[[#This Row],[tramo gráf]]+1),COND_INTERSTICIAL[llave tramo gráf],0)))</f>
        <v>#N/A</v>
      </c>
      <c r="EH162" s="114" cm="1">
        <f t="array" aca="1" ref="EH16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2" s="116" t="e" cm="1">
        <f t="array" aca="1" ref="EI16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3" spans="100:139" x14ac:dyDescent="0.45">
      <c r="CW163" s="1" cm="1">
        <f t="array" ref="CW163">ROUNDUP((ROW()-$CN$18+(Mes_inicial_de_análisis-1)*N_capas*N_secciones)/(N_capas*N_secciones),0)-12*IF(ROW()-$CN$18&gt;(12-Mes_inicial_de_análisis+1)*N_capas*N_secciones,1,0)</f>
        <v>5</v>
      </c>
      <c r="CX163" cm="1">
        <f t="array" ref="CX163">ROUNDUP((ROW()-$CN$18)/N_capas-(ROUNDUP((ROW()-$CN$18)/(N_capas*N_secciones),0)-1)*N_secciones,0)</f>
        <v>1</v>
      </c>
      <c r="CY163" cm="1">
        <f t="array" ref="CY163">(ROW()-$CN$18)-(COND_INTERSTICIAL[[#This Row],[Sección]]-1)*N_capas-(ROUNDUP((ROW()-$CN$18)/(N_capas*N_secciones),0)-1)*N_capas*N_secciones</f>
        <v>4</v>
      </c>
      <c r="CZ163" t="str">
        <f>COND_INTERSTICIAL[[#This Row],[Mes]]&amp;"-"&amp;COND_INTERSTICIAL[[#This Row],[Sección]]&amp;"-"&amp;COND_INTERSTICIAL[[#This Row],[Capa]]</f>
        <v>5-1-4</v>
      </c>
      <c r="DA163">
        <f ca="1">INDEX(SECCIONES_CAPAS[R''n],MATCH(COND_INTERSTICIAL[[#This Row],[Sección]]&amp;"-"&amp;COND_INTERSTICIAL[[#This Row],[Capa]],SECCIONES_CAPAS[llave],0))</f>
        <v>0.04</v>
      </c>
      <c r="DB163" s="172" t="e" cm="1">
        <f t="array" aca="1" ref="DB163" ca="1">INDEX(CLIMA[ϴe],COND_INTERSTICIAL[[#This Row],[Mes]])+COND_INTERSTICIAL[[#This Row],[Rn]]*(INDEX(CLIMA[ϴi],COND_INTERSTICIAL[[#This Row],[Mes]])-INDEX(CLIMA[ϴe],COND_INTERSTICIAL[[#This Row],[Mes]]))/(INDEX(SECCIONES[Rtsección_condensación],COND_INTERSTICIAL[[#This Row],[Sección]]))</f>
        <v>#N/A</v>
      </c>
      <c r="DC163">
        <f>INDEX(SECCIONES_CAPAS[Sd],MATCH(COND_INTERSTICIAL[[#This Row],[Sección]]&amp;"-"&amp;COND_INTERSTICIAL[[#This Row],[Capa]],SECCIONES_CAPAS[llave],0))</f>
        <v>0</v>
      </c>
      <c r="DD163">
        <f ca="1">INDEX(SECCIONES_CAPAS[S''d],MATCH(COND_INTERSTICIAL[[#This Row],[Sección]]&amp;"-"&amp;COND_INTERSTICIAL[[#This Row],[Capa]],SECCIONES_CAPAS[llave],0))</f>
        <v>0</v>
      </c>
      <c r="DE163" s="90" t="e">
        <f ca="1">IF(COND_INTERSTICIAL[[#This Row],[ϴn]]&gt;=0,610.5*EXP((17.269*COND_INTERSTICIAL[[#This Row],[ϴn]])/(237.3+COND_INTERSTICIAL[[#This Row],[ϴn]])),610.5*EXP((21.875*COND_INTERSTICIAL[[#This Row],[ϴn]])/(265.5+COND_INTERSTICIAL[[#This Row],[ϴn]])))</f>
        <v>#N/A</v>
      </c>
      <c r="DF163" s="90" t="e" cm="1">
        <f t="array" aca="1" ref="DF163" ca="1">COND_INTERSTICIAL[[#This Row],[S''d]]*((INDEX(CLIMA[Pi],COND_INTERSTICIAL[[#This Row],[Mes]])-INDEX(CLIMA[Pe],COND_INTERSTICIAL[[#This Row],[Mes]]))/INDEX(SECCIONES[SdT],COND_INTERSTICIAL[[#This Row],[Sección]]))+INDEX(CLIMA[Pe],COND_INTERSTICIAL[[#This Row],[Mes]])</f>
        <v>#N/A</v>
      </c>
      <c r="DG163" s="108" t="e">
        <f ca="1">IF((COND_INTERSTICIAL[[#This Row],[Pn]]&gt;=COND_INTERSTICIAL[[#This Row],[Psat]]),TRUE,FALSE)</f>
        <v>#N/A</v>
      </c>
      <c r="DH163" s="109" t="e" cm="1">
        <f t="array" aca="1" ref="DH163" ca="1">IF(COND_INTERSTICIAL[[#This Row],[Condensa]],COND_INTERSTICIAL[[#This Row],[Psat]],IF(COND_INTERSTICIAL[[#This Row],[Capa]]=N_capas,COND_INTERSTICIAL[[#This Row],[Pn]],""))</f>
        <v>#N/A</v>
      </c>
      <c r="DI163" s="109" t="e">
        <f ca="1">COND_INTERSTICIAL[[#This Row],[Mes]]&amp;"-"&amp;COND_INTERSTICIAL[[#This Row],[Sección]]&amp;"-"&amp;COND_INTERSTICIAL[[#This Row],[tramo cond]]</f>
        <v>#N/A</v>
      </c>
      <c r="DJ163" t="e" cm="1">
        <f t="array" aca="1" ref="DJ163" ca="1">IF(COND_INTERSTICIAL[[#This Row],[Capa]]=1,IF(COND_INTERSTICIAL[[#This Row],[Condensa]],2,1),IF(COND_INTERSTICIAL[[#This Row],[Condensa]],1,0)+INDIRECT(ADDRESS(ROW()-1,COLUMN(),4)))</f>
        <v>#N/A</v>
      </c>
      <c r="DK163" s="108" t="e" cm="1">
        <f t="array" aca="1" ref="DK163" ca="1">IF(COND_INTERSTICIAL[[#This Row],[tramo cond]]=1,0,IF((COND_INTERSTICIAL[[#This Row],[tramo cond]]&gt;INDIRECT(ADDRESS(ROW()-1,COLUMN(COND_INTERSTICIAL[[#This Row],[tramo cond]]),4)))+COND_INTERSTICIAL[[#This Row],[Condensa]],COND_INTERSTICIAL[[#This Row],[Capa]],INDIRECT(ADDRESS(ROW()-1,COLUMN(),4))))</f>
        <v>#N/A</v>
      </c>
      <c r="DL163" s="108" t="e" cm="1">
        <f t="array" aca="1" ref="DL163" ca="1">IF((COND_INTERSTICIAL[[#This Row],[Capa]]=N_capas)+(COND_INTERSTICIAL[[#This Row],[tramo cond]]=COUNTIFS(COND_INTERSTICIAL[Condensa],TRUE,COND_INTERSTICIAL[Mes],CW163,COND_INTERSTICIAL[Sección],CX163)+1),N_capas,INDEX(COND_INTERSTICIAL[capa lím inf cond],MATCH(COND_INTERSTICIAL[[#This Row],[Mes]]&amp;"-"&amp;COND_INTERSTICIAL[[#This Row],[Sección]]&amp;"-"&amp;(COND_INTERSTICIAL[[#This Row],[tramo cond]]+1),COND_INTERSTICIAL[llave tramo cond],0)))</f>
        <v>#N/A</v>
      </c>
      <c r="DM163" s="108" cm="1">
        <f t="array" aca="1" ref="DM16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3" s="110" t="e" cm="1">
        <f t="array" aca="1" ref="DN16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3" s="107" t="e">
        <f ca="1">COND_INTERSTICIAL[[#This Row],[gc]]+COND_INTERSTICIAL[[#This Row],[Ma_anterior cond]]</f>
        <v>#N/A</v>
      </c>
      <c r="DQ163" s="113" t="e">
        <f ca="1">IF((COND_INTERSTICIAL[[#This Row],[Ma_anterior cond]]&gt;0)*NOT(COND_INTERSTICIAL[[#This Row],[Condensa]]),TRUE,FALSE)</f>
        <v>#N/A</v>
      </c>
      <c r="DR163" s="112" t="e" cm="1">
        <f t="array" aca="1" ref="DR163" ca="1">IF(COND_INTERSTICIAL[[#This Row],[evapora]],COND_INTERSTICIAL[[#This Row],[Psat]],IF(COND_INTERSTICIAL[[#This Row],[Capa]]=N_capas,COND_INTERSTICIAL[[#This Row],[Pn]],""))</f>
        <v>#N/A</v>
      </c>
      <c r="DS163" s="112" t="e">
        <f ca="1">COND_INTERSTICIAL[[#This Row],[Mes]]&amp;"-"&amp;COND_INTERSTICIAL[[#This Row],[Sección]]&amp;"-"&amp;COND_INTERSTICIAL[[#This Row],[tramo ev]]</f>
        <v>#N/A</v>
      </c>
      <c r="DT163" s="111" t="e" cm="1">
        <f t="array" aca="1" ref="DT163" ca="1">IF(COND_INTERSTICIAL[[#This Row],[Capa]]=1,IF(COND_INTERSTICIAL[[#This Row],[evapora]],2,1),IF(COND_INTERSTICIAL[[#This Row],[evapora]],1,0)+INDIRECT(ADDRESS(ROW()-1,COLUMN(),4)))</f>
        <v>#N/A</v>
      </c>
      <c r="DU163" s="111" t="e" cm="1">
        <f t="array" aca="1" ref="DU163" ca="1">IF(COND_INTERSTICIAL[[#This Row],[tramo ev]]=1,0,IF((COND_INTERSTICIAL[[#This Row],[tramo ev]]&gt;INDIRECT(ADDRESS(ROW()-1,COLUMN(COND_INTERSTICIAL[[#This Row],[tramo ev]]),4)))+COND_INTERSTICIAL[[#This Row],[evapora]],COND_INTERSTICIAL[[#This Row],[Capa]],INDIRECT(ADDRESS(ROW()-1,COLUMN(),4))))</f>
        <v>#N/A</v>
      </c>
      <c r="DV163" s="111" t="e" cm="1">
        <f t="array" aca="1" ref="DV163" ca="1">IF((COND_INTERSTICIAL[[#This Row],[Capa]]=N_capas)+(COND_INTERSTICIAL[[#This Row],[tramo ev]]=COUNTIFS(COND_INTERSTICIAL[evapora],TRUE,COND_INTERSTICIAL[Mes],CW163,COND_INTERSTICIAL[Sección],CX163)+1),N_capas,INDEX(COND_INTERSTICIAL[capa lím inf ev],MATCH(COND_INTERSTICIAL[[#This Row],[Mes]]&amp;"-"&amp;COND_INTERSTICIAL[[#This Row],[Sección]]&amp;"-"&amp;(COND_INTERSTICIAL[[#This Row],[tramo ev]]+1),COND_INTERSTICIAL[llave tramo ev],0)))</f>
        <v>#N/A</v>
      </c>
      <c r="DW163" s="111" cm="1">
        <f t="array" aca="1" ref="DW16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3" s="113" t="e" cm="1">
        <f t="array" aca="1" ref="DX16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3" s="113" t="e">
        <f ca="1">COND_INTERSTICIAL[[#This Row],[gev]]+COND_INTERSTICIAL[[#This Row],[Ma anterior ev]]</f>
        <v>#N/A</v>
      </c>
      <c r="EA163" s="115" t="e">
        <f ca="1">IF(COND_INTERSTICIAL[[#This Row],[Ma cond]]+COND_INTERSTICIAL[[#This Row],[Ma ev]]&lt;=0,0,COND_INTERSTICIAL[[#This Row],[Ma cond]]+COND_INTERSTICIAL[[#This Row],[Ma ev]])</f>
        <v>#N/A</v>
      </c>
      <c r="EB163" s="115" t="e">
        <f ca="1">IF(COND_INTERSTICIAL[[#This Row],[Ma]]&gt;0,TRUE,FALSE)</f>
        <v>#N/A</v>
      </c>
      <c r="EC163" s="115" t="e" cm="1">
        <f t="array" aca="1" ref="EC163" ca="1">IF(COND_INTERSTICIAL[[#This Row],[agua líquida]],IF(COND_INTERSTICIAL[[#This Row],[Condensa]],COND_INTERSTICIAL[[#This Row],[P límite cond]],COND_INTERSTICIAL[[#This Row],[P límite ev]]),IF(COND_INTERSTICIAL[[#This Row],[Capa]]=N_capas,COND_INTERSTICIAL[[#This Row],[Pn]],""))</f>
        <v>#N/A</v>
      </c>
      <c r="ED163" s="115" t="e">
        <f ca="1">COND_INTERSTICIAL[[#This Row],[Mes]]&amp;"-"&amp;COND_INTERSTICIAL[[#This Row],[Sección]]&amp;"-"&amp;COND_INTERSTICIAL[[#This Row],[tramo gráf]]</f>
        <v>#N/A</v>
      </c>
      <c r="EE163" s="114" t="e" cm="1">
        <f t="array" aca="1" ref="EE163" ca="1">IF(COND_INTERSTICIAL[[#This Row],[Capa]]=1,IF(COND_INTERSTICIAL[[#This Row],[agua líquida]],2,1),IF(COND_INTERSTICIAL[[#This Row],[agua líquida]],1,0)+INDIRECT(ADDRESS(ROW()-1,COLUMN(),4)))</f>
        <v>#N/A</v>
      </c>
      <c r="EF163" s="114" t="e" cm="1">
        <f t="array" aca="1" ref="EF163" ca="1">IF(COND_INTERSTICIAL[[#This Row],[tramo gráf]]=1,0,IF((COND_INTERSTICIAL[[#This Row],[tramo gráf]]&gt;INDIRECT(ADDRESS(ROW()-1,COLUMN(COND_INTERSTICIAL[[#This Row],[tramo gráf]]),4)))+COND_INTERSTICIAL[[#This Row],[agua líquida]],COND_INTERSTICIAL[[#This Row],[Capa]],INDIRECT(ADDRESS(ROW()-1,COLUMN(),4))))</f>
        <v>#N/A</v>
      </c>
      <c r="EG163" s="114" t="e" cm="1">
        <f t="array" aca="1" ref="EG163" ca="1">IF((COND_INTERSTICIAL[[#This Row],[Capa]]=N_capas)+(COND_INTERSTICIAL[[#This Row],[tramo gráf]]=COUNTIFS(COND_INTERSTICIAL[agua líquida],TRUE,COND_INTERSTICIAL[Mes],CW163,COND_INTERSTICIAL[Sección],CX163)+1),N_capas,INDEX(COND_INTERSTICIAL[capa lím inf gráf],MATCH(COND_INTERSTICIAL[[#This Row],[Mes]]&amp;"-"&amp;COND_INTERSTICIAL[[#This Row],[Sección]]&amp;"-"&amp;(COND_INTERSTICIAL[[#This Row],[tramo gráf]]+1),COND_INTERSTICIAL[llave tramo gráf],0)))</f>
        <v>#N/A</v>
      </c>
      <c r="EH163" s="114" cm="1">
        <f t="array" aca="1" ref="EH16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3" s="116" t="e" cm="1">
        <f t="array" aca="1" ref="EI16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4" spans="100:139" x14ac:dyDescent="0.45">
      <c r="CW164" s="1" cm="1">
        <f t="array" ref="CW164">ROUNDUP((ROW()-$CN$18+(Mes_inicial_de_análisis-1)*N_capas*N_secciones)/(N_capas*N_secciones),0)-12*IF(ROW()-$CN$18&gt;(12-Mes_inicial_de_análisis+1)*N_capas*N_secciones,1,0)</f>
        <v>5</v>
      </c>
      <c r="CX164" cm="1">
        <f t="array" ref="CX164">ROUNDUP((ROW()-$CN$18)/N_capas-(ROUNDUP((ROW()-$CN$18)/(N_capas*N_secciones),0)-1)*N_secciones,0)</f>
        <v>1</v>
      </c>
      <c r="CY164" cm="1">
        <f t="array" ref="CY164">(ROW()-$CN$18)-(COND_INTERSTICIAL[[#This Row],[Sección]]-1)*N_capas-(ROUNDUP((ROW()-$CN$18)/(N_capas*N_secciones),0)-1)*N_capas*N_secciones</f>
        <v>5</v>
      </c>
      <c r="CZ164" t="str">
        <f>COND_INTERSTICIAL[[#This Row],[Mes]]&amp;"-"&amp;COND_INTERSTICIAL[[#This Row],[Sección]]&amp;"-"&amp;COND_INTERSTICIAL[[#This Row],[Capa]]</f>
        <v>5-1-5</v>
      </c>
      <c r="DA164">
        <f ca="1">INDEX(SECCIONES_CAPAS[R''n],MATCH(COND_INTERSTICIAL[[#This Row],[Sección]]&amp;"-"&amp;COND_INTERSTICIAL[[#This Row],[Capa]],SECCIONES_CAPAS[llave],0))</f>
        <v>0.04</v>
      </c>
      <c r="DB164" s="172" t="e" cm="1">
        <f t="array" aca="1" ref="DB164" ca="1">INDEX(CLIMA[ϴe],COND_INTERSTICIAL[[#This Row],[Mes]])+COND_INTERSTICIAL[[#This Row],[Rn]]*(INDEX(CLIMA[ϴi],COND_INTERSTICIAL[[#This Row],[Mes]])-INDEX(CLIMA[ϴe],COND_INTERSTICIAL[[#This Row],[Mes]]))/(INDEX(SECCIONES[Rtsección_condensación],COND_INTERSTICIAL[[#This Row],[Sección]]))</f>
        <v>#N/A</v>
      </c>
      <c r="DC164">
        <f>INDEX(SECCIONES_CAPAS[Sd],MATCH(COND_INTERSTICIAL[[#This Row],[Sección]]&amp;"-"&amp;COND_INTERSTICIAL[[#This Row],[Capa]],SECCIONES_CAPAS[llave],0))</f>
        <v>0</v>
      </c>
      <c r="DD164">
        <f ca="1">INDEX(SECCIONES_CAPAS[S''d],MATCH(COND_INTERSTICIAL[[#This Row],[Sección]]&amp;"-"&amp;COND_INTERSTICIAL[[#This Row],[Capa]],SECCIONES_CAPAS[llave],0))</f>
        <v>0</v>
      </c>
      <c r="DE164" s="90" t="e">
        <f ca="1">IF(COND_INTERSTICIAL[[#This Row],[ϴn]]&gt;=0,610.5*EXP((17.269*COND_INTERSTICIAL[[#This Row],[ϴn]])/(237.3+COND_INTERSTICIAL[[#This Row],[ϴn]])),610.5*EXP((21.875*COND_INTERSTICIAL[[#This Row],[ϴn]])/(265.5+COND_INTERSTICIAL[[#This Row],[ϴn]])))</f>
        <v>#N/A</v>
      </c>
      <c r="DF164" s="90" t="e" cm="1">
        <f t="array" aca="1" ref="DF164" ca="1">COND_INTERSTICIAL[[#This Row],[S''d]]*((INDEX(CLIMA[Pi],COND_INTERSTICIAL[[#This Row],[Mes]])-INDEX(CLIMA[Pe],COND_INTERSTICIAL[[#This Row],[Mes]]))/INDEX(SECCIONES[SdT],COND_INTERSTICIAL[[#This Row],[Sección]]))+INDEX(CLIMA[Pe],COND_INTERSTICIAL[[#This Row],[Mes]])</f>
        <v>#N/A</v>
      </c>
      <c r="DG164" s="108" t="e">
        <f ca="1">IF((COND_INTERSTICIAL[[#This Row],[Pn]]&gt;=COND_INTERSTICIAL[[#This Row],[Psat]]),TRUE,FALSE)</f>
        <v>#N/A</v>
      </c>
      <c r="DH164" s="109" t="e" cm="1">
        <f t="array" aca="1" ref="DH164" ca="1">IF(COND_INTERSTICIAL[[#This Row],[Condensa]],COND_INTERSTICIAL[[#This Row],[Psat]],IF(COND_INTERSTICIAL[[#This Row],[Capa]]=N_capas,COND_INTERSTICIAL[[#This Row],[Pn]],""))</f>
        <v>#N/A</v>
      </c>
      <c r="DI164" s="109" t="e">
        <f ca="1">COND_INTERSTICIAL[[#This Row],[Mes]]&amp;"-"&amp;COND_INTERSTICIAL[[#This Row],[Sección]]&amp;"-"&amp;COND_INTERSTICIAL[[#This Row],[tramo cond]]</f>
        <v>#N/A</v>
      </c>
      <c r="DJ164" t="e" cm="1">
        <f t="array" aca="1" ref="DJ164" ca="1">IF(COND_INTERSTICIAL[[#This Row],[Capa]]=1,IF(COND_INTERSTICIAL[[#This Row],[Condensa]],2,1),IF(COND_INTERSTICIAL[[#This Row],[Condensa]],1,0)+INDIRECT(ADDRESS(ROW()-1,COLUMN(),4)))</f>
        <v>#N/A</v>
      </c>
      <c r="DK164" s="108" t="e" cm="1">
        <f t="array" aca="1" ref="DK164" ca="1">IF(COND_INTERSTICIAL[[#This Row],[tramo cond]]=1,0,IF((COND_INTERSTICIAL[[#This Row],[tramo cond]]&gt;INDIRECT(ADDRESS(ROW()-1,COLUMN(COND_INTERSTICIAL[[#This Row],[tramo cond]]),4)))+COND_INTERSTICIAL[[#This Row],[Condensa]],COND_INTERSTICIAL[[#This Row],[Capa]],INDIRECT(ADDRESS(ROW()-1,COLUMN(),4))))</f>
        <v>#N/A</v>
      </c>
      <c r="DL164" s="108" t="e" cm="1">
        <f t="array" aca="1" ref="DL164" ca="1">IF((COND_INTERSTICIAL[[#This Row],[Capa]]=N_capas)+(COND_INTERSTICIAL[[#This Row],[tramo cond]]=COUNTIFS(COND_INTERSTICIAL[Condensa],TRUE,COND_INTERSTICIAL[Mes],CW164,COND_INTERSTICIAL[Sección],CX164)+1),N_capas,INDEX(COND_INTERSTICIAL[capa lím inf cond],MATCH(COND_INTERSTICIAL[[#This Row],[Mes]]&amp;"-"&amp;COND_INTERSTICIAL[[#This Row],[Sección]]&amp;"-"&amp;(COND_INTERSTICIAL[[#This Row],[tramo cond]]+1),COND_INTERSTICIAL[llave tramo cond],0)))</f>
        <v>#N/A</v>
      </c>
      <c r="DM164" s="108" cm="1">
        <f t="array" aca="1" ref="DM16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4" s="110" t="e" cm="1">
        <f t="array" aca="1" ref="DN16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4" s="107" t="e">
        <f ca="1">COND_INTERSTICIAL[[#This Row],[gc]]+COND_INTERSTICIAL[[#This Row],[Ma_anterior cond]]</f>
        <v>#N/A</v>
      </c>
      <c r="DQ164" s="113" t="e">
        <f ca="1">IF((COND_INTERSTICIAL[[#This Row],[Ma_anterior cond]]&gt;0)*NOT(COND_INTERSTICIAL[[#This Row],[Condensa]]),TRUE,FALSE)</f>
        <v>#N/A</v>
      </c>
      <c r="DR164" s="112" t="e" cm="1">
        <f t="array" aca="1" ref="DR164" ca="1">IF(COND_INTERSTICIAL[[#This Row],[evapora]],COND_INTERSTICIAL[[#This Row],[Psat]],IF(COND_INTERSTICIAL[[#This Row],[Capa]]=N_capas,COND_INTERSTICIAL[[#This Row],[Pn]],""))</f>
        <v>#N/A</v>
      </c>
      <c r="DS164" s="112" t="e">
        <f ca="1">COND_INTERSTICIAL[[#This Row],[Mes]]&amp;"-"&amp;COND_INTERSTICIAL[[#This Row],[Sección]]&amp;"-"&amp;COND_INTERSTICIAL[[#This Row],[tramo ev]]</f>
        <v>#N/A</v>
      </c>
      <c r="DT164" s="111" t="e" cm="1">
        <f t="array" aca="1" ref="DT164" ca="1">IF(COND_INTERSTICIAL[[#This Row],[Capa]]=1,IF(COND_INTERSTICIAL[[#This Row],[evapora]],2,1),IF(COND_INTERSTICIAL[[#This Row],[evapora]],1,0)+INDIRECT(ADDRESS(ROW()-1,COLUMN(),4)))</f>
        <v>#N/A</v>
      </c>
      <c r="DU164" s="111" t="e" cm="1">
        <f t="array" aca="1" ref="DU164" ca="1">IF(COND_INTERSTICIAL[[#This Row],[tramo ev]]=1,0,IF((COND_INTERSTICIAL[[#This Row],[tramo ev]]&gt;INDIRECT(ADDRESS(ROW()-1,COLUMN(COND_INTERSTICIAL[[#This Row],[tramo ev]]),4)))+COND_INTERSTICIAL[[#This Row],[evapora]],COND_INTERSTICIAL[[#This Row],[Capa]],INDIRECT(ADDRESS(ROW()-1,COLUMN(),4))))</f>
        <v>#N/A</v>
      </c>
      <c r="DV164" s="111" t="e" cm="1">
        <f t="array" aca="1" ref="DV164" ca="1">IF((COND_INTERSTICIAL[[#This Row],[Capa]]=N_capas)+(COND_INTERSTICIAL[[#This Row],[tramo ev]]=COUNTIFS(COND_INTERSTICIAL[evapora],TRUE,COND_INTERSTICIAL[Mes],CW164,COND_INTERSTICIAL[Sección],CX164)+1),N_capas,INDEX(COND_INTERSTICIAL[capa lím inf ev],MATCH(COND_INTERSTICIAL[[#This Row],[Mes]]&amp;"-"&amp;COND_INTERSTICIAL[[#This Row],[Sección]]&amp;"-"&amp;(COND_INTERSTICIAL[[#This Row],[tramo ev]]+1),COND_INTERSTICIAL[llave tramo ev],0)))</f>
        <v>#N/A</v>
      </c>
      <c r="DW164" s="111" cm="1">
        <f t="array" aca="1" ref="DW16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4" s="113" t="e" cm="1">
        <f t="array" aca="1" ref="DX16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4" s="113" t="e">
        <f ca="1">COND_INTERSTICIAL[[#This Row],[gev]]+COND_INTERSTICIAL[[#This Row],[Ma anterior ev]]</f>
        <v>#N/A</v>
      </c>
      <c r="EA164" s="115" t="e">
        <f ca="1">IF(COND_INTERSTICIAL[[#This Row],[Ma cond]]+COND_INTERSTICIAL[[#This Row],[Ma ev]]&lt;=0,0,COND_INTERSTICIAL[[#This Row],[Ma cond]]+COND_INTERSTICIAL[[#This Row],[Ma ev]])</f>
        <v>#N/A</v>
      </c>
      <c r="EB164" s="115" t="e">
        <f ca="1">IF(COND_INTERSTICIAL[[#This Row],[Ma]]&gt;0,TRUE,FALSE)</f>
        <v>#N/A</v>
      </c>
      <c r="EC164" s="115" t="e" cm="1">
        <f t="array" aca="1" ref="EC164" ca="1">IF(COND_INTERSTICIAL[[#This Row],[agua líquida]],IF(COND_INTERSTICIAL[[#This Row],[Condensa]],COND_INTERSTICIAL[[#This Row],[P límite cond]],COND_INTERSTICIAL[[#This Row],[P límite ev]]),IF(COND_INTERSTICIAL[[#This Row],[Capa]]=N_capas,COND_INTERSTICIAL[[#This Row],[Pn]],""))</f>
        <v>#N/A</v>
      </c>
      <c r="ED164" s="115" t="e">
        <f ca="1">COND_INTERSTICIAL[[#This Row],[Mes]]&amp;"-"&amp;COND_INTERSTICIAL[[#This Row],[Sección]]&amp;"-"&amp;COND_INTERSTICIAL[[#This Row],[tramo gráf]]</f>
        <v>#N/A</v>
      </c>
      <c r="EE164" s="114" t="e" cm="1">
        <f t="array" aca="1" ref="EE164" ca="1">IF(COND_INTERSTICIAL[[#This Row],[Capa]]=1,IF(COND_INTERSTICIAL[[#This Row],[agua líquida]],2,1),IF(COND_INTERSTICIAL[[#This Row],[agua líquida]],1,0)+INDIRECT(ADDRESS(ROW()-1,COLUMN(),4)))</f>
        <v>#N/A</v>
      </c>
      <c r="EF164" s="114" t="e" cm="1">
        <f t="array" aca="1" ref="EF164" ca="1">IF(COND_INTERSTICIAL[[#This Row],[tramo gráf]]=1,0,IF((COND_INTERSTICIAL[[#This Row],[tramo gráf]]&gt;INDIRECT(ADDRESS(ROW()-1,COLUMN(COND_INTERSTICIAL[[#This Row],[tramo gráf]]),4)))+COND_INTERSTICIAL[[#This Row],[agua líquida]],COND_INTERSTICIAL[[#This Row],[Capa]],INDIRECT(ADDRESS(ROW()-1,COLUMN(),4))))</f>
        <v>#N/A</v>
      </c>
      <c r="EG164" s="114" t="e" cm="1">
        <f t="array" aca="1" ref="EG164" ca="1">IF((COND_INTERSTICIAL[[#This Row],[Capa]]=N_capas)+(COND_INTERSTICIAL[[#This Row],[tramo gráf]]=COUNTIFS(COND_INTERSTICIAL[agua líquida],TRUE,COND_INTERSTICIAL[Mes],CW164,COND_INTERSTICIAL[Sección],CX164)+1),N_capas,INDEX(COND_INTERSTICIAL[capa lím inf gráf],MATCH(COND_INTERSTICIAL[[#This Row],[Mes]]&amp;"-"&amp;COND_INTERSTICIAL[[#This Row],[Sección]]&amp;"-"&amp;(COND_INTERSTICIAL[[#This Row],[tramo gráf]]+1),COND_INTERSTICIAL[llave tramo gráf],0)))</f>
        <v>#N/A</v>
      </c>
      <c r="EH164" s="114" cm="1">
        <f t="array" aca="1" ref="EH16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4" s="116" t="e" cm="1">
        <f t="array" aca="1" ref="EI16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5" spans="100:139" x14ac:dyDescent="0.45">
      <c r="CW165" s="1" cm="1">
        <f t="array" ref="CW165">ROUNDUP((ROW()-$CN$18+(Mes_inicial_de_análisis-1)*N_capas*N_secciones)/(N_capas*N_secciones),0)-12*IF(ROW()-$CN$18&gt;(12-Mes_inicial_de_análisis+1)*N_capas*N_secciones,1,0)</f>
        <v>5</v>
      </c>
      <c r="CX165" cm="1">
        <f t="array" ref="CX165">ROUNDUP((ROW()-$CN$18)/N_capas-(ROUNDUP((ROW()-$CN$18)/(N_capas*N_secciones),0)-1)*N_secciones,0)</f>
        <v>1</v>
      </c>
      <c r="CY165" cm="1">
        <f t="array" ref="CY165">(ROW()-$CN$18)-(COND_INTERSTICIAL[[#This Row],[Sección]]-1)*N_capas-(ROUNDUP((ROW()-$CN$18)/(N_capas*N_secciones),0)-1)*N_capas*N_secciones</f>
        <v>6</v>
      </c>
      <c r="CZ165" t="str">
        <f>COND_INTERSTICIAL[[#This Row],[Mes]]&amp;"-"&amp;COND_INTERSTICIAL[[#This Row],[Sección]]&amp;"-"&amp;COND_INTERSTICIAL[[#This Row],[Capa]]</f>
        <v>5-1-6</v>
      </c>
      <c r="DA165">
        <f ca="1">INDEX(SECCIONES_CAPAS[R''n],MATCH(COND_INTERSTICIAL[[#This Row],[Sección]]&amp;"-"&amp;COND_INTERSTICIAL[[#This Row],[Capa]],SECCIONES_CAPAS[llave],0))</f>
        <v>0.04</v>
      </c>
      <c r="DB165" s="172" t="e" cm="1">
        <f t="array" aca="1" ref="DB165" ca="1">INDEX(CLIMA[ϴe],COND_INTERSTICIAL[[#This Row],[Mes]])+COND_INTERSTICIAL[[#This Row],[Rn]]*(INDEX(CLIMA[ϴi],COND_INTERSTICIAL[[#This Row],[Mes]])-INDEX(CLIMA[ϴe],COND_INTERSTICIAL[[#This Row],[Mes]]))/(INDEX(SECCIONES[Rtsección_condensación],COND_INTERSTICIAL[[#This Row],[Sección]]))</f>
        <v>#N/A</v>
      </c>
      <c r="DC165">
        <f>INDEX(SECCIONES_CAPAS[Sd],MATCH(COND_INTERSTICIAL[[#This Row],[Sección]]&amp;"-"&amp;COND_INTERSTICIAL[[#This Row],[Capa]],SECCIONES_CAPAS[llave],0))</f>
        <v>0</v>
      </c>
      <c r="DD165">
        <f ca="1">INDEX(SECCIONES_CAPAS[S''d],MATCH(COND_INTERSTICIAL[[#This Row],[Sección]]&amp;"-"&amp;COND_INTERSTICIAL[[#This Row],[Capa]],SECCIONES_CAPAS[llave],0))</f>
        <v>0</v>
      </c>
      <c r="DE165" s="90" t="e">
        <f ca="1">IF(COND_INTERSTICIAL[[#This Row],[ϴn]]&gt;=0,610.5*EXP((17.269*COND_INTERSTICIAL[[#This Row],[ϴn]])/(237.3+COND_INTERSTICIAL[[#This Row],[ϴn]])),610.5*EXP((21.875*COND_INTERSTICIAL[[#This Row],[ϴn]])/(265.5+COND_INTERSTICIAL[[#This Row],[ϴn]])))</f>
        <v>#N/A</v>
      </c>
      <c r="DF165" s="90" t="e" cm="1">
        <f t="array" aca="1" ref="DF165" ca="1">COND_INTERSTICIAL[[#This Row],[S''d]]*((INDEX(CLIMA[Pi],COND_INTERSTICIAL[[#This Row],[Mes]])-INDEX(CLIMA[Pe],COND_INTERSTICIAL[[#This Row],[Mes]]))/INDEX(SECCIONES[SdT],COND_INTERSTICIAL[[#This Row],[Sección]]))+INDEX(CLIMA[Pe],COND_INTERSTICIAL[[#This Row],[Mes]])</f>
        <v>#N/A</v>
      </c>
      <c r="DG165" s="108" t="e">
        <f ca="1">IF((COND_INTERSTICIAL[[#This Row],[Pn]]&gt;=COND_INTERSTICIAL[[#This Row],[Psat]]),TRUE,FALSE)</f>
        <v>#N/A</v>
      </c>
      <c r="DH165" s="109" t="e" cm="1">
        <f t="array" aca="1" ref="DH165" ca="1">IF(COND_INTERSTICIAL[[#This Row],[Condensa]],COND_INTERSTICIAL[[#This Row],[Psat]],IF(COND_INTERSTICIAL[[#This Row],[Capa]]=N_capas,COND_INTERSTICIAL[[#This Row],[Pn]],""))</f>
        <v>#N/A</v>
      </c>
      <c r="DI165" s="109" t="e">
        <f ca="1">COND_INTERSTICIAL[[#This Row],[Mes]]&amp;"-"&amp;COND_INTERSTICIAL[[#This Row],[Sección]]&amp;"-"&amp;COND_INTERSTICIAL[[#This Row],[tramo cond]]</f>
        <v>#N/A</v>
      </c>
      <c r="DJ165" t="e" cm="1">
        <f t="array" aca="1" ref="DJ165" ca="1">IF(COND_INTERSTICIAL[[#This Row],[Capa]]=1,IF(COND_INTERSTICIAL[[#This Row],[Condensa]],2,1),IF(COND_INTERSTICIAL[[#This Row],[Condensa]],1,0)+INDIRECT(ADDRESS(ROW()-1,COLUMN(),4)))</f>
        <v>#N/A</v>
      </c>
      <c r="DK165" s="108" t="e" cm="1">
        <f t="array" aca="1" ref="DK165" ca="1">IF(COND_INTERSTICIAL[[#This Row],[tramo cond]]=1,0,IF((COND_INTERSTICIAL[[#This Row],[tramo cond]]&gt;INDIRECT(ADDRESS(ROW()-1,COLUMN(COND_INTERSTICIAL[[#This Row],[tramo cond]]),4)))+COND_INTERSTICIAL[[#This Row],[Condensa]],COND_INTERSTICIAL[[#This Row],[Capa]],INDIRECT(ADDRESS(ROW()-1,COLUMN(),4))))</f>
        <v>#N/A</v>
      </c>
      <c r="DL165" s="108" t="e" cm="1">
        <f t="array" aca="1" ref="DL165" ca="1">IF((COND_INTERSTICIAL[[#This Row],[Capa]]=N_capas)+(COND_INTERSTICIAL[[#This Row],[tramo cond]]=COUNTIFS(COND_INTERSTICIAL[Condensa],TRUE,COND_INTERSTICIAL[Mes],CW165,COND_INTERSTICIAL[Sección],CX165)+1),N_capas,INDEX(COND_INTERSTICIAL[capa lím inf cond],MATCH(COND_INTERSTICIAL[[#This Row],[Mes]]&amp;"-"&amp;COND_INTERSTICIAL[[#This Row],[Sección]]&amp;"-"&amp;(COND_INTERSTICIAL[[#This Row],[tramo cond]]+1),COND_INTERSTICIAL[llave tramo cond],0)))</f>
        <v>#N/A</v>
      </c>
      <c r="DM165" s="108" cm="1">
        <f t="array" aca="1" ref="DM16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5" s="110" t="e" cm="1">
        <f t="array" aca="1" ref="DN16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5" s="107" t="e">
        <f ca="1">COND_INTERSTICIAL[[#This Row],[gc]]+COND_INTERSTICIAL[[#This Row],[Ma_anterior cond]]</f>
        <v>#N/A</v>
      </c>
      <c r="DQ165" s="113" t="e">
        <f ca="1">IF((COND_INTERSTICIAL[[#This Row],[Ma_anterior cond]]&gt;0)*NOT(COND_INTERSTICIAL[[#This Row],[Condensa]]),TRUE,FALSE)</f>
        <v>#N/A</v>
      </c>
      <c r="DR165" s="112" t="e" cm="1">
        <f t="array" aca="1" ref="DR165" ca="1">IF(COND_INTERSTICIAL[[#This Row],[evapora]],COND_INTERSTICIAL[[#This Row],[Psat]],IF(COND_INTERSTICIAL[[#This Row],[Capa]]=N_capas,COND_INTERSTICIAL[[#This Row],[Pn]],""))</f>
        <v>#N/A</v>
      </c>
      <c r="DS165" s="112" t="e">
        <f ca="1">COND_INTERSTICIAL[[#This Row],[Mes]]&amp;"-"&amp;COND_INTERSTICIAL[[#This Row],[Sección]]&amp;"-"&amp;COND_INTERSTICIAL[[#This Row],[tramo ev]]</f>
        <v>#N/A</v>
      </c>
      <c r="DT165" s="111" t="e" cm="1">
        <f t="array" aca="1" ref="DT165" ca="1">IF(COND_INTERSTICIAL[[#This Row],[Capa]]=1,IF(COND_INTERSTICIAL[[#This Row],[evapora]],2,1),IF(COND_INTERSTICIAL[[#This Row],[evapora]],1,0)+INDIRECT(ADDRESS(ROW()-1,COLUMN(),4)))</f>
        <v>#N/A</v>
      </c>
      <c r="DU165" s="111" t="e" cm="1">
        <f t="array" aca="1" ref="DU165" ca="1">IF(COND_INTERSTICIAL[[#This Row],[tramo ev]]=1,0,IF((COND_INTERSTICIAL[[#This Row],[tramo ev]]&gt;INDIRECT(ADDRESS(ROW()-1,COLUMN(COND_INTERSTICIAL[[#This Row],[tramo ev]]),4)))+COND_INTERSTICIAL[[#This Row],[evapora]],COND_INTERSTICIAL[[#This Row],[Capa]],INDIRECT(ADDRESS(ROW()-1,COLUMN(),4))))</f>
        <v>#N/A</v>
      </c>
      <c r="DV165" s="111" t="e" cm="1">
        <f t="array" aca="1" ref="DV165" ca="1">IF((COND_INTERSTICIAL[[#This Row],[Capa]]=N_capas)+(COND_INTERSTICIAL[[#This Row],[tramo ev]]=COUNTIFS(COND_INTERSTICIAL[evapora],TRUE,COND_INTERSTICIAL[Mes],CW165,COND_INTERSTICIAL[Sección],CX165)+1),N_capas,INDEX(COND_INTERSTICIAL[capa lím inf ev],MATCH(COND_INTERSTICIAL[[#This Row],[Mes]]&amp;"-"&amp;COND_INTERSTICIAL[[#This Row],[Sección]]&amp;"-"&amp;(COND_INTERSTICIAL[[#This Row],[tramo ev]]+1),COND_INTERSTICIAL[llave tramo ev],0)))</f>
        <v>#N/A</v>
      </c>
      <c r="DW165" s="111" cm="1">
        <f t="array" aca="1" ref="DW16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5" s="113" t="e" cm="1">
        <f t="array" aca="1" ref="DX16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5" s="113" t="e">
        <f ca="1">COND_INTERSTICIAL[[#This Row],[gev]]+COND_INTERSTICIAL[[#This Row],[Ma anterior ev]]</f>
        <v>#N/A</v>
      </c>
      <c r="EA165" s="115" t="e">
        <f ca="1">IF(COND_INTERSTICIAL[[#This Row],[Ma cond]]+COND_INTERSTICIAL[[#This Row],[Ma ev]]&lt;=0,0,COND_INTERSTICIAL[[#This Row],[Ma cond]]+COND_INTERSTICIAL[[#This Row],[Ma ev]])</f>
        <v>#N/A</v>
      </c>
      <c r="EB165" s="115" t="e">
        <f ca="1">IF(COND_INTERSTICIAL[[#This Row],[Ma]]&gt;0,TRUE,FALSE)</f>
        <v>#N/A</v>
      </c>
      <c r="EC165" s="115" t="e" cm="1">
        <f t="array" aca="1" ref="EC165" ca="1">IF(COND_INTERSTICIAL[[#This Row],[agua líquida]],IF(COND_INTERSTICIAL[[#This Row],[Condensa]],COND_INTERSTICIAL[[#This Row],[P límite cond]],COND_INTERSTICIAL[[#This Row],[P límite ev]]),IF(COND_INTERSTICIAL[[#This Row],[Capa]]=N_capas,COND_INTERSTICIAL[[#This Row],[Pn]],""))</f>
        <v>#N/A</v>
      </c>
      <c r="ED165" s="115" t="e">
        <f ca="1">COND_INTERSTICIAL[[#This Row],[Mes]]&amp;"-"&amp;COND_INTERSTICIAL[[#This Row],[Sección]]&amp;"-"&amp;COND_INTERSTICIAL[[#This Row],[tramo gráf]]</f>
        <v>#N/A</v>
      </c>
      <c r="EE165" s="114" t="e" cm="1">
        <f t="array" aca="1" ref="EE165" ca="1">IF(COND_INTERSTICIAL[[#This Row],[Capa]]=1,IF(COND_INTERSTICIAL[[#This Row],[agua líquida]],2,1),IF(COND_INTERSTICIAL[[#This Row],[agua líquida]],1,0)+INDIRECT(ADDRESS(ROW()-1,COLUMN(),4)))</f>
        <v>#N/A</v>
      </c>
      <c r="EF165" s="114" t="e" cm="1">
        <f t="array" aca="1" ref="EF165" ca="1">IF(COND_INTERSTICIAL[[#This Row],[tramo gráf]]=1,0,IF((COND_INTERSTICIAL[[#This Row],[tramo gráf]]&gt;INDIRECT(ADDRESS(ROW()-1,COLUMN(COND_INTERSTICIAL[[#This Row],[tramo gráf]]),4)))+COND_INTERSTICIAL[[#This Row],[agua líquida]],COND_INTERSTICIAL[[#This Row],[Capa]],INDIRECT(ADDRESS(ROW()-1,COLUMN(),4))))</f>
        <v>#N/A</v>
      </c>
      <c r="EG165" s="114" t="e" cm="1">
        <f t="array" aca="1" ref="EG165" ca="1">IF((COND_INTERSTICIAL[[#This Row],[Capa]]=N_capas)+(COND_INTERSTICIAL[[#This Row],[tramo gráf]]=COUNTIFS(COND_INTERSTICIAL[agua líquida],TRUE,COND_INTERSTICIAL[Mes],CW165,COND_INTERSTICIAL[Sección],CX165)+1),N_capas,INDEX(COND_INTERSTICIAL[capa lím inf gráf],MATCH(COND_INTERSTICIAL[[#This Row],[Mes]]&amp;"-"&amp;COND_INTERSTICIAL[[#This Row],[Sección]]&amp;"-"&amp;(COND_INTERSTICIAL[[#This Row],[tramo gráf]]+1),COND_INTERSTICIAL[llave tramo gráf],0)))</f>
        <v>#N/A</v>
      </c>
      <c r="EH165" s="114" cm="1">
        <f t="array" aca="1" ref="EH16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5" s="116" t="e" cm="1">
        <f t="array" aca="1" ref="EI16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6" spans="100:139" x14ac:dyDescent="0.45">
      <c r="CW166" s="1" cm="1">
        <f t="array" ref="CW166">ROUNDUP((ROW()-$CN$18+(Mes_inicial_de_análisis-1)*N_capas*N_secciones)/(N_capas*N_secciones),0)-12*IF(ROW()-$CN$18&gt;(12-Mes_inicial_de_análisis+1)*N_capas*N_secciones,1,0)</f>
        <v>5</v>
      </c>
      <c r="CX166" cm="1">
        <f t="array" ref="CX166">ROUNDUP((ROW()-$CN$18)/N_capas-(ROUNDUP((ROW()-$CN$18)/(N_capas*N_secciones),0)-1)*N_secciones,0)</f>
        <v>1</v>
      </c>
      <c r="CY166" cm="1">
        <f t="array" ref="CY166">(ROW()-$CN$18)-(COND_INTERSTICIAL[[#This Row],[Sección]]-1)*N_capas-(ROUNDUP((ROW()-$CN$18)/(N_capas*N_secciones),0)-1)*N_capas*N_secciones</f>
        <v>7</v>
      </c>
      <c r="CZ166" t="str">
        <f>COND_INTERSTICIAL[[#This Row],[Mes]]&amp;"-"&amp;COND_INTERSTICIAL[[#This Row],[Sección]]&amp;"-"&amp;COND_INTERSTICIAL[[#This Row],[Capa]]</f>
        <v>5-1-7</v>
      </c>
      <c r="DA166">
        <f ca="1">INDEX(SECCIONES_CAPAS[R''n],MATCH(COND_INTERSTICIAL[[#This Row],[Sección]]&amp;"-"&amp;COND_INTERSTICIAL[[#This Row],[Capa]],SECCIONES_CAPAS[llave],0))</f>
        <v>0.04</v>
      </c>
      <c r="DB166" s="172" t="e" cm="1">
        <f t="array" aca="1" ref="DB166" ca="1">INDEX(CLIMA[ϴe],COND_INTERSTICIAL[[#This Row],[Mes]])+COND_INTERSTICIAL[[#This Row],[Rn]]*(INDEX(CLIMA[ϴi],COND_INTERSTICIAL[[#This Row],[Mes]])-INDEX(CLIMA[ϴe],COND_INTERSTICIAL[[#This Row],[Mes]]))/(INDEX(SECCIONES[Rtsección_condensación],COND_INTERSTICIAL[[#This Row],[Sección]]))</f>
        <v>#N/A</v>
      </c>
      <c r="DC166">
        <f>INDEX(SECCIONES_CAPAS[Sd],MATCH(COND_INTERSTICIAL[[#This Row],[Sección]]&amp;"-"&amp;COND_INTERSTICIAL[[#This Row],[Capa]],SECCIONES_CAPAS[llave],0))</f>
        <v>0</v>
      </c>
      <c r="DD166">
        <f ca="1">INDEX(SECCIONES_CAPAS[S''d],MATCH(COND_INTERSTICIAL[[#This Row],[Sección]]&amp;"-"&amp;COND_INTERSTICIAL[[#This Row],[Capa]],SECCIONES_CAPAS[llave],0))</f>
        <v>0</v>
      </c>
      <c r="DE166" s="90" t="e">
        <f ca="1">IF(COND_INTERSTICIAL[[#This Row],[ϴn]]&gt;=0,610.5*EXP((17.269*COND_INTERSTICIAL[[#This Row],[ϴn]])/(237.3+COND_INTERSTICIAL[[#This Row],[ϴn]])),610.5*EXP((21.875*COND_INTERSTICIAL[[#This Row],[ϴn]])/(265.5+COND_INTERSTICIAL[[#This Row],[ϴn]])))</f>
        <v>#N/A</v>
      </c>
      <c r="DF166" s="90" t="e" cm="1">
        <f t="array" aca="1" ref="DF166" ca="1">COND_INTERSTICIAL[[#This Row],[S''d]]*((INDEX(CLIMA[Pi],COND_INTERSTICIAL[[#This Row],[Mes]])-INDEX(CLIMA[Pe],COND_INTERSTICIAL[[#This Row],[Mes]]))/INDEX(SECCIONES[SdT],COND_INTERSTICIAL[[#This Row],[Sección]]))+INDEX(CLIMA[Pe],COND_INTERSTICIAL[[#This Row],[Mes]])</f>
        <v>#N/A</v>
      </c>
      <c r="DG166" s="108" t="e">
        <f ca="1">IF((COND_INTERSTICIAL[[#This Row],[Pn]]&gt;=COND_INTERSTICIAL[[#This Row],[Psat]]),TRUE,FALSE)</f>
        <v>#N/A</v>
      </c>
      <c r="DH166" s="109" t="e" cm="1">
        <f t="array" aca="1" ref="DH166" ca="1">IF(COND_INTERSTICIAL[[#This Row],[Condensa]],COND_INTERSTICIAL[[#This Row],[Psat]],IF(COND_INTERSTICIAL[[#This Row],[Capa]]=N_capas,COND_INTERSTICIAL[[#This Row],[Pn]],""))</f>
        <v>#N/A</v>
      </c>
      <c r="DI166" s="109" t="e">
        <f ca="1">COND_INTERSTICIAL[[#This Row],[Mes]]&amp;"-"&amp;COND_INTERSTICIAL[[#This Row],[Sección]]&amp;"-"&amp;COND_INTERSTICIAL[[#This Row],[tramo cond]]</f>
        <v>#N/A</v>
      </c>
      <c r="DJ166" t="e" cm="1">
        <f t="array" aca="1" ref="DJ166" ca="1">IF(COND_INTERSTICIAL[[#This Row],[Capa]]=1,IF(COND_INTERSTICIAL[[#This Row],[Condensa]],2,1),IF(COND_INTERSTICIAL[[#This Row],[Condensa]],1,0)+INDIRECT(ADDRESS(ROW()-1,COLUMN(),4)))</f>
        <v>#N/A</v>
      </c>
      <c r="DK166" s="108" t="e" cm="1">
        <f t="array" aca="1" ref="DK166" ca="1">IF(COND_INTERSTICIAL[[#This Row],[tramo cond]]=1,0,IF((COND_INTERSTICIAL[[#This Row],[tramo cond]]&gt;INDIRECT(ADDRESS(ROW()-1,COLUMN(COND_INTERSTICIAL[[#This Row],[tramo cond]]),4)))+COND_INTERSTICIAL[[#This Row],[Condensa]],COND_INTERSTICIAL[[#This Row],[Capa]],INDIRECT(ADDRESS(ROW()-1,COLUMN(),4))))</f>
        <v>#N/A</v>
      </c>
      <c r="DL166" s="108" t="e" cm="1">
        <f t="array" aca="1" ref="DL166" ca="1">IF((COND_INTERSTICIAL[[#This Row],[Capa]]=N_capas)+(COND_INTERSTICIAL[[#This Row],[tramo cond]]=COUNTIFS(COND_INTERSTICIAL[Condensa],TRUE,COND_INTERSTICIAL[Mes],CW166,COND_INTERSTICIAL[Sección],CX166)+1),N_capas,INDEX(COND_INTERSTICIAL[capa lím inf cond],MATCH(COND_INTERSTICIAL[[#This Row],[Mes]]&amp;"-"&amp;COND_INTERSTICIAL[[#This Row],[Sección]]&amp;"-"&amp;(COND_INTERSTICIAL[[#This Row],[tramo cond]]+1),COND_INTERSTICIAL[llave tramo cond],0)))</f>
        <v>#N/A</v>
      </c>
      <c r="DM166" s="108" cm="1">
        <f t="array" aca="1" ref="DM16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6" s="110" t="e" cm="1">
        <f t="array" aca="1" ref="DN16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6" s="107" t="e">
        <f ca="1">COND_INTERSTICIAL[[#This Row],[gc]]+COND_INTERSTICIAL[[#This Row],[Ma_anterior cond]]</f>
        <v>#N/A</v>
      </c>
      <c r="DQ166" s="113" t="e">
        <f ca="1">IF((COND_INTERSTICIAL[[#This Row],[Ma_anterior cond]]&gt;0)*NOT(COND_INTERSTICIAL[[#This Row],[Condensa]]),TRUE,FALSE)</f>
        <v>#N/A</v>
      </c>
      <c r="DR166" s="112" t="e" cm="1">
        <f t="array" aca="1" ref="DR166" ca="1">IF(COND_INTERSTICIAL[[#This Row],[evapora]],COND_INTERSTICIAL[[#This Row],[Psat]],IF(COND_INTERSTICIAL[[#This Row],[Capa]]=N_capas,COND_INTERSTICIAL[[#This Row],[Pn]],""))</f>
        <v>#N/A</v>
      </c>
      <c r="DS166" s="112" t="e">
        <f ca="1">COND_INTERSTICIAL[[#This Row],[Mes]]&amp;"-"&amp;COND_INTERSTICIAL[[#This Row],[Sección]]&amp;"-"&amp;COND_INTERSTICIAL[[#This Row],[tramo ev]]</f>
        <v>#N/A</v>
      </c>
      <c r="DT166" s="111" t="e" cm="1">
        <f t="array" aca="1" ref="DT166" ca="1">IF(COND_INTERSTICIAL[[#This Row],[Capa]]=1,IF(COND_INTERSTICIAL[[#This Row],[evapora]],2,1),IF(COND_INTERSTICIAL[[#This Row],[evapora]],1,0)+INDIRECT(ADDRESS(ROW()-1,COLUMN(),4)))</f>
        <v>#N/A</v>
      </c>
      <c r="DU166" s="111" t="e" cm="1">
        <f t="array" aca="1" ref="DU166" ca="1">IF(COND_INTERSTICIAL[[#This Row],[tramo ev]]=1,0,IF((COND_INTERSTICIAL[[#This Row],[tramo ev]]&gt;INDIRECT(ADDRESS(ROW()-1,COLUMN(COND_INTERSTICIAL[[#This Row],[tramo ev]]),4)))+COND_INTERSTICIAL[[#This Row],[evapora]],COND_INTERSTICIAL[[#This Row],[Capa]],INDIRECT(ADDRESS(ROW()-1,COLUMN(),4))))</f>
        <v>#N/A</v>
      </c>
      <c r="DV166" s="111" t="e" cm="1">
        <f t="array" aca="1" ref="DV166" ca="1">IF((COND_INTERSTICIAL[[#This Row],[Capa]]=N_capas)+(COND_INTERSTICIAL[[#This Row],[tramo ev]]=COUNTIFS(COND_INTERSTICIAL[evapora],TRUE,COND_INTERSTICIAL[Mes],CW166,COND_INTERSTICIAL[Sección],CX166)+1),N_capas,INDEX(COND_INTERSTICIAL[capa lím inf ev],MATCH(COND_INTERSTICIAL[[#This Row],[Mes]]&amp;"-"&amp;COND_INTERSTICIAL[[#This Row],[Sección]]&amp;"-"&amp;(COND_INTERSTICIAL[[#This Row],[tramo ev]]+1),COND_INTERSTICIAL[llave tramo ev],0)))</f>
        <v>#N/A</v>
      </c>
      <c r="DW166" s="111" cm="1">
        <f t="array" aca="1" ref="DW16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6" s="113" t="e" cm="1">
        <f t="array" aca="1" ref="DX16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6" s="113" t="e">
        <f ca="1">COND_INTERSTICIAL[[#This Row],[gev]]+COND_INTERSTICIAL[[#This Row],[Ma anterior ev]]</f>
        <v>#N/A</v>
      </c>
      <c r="EA166" s="115" t="e">
        <f ca="1">IF(COND_INTERSTICIAL[[#This Row],[Ma cond]]+COND_INTERSTICIAL[[#This Row],[Ma ev]]&lt;=0,0,COND_INTERSTICIAL[[#This Row],[Ma cond]]+COND_INTERSTICIAL[[#This Row],[Ma ev]])</f>
        <v>#N/A</v>
      </c>
      <c r="EB166" s="115" t="e">
        <f ca="1">IF(COND_INTERSTICIAL[[#This Row],[Ma]]&gt;0,TRUE,FALSE)</f>
        <v>#N/A</v>
      </c>
      <c r="EC166" s="115" t="e" cm="1">
        <f t="array" aca="1" ref="EC166" ca="1">IF(COND_INTERSTICIAL[[#This Row],[agua líquida]],IF(COND_INTERSTICIAL[[#This Row],[Condensa]],COND_INTERSTICIAL[[#This Row],[P límite cond]],COND_INTERSTICIAL[[#This Row],[P límite ev]]),IF(COND_INTERSTICIAL[[#This Row],[Capa]]=N_capas,COND_INTERSTICIAL[[#This Row],[Pn]],""))</f>
        <v>#N/A</v>
      </c>
      <c r="ED166" s="115" t="e">
        <f ca="1">COND_INTERSTICIAL[[#This Row],[Mes]]&amp;"-"&amp;COND_INTERSTICIAL[[#This Row],[Sección]]&amp;"-"&amp;COND_INTERSTICIAL[[#This Row],[tramo gráf]]</f>
        <v>#N/A</v>
      </c>
      <c r="EE166" s="114" t="e" cm="1">
        <f t="array" aca="1" ref="EE166" ca="1">IF(COND_INTERSTICIAL[[#This Row],[Capa]]=1,IF(COND_INTERSTICIAL[[#This Row],[agua líquida]],2,1),IF(COND_INTERSTICIAL[[#This Row],[agua líquida]],1,0)+INDIRECT(ADDRESS(ROW()-1,COLUMN(),4)))</f>
        <v>#N/A</v>
      </c>
      <c r="EF166" s="114" t="e" cm="1">
        <f t="array" aca="1" ref="EF166" ca="1">IF(COND_INTERSTICIAL[[#This Row],[tramo gráf]]=1,0,IF((COND_INTERSTICIAL[[#This Row],[tramo gráf]]&gt;INDIRECT(ADDRESS(ROW()-1,COLUMN(COND_INTERSTICIAL[[#This Row],[tramo gráf]]),4)))+COND_INTERSTICIAL[[#This Row],[agua líquida]],COND_INTERSTICIAL[[#This Row],[Capa]],INDIRECT(ADDRESS(ROW()-1,COLUMN(),4))))</f>
        <v>#N/A</v>
      </c>
      <c r="EG166" s="114" t="e" cm="1">
        <f t="array" aca="1" ref="EG166" ca="1">IF((COND_INTERSTICIAL[[#This Row],[Capa]]=N_capas)+(COND_INTERSTICIAL[[#This Row],[tramo gráf]]=COUNTIFS(COND_INTERSTICIAL[agua líquida],TRUE,COND_INTERSTICIAL[Mes],CW166,COND_INTERSTICIAL[Sección],CX166)+1),N_capas,INDEX(COND_INTERSTICIAL[capa lím inf gráf],MATCH(COND_INTERSTICIAL[[#This Row],[Mes]]&amp;"-"&amp;COND_INTERSTICIAL[[#This Row],[Sección]]&amp;"-"&amp;(COND_INTERSTICIAL[[#This Row],[tramo gráf]]+1),COND_INTERSTICIAL[llave tramo gráf],0)))</f>
        <v>#N/A</v>
      </c>
      <c r="EH166" s="114" cm="1">
        <f t="array" aca="1" ref="EH16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6" s="116" t="e" cm="1">
        <f t="array" aca="1" ref="EI16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7" spans="100:139" x14ac:dyDescent="0.45">
      <c r="CW167" s="1" cm="1">
        <f t="array" ref="CW167">ROUNDUP((ROW()-$CN$18+(Mes_inicial_de_análisis-1)*N_capas*N_secciones)/(N_capas*N_secciones),0)-12*IF(ROW()-$CN$18&gt;(12-Mes_inicial_de_análisis+1)*N_capas*N_secciones,1,0)</f>
        <v>5</v>
      </c>
      <c r="CX167" cm="1">
        <f t="array" ref="CX167">ROUNDUP((ROW()-$CN$18)/N_capas-(ROUNDUP((ROW()-$CN$18)/(N_capas*N_secciones),0)-1)*N_secciones,0)</f>
        <v>2</v>
      </c>
      <c r="CY167" cm="1">
        <f t="array" ref="CY167">(ROW()-$CN$18)-(COND_INTERSTICIAL[[#This Row],[Sección]]-1)*N_capas-(ROUNDUP((ROW()-$CN$18)/(N_capas*N_secciones),0)-1)*N_capas*N_secciones</f>
        <v>1</v>
      </c>
      <c r="CZ167" t="str">
        <f>COND_INTERSTICIAL[[#This Row],[Mes]]&amp;"-"&amp;COND_INTERSTICIAL[[#This Row],[Sección]]&amp;"-"&amp;COND_INTERSTICIAL[[#This Row],[Capa]]</f>
        <v>5-2-1</v>
      </c>
      <c r="DA167">
        <f ca="1">INDEX(SECCIONES_CAPAS[R''n],MATCH(COND_INTERSTICIAL[[#This Row],[Sección]]&amp;"-"&amp;COND_INTERSTICIAL[[#This Row],[Capa]],SECCIONES_CAPAS[llave],0))</f>
        <v>0.04</v>
      </c>
      <c r="DB167" s="172" t="e" cm="1">
        <f t="array" aca="1" ref="DB167" ca="1">INDEX(CLIMA[ϴe],COND_INTERSTICIAL[[#This Row],[Mes]])+COND_INTERSTICIAL[[#This Row],[Rn]]*(INDEX(CLIMA[ϴi],COND_INTERSTICIAL[[#This Row],[Mes]])-INDEX(CLIMA[ϴe],COND_INTERSTICIAL[[#This Row],[Mes]]))/(INDEX(SECCIONES[Rtsección_condensación],COND_INTERSTICIAL[[#This Row],[Sección]]))</f>
        <v>#N/A</v>
      </c>
      <c r="DC167">
        <f>INDEX(SECCIONES_CAPAS[Sd],MATCH(COND_INTERSTICIAL[[#This Row],[Sección]]&amp;"-"&amp;COND_INTERSTICIAL[[#This Row],[Capa]],SECCIONES_CAPAS[llave],0))</f>
        <v>0</v>
      </c>
      <c r="DD167">
        <f ca="1">INDEX(SECCIONES_CAPAS[S''d],MATCH(COND_INTERSTICIAL[[#This Row],[Sección]]&amp;"-"&amp;COND_INTERSTICIAL[[#This Row],[Capa]],SECCIONES_CAPAS[llave],0))</f>
        <v>0</v>
      </c>
      <c r="DE167" s="90" t="e">
        <f ca="1">IF(COND_INTERSTICIAL[[#This Row],[ϴn]]&gt;=0,610.5*EXP((17.269*COND_INTERSTICIAL[[#This Row],[ϴn]])/(237.3+COND_INTERSTICIAL[[#This Row],[ϴn]])),610.5*EXP((21.875*COND_INTERSTICIAL[[#This Row],[ϴn]])/(265.5+COND_INTERSTICIAL[[#This Row],[ϴn]])))</f>
        <v>#N/A</v>
      </c>
      <c r="DF167" s="90" t="e" cm="1">
        <f t="array" aca="1" ref="DF167" ca="1">COND_INTERSTICIAL[[#This Row],[S''d]]*((INDEX(CLIMA[Pi],COND_INTERSTICIAL[[#This Row],[Mes]])-INDEX(CLIMA[Pe],COND_INTERSTICIAL[[#This Row],[Mes]]))/INDEX(SECCIONES[SdT],COND_INTERSTICIAL[[#This Row],[Sección]]))+INDEX(CLIMA[Pe],COND_INTERSTICIAL[[#This Row],[Mes]])</f>
        <v>#N/A</v>
      </c>
      <c r="DG167" s="108" t="e">
        <f ca="1">IF((COND_INTERSTICIAL[[#This Row],[Pn]]&gt;=COND_INTERSTICIAL[[#This Row],[Psat]]),TRUE,FALSE)</f>
        <v>#N/A</v>
      </c>
      <c r="DH167" s="109" t="e" cm="1">
        <f t="array" aca="1" ref="DH167" ca="1">IF(COND_INTERSTICIAL[[#This Row],[Condensa]],COND_INTERSTICIAL[[#This Row],[Psat]],IF(COND_INTERSTICIAL[[#This Row],[Capa]]=N_capas,COND_INTERSTICIAL[[#This Row],[Pn]],""))</f>
        <v>#N/A</v>
      </c>
      <c r="DI167" s="109" t="e">
        <f ca="1">COND_INTERSTICIAL[[#This Row],[Mes]]&amp;"-"&amp;COND_INTERSTICIAL[[#This Row],[Sección]]&amp;"-"&amp;COND_INTERSTICIAL[[#This Row],[tramo cond]]</f>
        <v>#N/A</v>
      </c>
      <c r="DJ167" t="e" cm="1">
        <f t="array" aca="1" ref="DJ167" ca="1">IF(COND_INTERSTICIAL[[#This Row],[Capa]]=1,IF(COND_INTERSTICIAL[[#This Row],[Condensa]],2,1),IF(COND_INTERSTICIAL[[#This Row],[Condensa]],1,0)+INDIRECT(ADDRESS(ROW()-1,COLUMN(),4)))</f>
        <v>#N/A</v>
      </c>
      <c r="DK167" s="108" t="e" cm="1">
        <f t="array" aca="1" ref="DK167" ca="1">IF(COND_INTERSTICIAL[[#This Row],[tramo cond]]=1,0,IF((COND_INTERSTICIAL[[#This Row],[tramo cond]]&gt;INDIRECT(ADDRESS(ROW()-1,COLUMN(COND_INTERSTICIAL[[#This Row],[tramo cond]]),4)))+COND_INTERSTICIAL[[#This Row],[Condensa]],COND_INTERSTICIAL[[#This Row],[Capa]],INDIRECT(ADDRESS(ROW()-1,COLUMN(),4))))</f>
        <v>#N/A</v>
      </c>
      <c r="DL167" s="108" t="e" cm="1">
        <f t="array" aca="1" ref="DL167" ca="1">IF((COND_INTERSTICIAL[[#This Row],[Capa]]=N_capas)+(COND_INTERSTICIAL[[#This Row],[tramo cond]]=COUNTIFS(COND_INTERSTICIAL[Condensa],TRUE,COND_INTERSTICIAL[Mes],CW167,COND_INTERSTICIAL[Sección],CX167)+1),N_capas,INDEX(COND_INTERSTICIAL[capa lím inf cond],MATCH(COND_INTERSTICIAL[[#This Row],[Mes]]&amp;"-"&amp;COND_INTERSTICIAL[[#This Row],[Sección]]&amp;"-"&amp;(COND_INTERSTICIAL[[#This Row],[tramo cond]]+1),COND_INTERSTICIAL[llave tramo cond],0)))</f>
        <v>#N/A</v>
      </c>
      <c r="DM167" s="108" cm="1">
        <f t="array" aca="1" ref="DM16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7" s="110" t="e" cm="1">
        <f t="array" aca="1" ref="DN16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7" s="107" t="e">
        <f ca="1">COND_INTERSTICIAL[[#This Row],[gc]]+COND_INTERSTICIAL[[#This Row],[Ma_anterior cond]]</f>
        <v>#N/A</v>
      </c>
      <c r="DQ167" s="113" t="e">
        <f ca="1">IF((COND_INTERSTICIAL[[#This Row],[Ma_anterior cond]]&gt;0)*NOT(COND_INTERSTICIAL[[#This Row],[Condensa]]),TRUE,FALSE)</f>
        <v>#N/A</v>
      </c>
      <c r="DR167" s="112" t="e" cm="1">
        <f t="array" aca="1" ref="DR167" ca="1">IF(COND_INTERSTICIAL[[#This Row],[evapora]],COND_INTERSTICIAL[[#This Row],[Psat]],IF(COND_INTERSTICIAL[[#This Row],[Capa]]=N_capas,COND_INTERSTICIAL[[#This Row],[Pn]],""))</f>
        <v>#N/A</v>
      </c>
      <c r="DS167" s="112" t="e">
        <f ca="1">COND_INTERSTICIAL[[#This Row],[Mes]]&amp;"-"&amp;COND_INTERSTICIAL[[#This Row],[Sección]]&amp;"-"&amp;COND_INTERSTICIAL[[#This Row],[tramo ev]]</f>
        <v>#N/A</v>
      </c>
      <c r="DT167" s="111" t="e" cm="1">
        <f t="array" aca="1" ref="DT167" ca="1">IF(COND_INTERSTICIAL[[#This Row],[Capa]]=1,IF(COND_INTERSTICIAL[[#This Row],[evapora]],2,1),IF(COND_INTERSTICIAL[[#This Row],[evapora]],1,0)+INDIRECT(ADDRESS(ROW()-1,COLUMN(),4)))</f>
        <v>#N/A</v>
      </c>
      <c r="DU167" s="111" t="e" cm="1">
        <f t="array" aca="1" ref="DU167" ca="1">IF(COND_INTERSTICIAL[[#This Row],[tramo ev]]=1,0,IF((COND_INTERSTICIAL[[#This Row],[tramo ev]]&gt;INDIRECT(ADDRESS(ROW()-1,COLUMN(COND_INTERSTICIAL[[#This Row],[tramo ev]]),4)))+COND_INTERSTICIAL[[#This Row],[evapora]],COND_INTERSTICIAL[[#This Row],[Capa]],INDIRECT(ADDRESS(ROW()-1,COLUMN(),4))))</f>
        <v>#N/A</v>
      </c>
      <c r="DV167" s="111" t="e" cm="1">
        <f t="array" aca="1" ref="DV167" ca="1">IF((COND_INTERSTICIAL[[#This Row],[Capa]]=N_capas)+(COND_INTERSTICIAL[[#This Row],[tramo ev]]=COUNTIFS(COND_INTERSTICIAL[evapora],TRUE,COND_INTERSTICIAL[Mes],CW167,COND_INTERSTICIAL[Sección],CX167)+1),N_capas,INDEX(COND_INTERSTICIAL[capa lím inf ev],MATCH(COND_INTERSTICIAL[[#This Row],[Mes]]&amp;"-"&amp;COND_INTERSTICIAL[[#This Row],[Sección]]&amp;"-"&amp;(COND_INTERSTICIAL[[#This Row],[tramo ev]]+1),COND_INTERSTICIAL[llave tramo ev],0)))</f>
        <v>#N/A</v>
      </c>
      <c r="DW167" s="111" cm="1">
        <f t="array" aca="1" ref="DW16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7" s="113" t="e" cm="1">
        <f t="array" aca="1" ref="DX16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7" s="113" t="e">
        <f ca="1">COND_INTERSTICIAL[[#This Row],[gev]]+COND_INTERSTICIAL[[#This Row],[Ma anterior ev]]</f>
        <v>#N/A</v>
      </c>
      <c r="EA167" s="115" t="e">
        <f ca="1">IF(COND_INTERSTICIAL[[#This Row],[Ma cond]]+COND_INTERSTICIAL[[#This Row],[Ma ev]]&lt;=0,0,COND_INTERSTICIAL[[#This Row],[Ma cond]]+COND_INTERSTICIAL[[#This Row],[Ma ev]])</f>
        <v>#N/A</v>
      </c>
      <c r="EB167" s="115" t="e">
        <f ca="1">IF(COND_INTERSTICIAL[[#This Row],[Ma]]&gt;0,TRUE,FALSE)</f>
        <v>#N/A</v>
      </c>
      <c r="EC167" s="115" t="e" cm="1">
        <f t="array" aca="1" ref="EC167" ca="1">IF(COND_INTERSTICIAL[[#This Row],[agua líquida]],IF(COND_INTERSTICIAL[[#This Row],[Condensa]],COND_INTERSTICIAL[[#This Row],[P límite cond]],COND_INTERSTICIAL[[#This Row],[P límite ev]]),IF(COND_INTERSTICIAL[[#This Row],[Capa]]=N_capas,COND_INTERSTICIAL[[#This Row],[Pn]],""))</f>
        <v>#N/A</v>
      </c>
      <c r="ED167" s="115" t="e">
        <f ca="1">COND_INTERSTICIAL[[#This Row],[Mes]]&amp;"-"&amp;COND_INTERSTICIAL[[#This Row],[Sección]]&amp;"-"&amp;COND_INTERSTICIAL[[#This Row],[tramo gráf]]</f>
        <v>#N/A</v>
      </c>
      <c r="EE167" s="114" t="e" cm="1">
        <f t="array" aca="1" ref="EE167" ca="1">IF(COND_INTERSTICIAL[[#This Row],[Capa]]=1,IF(COND_INTERSTICIAL[[#This Row],[agua líquida]],2,1),IF(COND_INTERSTICIAL[[#This Row],[agua líquida]],1,0)+INDIRECT(ADDRESS(ROW()-1,COLUMN(),4)))</f>
        <v>#N/A</v>
      </c>
      <c r="EF167" s="114" t="e" cm="1">
        <f t="array" aca="1" ref="EF167" ca="1">IF(COND_INTERSTICIAL[[#This Row],[tramo gráf]]=1,0,IF((COND_INTERSTICIAL[[#This Row],[tramo gráf]]&gt;INDIRECT(ADDRESS(ROW()-1,COLUMN(COND_INTERSTICIAL[[#This Row],[tramo gráf]]),4)))+COND_INTERSTICIAL[[#This Row],[agua líquida]],COND_INTERSTICIAL[[#This Row],[Capa]],INDIRECT(ADDRESS(ROW()-1,COLUMN(),4))))</f>
        <v>#N/A</v>
      </c>
      <c r="EG167" s="114" t="e" cm="1">
        <f t="array" aca="1" ref="EG167" ca="1">IF((COND_INTERSTICIAL[[#This Row],[Capa]]=N_capas)+(COND_INTERSTICIAL[[#This Row],[tramo gráf]]=COUNTIFS(COND_INTERSTICIAL[agua líquida],TRUE,COND_INTERSTICIAL[Mes],CW167,COND_INTERSTICIAL[Sección],CX167)+1),N_capas,INDEX(COND_INTERSTICIAL[capa lím inf gráf],MATCH(COND_INTERSTICIAL[[#This Row],[Mes]]&amp;"-"&amp;COND_INTERSTICIAL[[#This Row],[Sección]]&amp;"-"&amp;(COND_INTERSTICIAL[[#This Row],[tramo gráf]]+1),COND_INTERSTICIAL[llave tramo gráf],0)))</f>
        <v>#N/A</v>
      </c>
      <c r="EH167" s="114" cm="1">
        <f t="array" aca="1" ref="EH16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7" s="116" t="e" cm="1">
        <f t="array" aca="1" ref="EI16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8" spans="100:139" x14ac:dyDescent="0.45">
      <c r="CW168" s="1" cm="1">
        <f t="array" ref="CW168">ROUNDUP((ROW()-$CN$18+(Mes_inicial_de_análisis-1)*N_capas*N_secciones)/(N_capas*N_secciones),0)-12*IF(ROW()-$CN$18&gt;(12-Mes_inicial_de_análisis+1)*N_capas*N_secciones,1,0)</f>
        <v>5</v>
      </c>
      <c r="CX168" cm="1">
        <f t="array" ref="CX168">ROUNDUP((ROW()-$CN$18)/N_capas-(ROUNDUP((ROW()-$CN$18)/(N_capas*N_secciones),0)-1)*N_secciones,0)</f>
        <v>2</v>
      </c>
      <c r="CY168" cm="1">
        <f t="array" ref="CY168">(ROW()-$CN$18)-(COND_INTERSTICIAL[[#This Row],[Sección]]-1)*N_capas-(ROUNDUP((ROW()-$CN$18)/(N_capas*N_secciones),0)-1)*N_capas*N_secciones</f>
        <v>2</v>
      </c>
      <c r="CZ168" t="str">
        <f>COND_INTERSTICIAL[[#This Row],[Mes]]&amp;"-"&amp;COND_INTERSTICIAL[[#This Row],[Sección]]&amp;"-"&amp;COND_INTERSTICIAL[[#This Row],[Capa]]</f>
        <v>5-2-2</v>
      </c>
      <c r="DA168">
        <f ca="1">INDEX(SECCIONES_CAPAS[R''n],MATCH(COND_INTERSTICIAL[[#This Row],[Sección]]&amp;"-"&amp;COND_INTERSTICIAL[[#This Row],[Capa]],SECCIONES_CAPAS[llave],0))</f>
        <v>0.04</v>
      </c>
      <c r="DB168" s="172" t="e" cm="1">
        <f t="array" aca="1" ref="DB168" ca="1">INDEX(CLIMA[ϴe],COND_INTERSTICIAL[[#This Row],[Mes]])+COND_INTERSTICIAL[[#This Row],[Rn]]*(INDEX(CLIMA[ϴi],COND_INTERSTICIAL[[#This Row],[Mes]])-INDEX(CLIMA[ϴe],COND_INTERSTICIAL[[#This Row],[Mes]]))/(INDEX(SECCIONES[Rtsección_condensación],COND_INTERSTICIAL[[#This Row],[Sección]]))</f>
        <v>#N/A</v>
      </c>
      <c r="DC168">
        <f>INDEX(SECCIONES_CAPAS[Sd],MATCH(COND_INTERSTICIAL[[#This Row],[Sección]]&amp;"-"&amp;COND_INTERSTICIAL[[#This Row],[Capa]],SECCIONES_CAPAS[llave],0))</f>
        <v>0</v>
      </c>
      <c r="DD168">
        <f ca="1">INDEX(SECCIONES_CAPAS[S''d],MATCH(COND_INTERSTICIAL[[#This Row],[Sección]]&amp;"-"&amp;COND_INTERSTICIAL[[#This Row],[Capa]],SECCIONES_CAPAS[llave],0))</f>
        <v>0</v>
      </c>
      <c r="DE168" s="90" t="e">
        <f ca="1">IF(COND_INTERSTICIAL[[#This Row],[ϴn]]&gt;=0,610.5*EXP((17.269*COND_INTERSTICIAL[[#This Row],[ϴn]])/(237.3+COND_INTERSTICIAL[[#This Row],[ϴn]])),610.5*EXP((21.875*COND_INTERSTICIAL[[#This Row],[ϴn]])/(265.5+COND_INTERSTICIAL[[#This Row],[ϴn]])))</f>
        <v>#N/A</v>
      </c>
      <c r="DF168" s="90" t="e" cm="1">
        <f t="array" aca="1" ref="DF168" ca="1">COND_INTERSTICIAL[[#This Row],[S''d]]*((INDEX(CLIMA[Pi],COND_INTERSTICIAL[[#This Row],[Mes]])-INDEX(CLIMA[Pe],COND_INTERSTICIAL[[#This Row],[Mes]]))/INDEX(SECCIONES[SdT],COND_INTERSTICIAL[[#This Row],[Sección]]))+INDEX(CLIMA[Pe],COND_INTERSTICIAL[[#This Row],[Mes]])</f>
        <v>#N/A</v>
      </c>
      <c r="DG168" s="108" t="e">
        <f ca="1">IF((COND_INTERSTICIAL[[#This Row],[Pn]]&gt;=COND_INTERSTICIAL[[#This Row],[Psat]]),TRUE,FALSE)</f>
        <v>#N/A</v>
      </c>
      <c r="DH168" s="109" t="e" cm="1">
        <f t="array" aca="1" ref="DH168" ca="1">IF(COND_INTERSTICIAL[[#This Row],[Condensa]],COND_INTERSTICIAL[[#This Row],[Psat]],IF(COND_INTERSTICIAL[[#This Row],[Capa]]=N_capas,COND_INTERSTICIAL[[#This Row],[Pn]],""))</f>
        <v>#N/A</v>
      </c>
      <c r="DI168" s="109" t="e">
        <f ca="1">COND_INTERSTICIAL[[#This Row],[Mes]]&amp;"-"&amp;COND_INTERSTICIAL[[#This Row],[Sección]]&amp;"-"&amp;COND_INTERSTICIAL[[#This Row],[tramo cond]]</f>
        <v>#N/A</v>
      </c>
      <c r="DJ168" t="e" cm="1">
        <f t="array" aca="1" ref="DJ168" ca="1">IF(COND_INTERSTICIAL[[#This Row],[Capa]]=1,IF(COND_INTERSTICIAL[[#This Row],[Condensa]],2,1),IF(COND_INTERSTICIAL[[#This Row],[Condensa]],1,0)+INDIRECT(ADDRESS(ROW()-1,COLUMN(),4)))</f>
        <v>#N/A</v>
      </c>
      <c r="DK168" s="108" t="e" cm="1">
        <f t="array" aca="1" ref="DK168" ca="1">IF(COND_INTERSTICIAL[[#This Row],[tramo cond]]=1,0,IF((COND_INTERSTICIAL[[#This Row],[tramo cond]]&gt;INDIRECT(ADDRESS(ROW()-1,COLUMN(COND_INTERSTICIAL[[#This Row],[tramo cond]]),4)))+COND_INTERSTICIAL[[#This Row],[Condensa]],COND_INTERSTICIAL[[#This Row],[Capa]],INDIRECT(ADDRESS(ROW()-1,COLUMN(),4))))</f>
        <v>#N/A</v>
      </c>
      <c r="DL168" s="108" t="e" cm="1">
        <f t="array" aca="1" ref="DL168" ca="1">IF((COND_INTERSTICIAL[[#This Row],[Capa]]=N_capas)+(COND_INTERSTICIAL[[#This Row],[tramo cond]]=COUNTIFS(COND_INTERSTICIAL[Condensa],TRUE,COND_INTERSTICIAL[Mes],CW168,COND_INTERSTICIAL[Sección],CX168)+1),N_capas,INDEX(COND_INTERSTICIAL[capa lím inf cond],MATCH(COND_INTERSTICIAL[[#This Row],[Mes]]&amp;"-"&amp;COND_INTERSTICIAL[[#This Row],[Sección]]&amp;"-"&amp;(COND_INTERSTICIAL[[#This Row],[tramo cond]]+1),COND_INTERSTICIAL[llave tramo cond],0)))</f>
        <v>#N/A</v>
      </c>
      <c r="DM168" s="108" cm="1">
        <f t="array" aca="1" ref="DM16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8" s="110" t="e" cm="1">
        <f t="array" aca="1" ref="DN16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8" s="107" t="e">
        <f ca="1">COND_INTERSTICIAL[[#This Row],[gc]]+COND_INTERSTICIAL[[#This Row],[Ma_anterior cond]]</f>
        <v>#N/A</v>
      </c>
      <c r="DQ168" s="113" t="e">
        <f ca="1">IF((COND_INTERSTICIAL[[#This Row],[Ma_anterior cond]]&gt;0)*NOT(COND_INTERSTICIAL[[#This Row],[Condensa]]),TRUE,FALSE)</f>
        <v>#N/A</v>
      </c>
      <c r="DR168" s="112" t="e" cm="1">
        <f t="array" aca="1" ref="DR168" ca="1">IF(COND_INTERSTICIAL[[#This Row],[evapora]],COND_INTERSTICIAL[[#This Row],[Psat]],IF(COND_INTERSTICIAL[[#This Row],[Capa]]=N_capas,COND_INTERSTICIAL[[#This Row],[Pn]],""))</f>
        <v>#N/A</v>
      </c>
      <c r="DS168" s="112" t="e">
        <f ca="1">COND_INTERSTICIAL[[#This Row],[Mes]]&amp;"-"&amp;COND_INTERSTICIAL[[#This Row],[Sección]]&amp;"-"&amp;COND_INTERSTICIAL[[#This Row],[tramo ev]]</f>
        <v>#N/A</v>
      </c>
      <c r="DT168" s="111" t="e" cm="1">
        <f t="array" aca="1" ref="DT168" ca="1">IF(COND_INTERSTICIAL[[#This Row],[Capa]]=1,IF(COND_INTERSTICIAL[[#This Row],[evapora]],2,1),IF(COND_INTERSTICIAL[[#This Row],[evapora]],1,0)+INDIRECT(ADDRESS(ROW()-1,COLUMN(),4)))</f>
        <v>#N/A</v>
      </c>
      <c r="DU168" s="111" t="e" cm="1">
        <f t="array" aca="1" ref="DU168" ca="1">IF(COND_INTERSTICIAL[[#This Row],[tramo ev]]=1,0,IF((COND_INTERSTICIAL[[#This Row],[tramo ev]]&gt;INDIRECT(ADDRESS(ROW()-1,COLUMN(COND_INTERSTICIAL[[#This Row],[tramo ev]]),4)))+COND_INTERSTICIAL[[#This Row],[evapora]],COND_INTERSTICIAL[[#This Row],[Capa]],INDIRECT(ADDRESS(ROW()-1,COLUMN(),4))))</f>
        <v>#N/A</v>
      </c>
      <c r="DV168" s="111" t="e" cm="1">
        <f t="array" aca="1" ref="DV168" ca="1">IF((COND_INTERSTICIAL[[#This Row],[Capa]]=N_capas)+(COND_INTERSTICIAL[[#This Row],[tramo ev]]=COUNTIFS(COND_INTERSTICIAL[evapora],TRUE,COND_INTERSTICIAL[Mes],CW168,COND_INTERSTICIAL[Sección],CX168)+1),N_capas,INDEX(COND_INTERSTICIAL[capa lím inf ev],MATCH(COND_INTERSTICIAL[[#This Row],[Mes]]&amp;"-"&amp;COND_INTERSTICIAL[[#This Row],[Sección]]&amp;"-"&amp;(COND_INTERSTICIAL[[#This Row],[tramo ev]]+1),COND_INTERSTICIAL[llave tramo ev],0)))</f>
        <v>#N/A</v>
      </c>
      <c r="DW168" s="111" cm="1">
        <f t="array" aca="1" ref="DW16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8" s="113" t="e" cm="1">
        <f t="array" aca="1" ref="DX16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8" s="113" t="e">
        <f ca="1">COND_INTERSTICIAL[[#This Row],[gev]]+COND_INTERSTICIAL[[#This Row],[Ma anterior ev]]</f>
        <v>#N/A</v>
      </c>
      <c r="EA168" s="115" t="e">
        <f ca="1">IF(COND_INTERSTICIAL[[#This Row],[Ma cond]]+COND_INTERSTICIAL[[#This Row],[Ma ev]]&lt;=0,0,COND_INTERSTICIAL[[#This Row],[Ma cond]]+COND_INTERSTICIAL[[#This Row],[Ma ev]])</f>
        <v>#N/A</v>
      </c>
      <c r="EB168" s="115" t="e">
        <f ca="1">IF(COND_INTERSTICIAL[[#This Row],[Ma]]&gt;0,TRUE,FALSE)</f>
        <v>#N/A</v>
      </c>
      <c r="EC168" s="115" t="e" cm="1">
        <f t="array" aca="1" ref="EC168" ca="1">IF(COND_INTERSTICIAL[[#This Row],[agua líquida]],IF(COND_INTERSTICIAL[[#This Row],[Condensa]],COND_INTERSTICIAL[[#This Row],[P límite cond]],COND_INTERSTICIAL[[#This Row],[P límite ev]]),IF(COND_INTERSTICIAL[[#This Row],[Capa]]=N_capas,COND_INTERSTICIAL[[#This Row],[Pn]],""))</f>
        <v>#N/A</v>
      </c>
      <c r="ED168" s="115" t="e">
        <f ca="1">COND_INTERSTICIAL[[#This Row],[Mes]]&amp;"-"&amp;COND_INTERSTICIAL[[#This Row],[Sección]]&amp;"-"&amp;COND_INTERSTICIAL[[#This Row],[tramo gráf]]</f>
        <v>#N/A</v>
      </c>
      <c r="EE168" s="114" t="e" cm="1">
        <f t="array" aca="1" ref="EE168" ca="1">IF(COND_INTERSTICIAL[[#This Row],[Capa]]=1,IF(COND_INTERSTICIAL[[#This Row],[agua líquida]],2,1),IF(COND_INTERSTICIAL[[#This Row],[agua líquida]],1,0)+INDIRECT(ADDRESS(ROW()-1,COLUMN(),4)))</f>
        <v>#N/A</v>
      </c>
      <c r="EF168" s="114" t="e" cm="1">
        <f t="array" aca="1" ref="EF168" ca="1">IF(COND_INTERSTICIAL[[#This Row],[tramo gráf]]=1,0,IF((COND_INTERSTICIAL[[#This Row],[tramo gráf]]&gt;INDIRECT(ADDRESS(ROW()-1,COLUMN(COND_INTERSTICIAL[[#This Row],[tramo gráf]]),4)))+COND_INTERSTICIAL[[#This Row],[agua líquida]],COND_INTERSTICIAL[[#This Row],[Capa]],INDIRECT(ADDRESS(ROW()-1,COLUMN(),4))))</f>
        <v>#N/A</v>
      </c>
      <c r="EG168" s="114" t="e" cm="1">
        <f t="array" aca="1" ref="EG168" ca="1">IF((COND_INTERSTICIAL[[#This Row],[Capa]]=N_capas)+(COND_INTERSTICIAL[[#This Row],[tramo gráf]]=COUNTIFS(COND_INTERSTICIAL[agua líquida],TRUE,COND_INTERSTICIAL[Mes],CW168,COND_INTERSTICIAL[Sección],CX168)+1),N_capas,INDEX(COND_INTERSTICIAL[capa lím inf gráf],MATCH(COND_INTERSTICIAL[[#This Row],[Mes]]&amp;"-"&amp;COND_INTERSTICIAL[[#This Row],[Sección]]&amp;"-"&amp;(COND_INTERSTICIAL[[#This Row],[tramo gráf]]+1),COND_INTERSTICIAL[llave tramo gráf],0)))</f>
        <v>#N/A</v>
      </c>
      <c r="EH168" s="114" cm="1">
        <f t="array" aca="1" ref="EH16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8" s="116" t="e" cm="1">
        <f t="array" aca="1" ref="EI16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9" spans="100:139" x14ac:dyDescent="0.45">
      <c r="CW169" s="1" cm="1">
        <f t="array" ref="CW169">ROUNDUP((ROW()-$CN$18+(Mes_inicial_de_análisis-1)*N_capas*N_secciones)/(N_capas*N_secciones),0)-12*IF(ROW()-$CN$18&gt;(12-Mes_inicial_de_análisis+1)*N_capas*N_secciones,1,0)</f>
        <v>5</v>
      </c>
      <c r="CX169" cm="1">
        <f t="array" ref="CX169">ROUNDUP((ROW()-$CN$18)/N_capas-(ROUNDUP((ROW()-$CN$18)/(N_capas*N_secciones),0)-1)*N_secciones,0)</f>
        <v>2</v>
      </c>
      <c r="CY169" cm="1">
        <f t="array" ref="CY169">(ROW()-$CN$18)-(COND_INTERSTICIAL[[#This Row],[Sección]]-1)*N_capas-(ROUNDUP((ROW()-$CN$18)/(N_capas*N_secciones),0)-1)*N_capas*N_secciones</f>
        <v>3</v>
      </c>
      <c r="CZ169" t="str">
        <f>COND_INTERSTICIAL[[#This Row],[Mes]]&amp;"-"&amp;COND_INTERSTICIAL[[#This Row],[Sección]]&amp;"-"&amp;COND_INTERSTICIAL[[#This Row],[Capa]]</f>
        <v>5-2-3</v>
      </c>
      <c r="DA169">
        <f ca="1">INDEX(SECCIONES_CAPAS[R''n],MATCH(COND_INTERSTICIAL[[#This Row],[Sección]]&amp;"-"&amp;COND_INTERSTICIAL[[#This Row],[Capa]],SECCIONES_CAPAS[llave],0))</f>
        <v>0.04</v>
      </c>
      <c r="DB169" s="172" t="e" cm="1">
        <f t="array" aca="1" ref="DB169" ca="1">INDEX(CLIMA[ϴe],COND_INTERSTICIAL[[#This Row],[Mes]])+COND_INTERSTICIAL[[#This Row],[Rn]]*(INDEX(CLIMA[ϴi],COND_INTERSTICIAL[[#This Row],[Mes]])-INDEX(CLIMA[ϴe],COND_INTERSTICIAL[[#This Row],[Mes]]))/(INDEX(SECCIONES[Rtsección_condensación],COND_INTERSTICIAL[[#This Row],[Sección]]))</f>
        <v>#N/A</v>
      </c>
      <c r="DC169">
        <f>INDEX(SECCIONES_CAPAS[Sd],MATCH(COND_INTERSTICIAL[[#This Row],[Sección]]&amp;"-"&amp;COND_INTERSTICIAL[[#This Row],[Capa]],SECCIONES_CAPAS[llave],0))</f>
        <v>0</v>
      </c>
      <c r="DD169">
        <f ca="1">INDEX(SECCIONES_CAPAS[S''d],MATCH(COND_INTERSTICIAL[[#This Row],[Sección]]&amp;"-"&amp;COND_INTERSTICIAL[[#This Row],[Capa]],SECCIONES_CAPAS[llave],0))</f>
        <v>0</v>
      </c>
      <c r="DE169" s="90" t="e">
        <f ca="1">IF(COND_INTERSTICIAL[[#This Row],[ϴn]]&gt;=0,610.5*EXP((17.269*COND_INTERSTICIAL[[#This Row],[ϴn]])/(237.3+COND_INTERSTICIAL[[#This Row],[ϴn]])),610.5*EXP((21.875*COND_INTERSTICIAL[[#This Row],[ϴn]])/(265.5+COND_INTERSTICIAL[[#This Row],[ϴn]])))</f>
        <v>#N/A</v>
      </c>
      <c r="DF169" s="90" t="e" cm="1">
        <f t="array" aca="1" ref="DF169" ca="1">COND_INTERSTICIAL[[#This Row],[S''d]]*((INDEX(CLIMA[Pi],COND_INTERSTICIAL[[#This Row],[Mes]])-INDEX(CLIMA[Pe],COND_INTERSTICIAL[[#This Row],[Mes]]))/INDEX(SECCIONES[SdT],COND_INTERSTICIAL[[#This Row],[Sección]]))+INDEX(CLIMA[Pe],COND_INTERSTICIAL[[#This Row],[Mes]])</f>
        <v>#N/A</v>
      </c>
      <c r="DG169" s="108" t="e">
        <f ca="1">IF((COND_INTERSTICIAL[[#This Row],[Pn]]&gt;=COND_INTERSTICIAL[[#This Row],[Psat]]),TRUE,FALSE)</f>
        <v>#N/A</v>
      </c>
      <c r="DH169" s="109" t="e" cm="1">
        <f t="array" aca="1" ref="DH169" ca="1">IF(COND_INTERSTICIAL[[#This Row],[Condensa]],COND_INTERSTICIAL[[#This Row],[Psat]],IF(COND_INTERSTICIAL[[#This Row],[Capa]]=N_capas,COND_INTERSTICIAL[[#This Row],[Pn]],""))</f>
        <v>#N/A</v>
      </c>
      <c r="DI169" s="109" t="e">
        <f ca="1">COND_INTERSTICIAL[[#This Row],[Mes]]&amp;"-"&amp;COND_INTERSTICIAL[[#This Row],[Sección]]&amp;"-"&amp;COND_INTERSTICIAL[[#This Row],[tramo cond]]</f>
        <v>#N/A</v>
      </c>
      <c r="DJ169" t="e" cm="1">
        <f t="array" aca="1" ref="DJ169" ca="1">IF(COND_INTERSTICIAL[[#This Row],[Capa]]=1,IF(COND_INTERSTICIAL[[#This Row],[Condensa]],2,1),IF(COND_INTERSTICIAL[[#This Row],[Condensa]],1,0)+INDIRECT(ADDRESS(ROW()-1,COLUMN(),4)))</f>
        <v>#N/A</v>
      </c>
      <c r="DK169" s="108" t="e" cm="1">
        <f t="array" aca="1" ref="DK169" ca="1">IF(COND_INTERSTICIAL[[#This Row],[tramo cond]]=1,0,IF((COND_INTERSTICIAL[[#This Row],[tramo cond]]&gt;INDIRECT(ADDRESS(ROW()-1,COLUMN(COND_INTERSTICIAL[[#This Row],[tramo cond]]),4)))+COND_INTERSTICIAL[[#This Row],[Condensa]],COND_INTERSTICIAL[[#This Row],[Capa]],INDIRECT(ADDRESS(ROW()-1,COLUMN(),4))))</f>
        <v>#N/A</v>
      </c>
      <c r="DL169" s="108" t="e" cm="1">
        <f t="array" aca="1" ref="DL169" ca="1">IF((COND_INTERSTICIAL[[#This Row],[Capa]]=N_capas)+(COND_INTERSTICIAL[[#This Row],[tramo cond]]=COUNTIFS(COND_INTERSTICIAL[Condensa],TRUE,COND_INTERSTICIAL[Mes],CW169,COND_INTERSTICIAL[Sección],CX169)+1),N_capas,INDEX(COND_INTERSTICIAL[capa lím inf cond],MATCH(COND_INTERSTICIAL[[#This Row],[Mes]]&amp;"-"&amp;COND_INTERSTICIAL[[#This Row],[Sección]]&amp;"-"&amp;(COND_INTERSTICIAL[[#This Row],[tramo cond]]+1),COND_INTERSTICIAL[llave tramo cond],0)))</f>
        <v>#N/A</v>
      </c>
      <c r="DM169" s="108" cm="1">
        <f t="array" aca="1" ref="DM16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9" s="110" t="e" cm="1">
        <f t="array" aca="1" ref="DN16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9" s="107" t="e">
        <f ca="1">COND_INTERSTICIAL[[#This Row],[gc]]+COND_INTERSTICIAL[[#This Row],[Ma_anterior cond]]</f>
        <v>#N/A</v>
      </c>
      <c r="DQ169" s="113" t="e">
        <f ca="1">IF((COND_INTERSTICIAL[[#This Row],[Ma_anterior cond]]&gt;0)*NOT(COND_INTERSTICIAL[[#This Row],[Condensa]]),TRUE,FALSE)</f>
        <v>#N/A</v>
      </c>
      <c r="DR169" s="112" t="e" cm="1">
        <f t="array" aca="1" ref="DR169" ca="1">IF(COND_INTERSTICIAL[[#This Row],[evapora]],COND_INTERSTICIAL[[#This Row],[Psat]],IF(COND_INTERSTICIAL[[#This Row],[Capa]]=N_capas,COND_INTERSTICIAL[[#This Row],[Pn]],""))</f>
        <v>#N/A</v>
      </c>
      <c r="DS169" s="112" t="e">
        <f ca="1">COND_INTERSTICIAL[[#This Row],[Mes]]&amp;"-"&amp;COND_INTERSTICIAL[[#This Row],[Sección]]&amp;"-"&amp;COND_INTERSTICIAL[[#This Row],[tramo ev]]</f>
        <v>#N/A</v>
      </c>
      <c r="DT169" s="111" t="e" cm="1">
        <f t="array" aca="1" ref="DT169" ca="1">IF(COND_INTERSTICIAL[[#This Row],[Capa]]=1,IF(COND_INTERSTICIAL[[#This Row],[evapora]],2,1),IF(COND_INTERSTICIAL[[#This Row],[evapora]],1,0)+INDIRECT(ADDRESS(ROW()-1,COLUMN(),4)))</f>
        <v>#N/A</v>
      </c>
      <c r="DU169" s="111" t="e" cm="1">
        <f t="array" aca="1" ref="DU169" ca="1">IF(COND_INTERSTICIAL[[#This Row],[tramo ev]]=1,0,IF((COND_INTERSTICIAL[[#This Row],[tramo ev]]&gt;INDIRECT(ADDRESS(ROW()-1,COLUMN(COND_INTERSTICIAL[[#This Row],[tramo ev]]),4)))+COND_INTERSTICIAL[[#This Row],[evapora]],COND_INTERSTICIAL[[#This Row],[Capa]],INDIRECT(ADDRESS(ROW()-1,COLUMN(),4))))</f>
        <v>#N/A</v>
      </c>
      <c r="DV169" s="111" t="e" cm="1">
        <f t="array" aca="1" ref="DV169" ca="1">IF((COND_INTERSTICIAL[[#This Row],[Capa]]=N_capas)+(COND_INTERSTICIAL[[#This Row],[tramo ev]]=COUNTIFS(COND_INTERSTICIAL[evapora],TRUE,COND_INTERSTICIAL[Mes],CW169,COND_INTERSTICIAL[Sección],CX169)+1),N_capas,INDEX(COND_INTERSTICIAL[capa lím inf ev],MATCH(COND_INTERSTICIAL[[#This Row],[Mes]]&amp;"-"&amp;COND_INTERSTICIAL[[#This Row],[Sección]]&amp;"-"&amp;(COND_INTERSTICIAL[[#This Row],[tramo ev]]+1),COND_INTERSTICIAL[llave tramo ev],0)))</f>
        <v>#N/A</v>
      </c>
      <c r="DW169" s="111" cm="1">
        <f t="array" aca="1" ref="DW16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9" s="113" t="e" cm="1">
        <f t="array" aca="1" ref="DX16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9" s="113" t="e">
        <f ca="1">COND_INTERSTICIAL[[#This Row],[gev]]+COND_INTERSTICIAL[[#This Row],[Ma anterior ev]]</f>
        <v>#N/A</v>
      </c>
      <c r="EA169" s="115" t="e">
        <f ca="1">IF(COND_INTERSTICIAL[[#This Row],[Ma cond]]+COND_INTERSTICIAL[[#This Row],[Ma ev]]&lt;=0,0,COND_INTERSTICIAL[[#This Row],[Ma cond]]+COND_INTERSTICIAL[[#This Row],[Ma ev]])</f>
        <v>#N/A</v>
      </c>
      <c r="EB169" s="115" t="e">
        <f ca="1">IF(COND_INTERSTICIAL[[#This Row],[Ma]]&gt;0,TRUE,FALSE)</f>
        <v>#N/A</v>
      </c>
      <c r="EC169" s="115" t="e" cm="1">
        <f t="array" aca="1" ref="EC169" ca="1">IF(COND_INTERSTICIAL[[#This Row],[agua líquida]],IF(COND_INTERSTICIAL[[#This Row],[Condensa]],COND_INTERSTICIAL[[#This Row],[P límite cond]],COND_INTERSTICIAL[[#This Row],[P límite ev]]),IF(COND_INTERSTICIAL[[#This Row],[Capa]]=N_capas,COND_INTERSTICIAL[[#This Row],[Pn]],""))</f>
        <v>#N/A</v>
      </c>
      <c r="ED169" s="115" t="e">
        <f ca="1">COND_INTERSTICIAL[[#This Row],[Mes]]&amp;"-"&amp;COND_INTERSTICIAL[[#This Row],[Sección]]&amp;"-"&amp;COND_INTERSTICIAL[[#This Row],[tramo gráf]]</f>
        <v>#N/A</v>
      </c>
      <c r="EE169" s="114" t="e" cm="1">
        <f t="array" aca="1" ref="EE169" ca="1">IF(COND_INTERSTICIAL[[#This Row],[Capa]]=1,IF(COND_INTERSTICIAL[[#This Row],[agua líquida]],2,1),IF(COND_INTERSTICIAL[[#This Row],[agua líquida]],1,0)+INDIRECT(ADDRESS(ROW()-1,COLUMN(),4)))</f>
        <v>#N/A</v>
      </c>
      <c r="EF169" s="114" t="e" cm="1">
        <f t="array" aca="1" ref="EF169" ca="1">IF(COND_INTERSTICIAL[[#This Row],[tramo gráf]]=1,0,IF((COND_INTERSTICIAL[[#This Row],[tramo gráf]]&gt;INDIRECT(ADDRESS(ROW()-1,COLUMN(COND_INTERSTICIAL[[#This Row],[tramo gráf]]),4)))+COND_INTERSTICIAL[[#This Row],[agua líquida]],COND_INTERSTICIAL[[#This Row],[Capa]],INDIRECT(ADDRESS(ROW()-1,COLUMN(),4))))</f>
        <v>#N/A</v>
      </c>
      <c r="EG169" s="114" t="e" cm="1">
        <f t="array" aca="1" ref="EG169" ca="1">IF((COND_INTERSTICIAL[[#This Row],[Capa]]=N_capas)+(COND_INTERSTICIAL[[#This Row],[tramo gráf]]=COUNTIFS(COND_INTERSTICIAL[agua líquida],TRUE,COND_INTERSTICIAL[Mes],CW169,COND_INTERSTICIAL[Sección],CX169)+1),N_capas,INDEX(COND_INTERSTICIAL[capa lím inf gráf],MATCH(COND_INTERSTICIAL[[#This Row],[Mes]]&amp;"-"&amp;COND_INTERSTICIAL[[#This Row],[Sección]]&amp;"-"&amp;(COND_INTERSTICIAL[[#This Row],[tramo gráf]]+1),COND_INTERSTICIAL[llave tramo gráf],0)))</f>
        <v>#N/A</v>
      </c>
      <c r="EH169" s="114" cm="1">
        <f t="array" aca="1" ref="EH16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9" s="116" t="e" cm="1">
        <f t="array" aca="1" ref="EI16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0" spans="100:139" x14ac:dyDescent="0.45">
      <c r="CW170" s="1" cm="1">
        <f t="array" ref="CW170">ROUNDUP((ROW()-$CN$18+(Mes_inicial_de_análisis-1)*N_capas*N_secciones)/(N_capas*N_secciones),0)-12*IF(ROW()-$CN$18&gt;(12-Mes_inicial_de_análisis+1)*N_capas*N_secciones,1,0)</f>
        <v>5</v>
      </c>
      <c r="CX170" cm="1">
        <f t="array" ref="CX170">ROUNDUP((ROW()-$CN$18)/N_capas-(ROUNDUP((ROW()-$CN$18)/(N_capas*N_secciones),0)-1)*N_secciones,0)</f>
        <v>2</v>
      </c>
      <c r="CY170" cm="1">
        <f t="array" ref="CY170">(ROW()-$CN$18)-(COND_INTERSTICIAL[[#This Row],[Sección]]-1)*N_capas-(ROUNDUP((ROW()-$CN$18)/(N_capas*N_secciones),0)-1)*N_capas*N_secciones</f>
        <v>4</v>
      </c>
      <c r="CZ170" t="str">
        <f>COND_INTERSTICIAL[[#This Row],[Mes]]&amp;"-"&amp;COND_INTERSTICIAL[[#This Row],[Sección]]&amp;"-"&amp;COND_INTERSTICIAL[[#This Row],[Capa]]</f>
        <v>5-2-4</v>
      </c>
      <c r="DA170">
        <f ca="1">INDEX(SECCIONES_CAPAS[R''n],MATCH(COND_INTERSTICIAL[[#This Row],[Sección]]&amp;"-"&amp;COND_INTERSTICIAL[[#This Row],[Capa]],SECCIONES_CAPAS[llave],0))</f>
        <v>0.04</v>
      </c>
      <c r="DB170" s="172" t="e" cm="1">
        <f t="array" aca="1" ref="DB170" ca="1">INDEX(CLIMA[ϴe],COND_INTERSTICIAL[[#This Row],[Mes]])+COND_INTERSTICIAL[[#This Row],[Rn]]*(INDEX(CLIMA[ϴi],COND_INTERSTICIAL[[#This Row],[Mes]])-INDEX(CLIMA[ϴe],COND_INTERSTICIAL[[#This Row],[Mes]]))/(INDEX(SECCIONES[Rtsección_condensación],COND_INTERSTICIAL[[#This Row],[Sección]]))</f>
        <v>#N/A</v>
      </c>
      <c r="DC170">
        <f>INDEX(SECCIONES_CAPAS[Sd],MATCH(COND_INTERSTICIAL[[#This Row],[Sección]]&amp;"-"&amp;COND_INTERSTICIAL[[#This Row],[Capa]],SECCIONES_CAPAS[llave],0))</f>
        <v>0</v>
      </c>
      <c r="DD170">
        <f ca="1">INDEX(SECCIONES_CAPAS[S''d],MATCH(COND_INTERSTICIAL[[#This Row],[Sección]]&amp;"-"&amp;COND_INTERSTICIAL[[#This Row],[Capa]],SECCIONES_CAPAS[llave],0))</f>
        <v>0</v>
      </c>
      <c r="DE170" s="90" t="e">
        <f ca="1">IF(COND_INTERSTICIAL[[#This Row],[ϴn]]&gt;=0,610.5*EXP((17.269*COND_INTERSTICIAL[[#This Row],[ϴn]])/(237.3+COND_INTERSTICIAL[[#This Row],[ϴn]])),610.5*EXP((21.875*COND_INTERSTICIAL[[#This Row],[ϴn]])/(265.5+COND_INTERSTICIAL[[#This Row],[ϴn]])))</f>
        <v>#N/A</v>
      </c>
      <c r="DF170" s="90" t="e" cm="1">
        <f t="array" aca="1" ref="DF170" ca="1">COND_INTERSTICIAL[[#This Row],[S''d]]*((INDEX(CLIMA[Pi],COND_INTERSTICIAL[[#This Row],[Mes]])-INDEX(CLIMA[Pe],COND_INTERSTICIAL[[#This Row],[Mes]]))/INDEX(SECCIONES[SdT],COND_INTERSTICIAL[[#This Row],[Sección]]))+INDEX(CLIMA[Pe],COND_INTERSTICIAL[[#This Row],[Mes]])</f>
        <v>#N/A</v>
      </c>
      <c r="DG170" s="108" t="e">
        <f ca="1">IF((COND_INTERSTICIAL[[#This Row],[Pn]]&gt;=COND_INTERSTICIAL[[#This Row],[Psat]]),TRUE,FALSE)</f>
        <v>#N/A</v>
      </c>
      <c r="DH170" s="109" t="e" cm="1">
        <f t="array" aca="1" ref="DH170" ca="1">IF(COND_INTERSTICIAL[[#This Row],[Condensa]],COND_INTERSTICIAL[[#This Row],[Psat]],IF(COND_INTERSTICIAL[[#This Row],[Capa]]=N_capas,COND_INTERSTICIAL[[#This Row],[Pn]],""))</f>
        <v>#N/A</v>
      </c>
      <c r="DI170" s="109" t="e">
        <f ca="1">COND_INTERSTICIAL[[#This Row],[Mes]]&amp;"-"&amp;COND_INTERSTICIAL[[#This Row],[Sección]]&amp;"-"&amp;COND_INTERSTICIAL[[#This Row],[tramo cond]]</f>
        <v>#N/A</v>
      </c>
      <c r="DJ170" t="e" cm="1">
        <f t="array" aca="1" ref="DJ170" ca="1">IF(COND_INTERSTICIAL[[#This Row],[Capa]]=1,IF(COND_INTERSTICIAL[[#This Row],[Condensa]],2,1),IF(COND_INTERSTICIAL[[#This Row],[Condensa]],1,0)+INDIRECT(ADDRESS(ROW()-1,COLUMN(),4)))</f>
        <v>#N/A</v>
      </c>
      <c r="DK170" s="108" t="e" cm="1">
        <f t="array" aca="1" ref="DK170" ca="1">IF(COND_INTERSTICIAL[[#This Row],[tramo cond]]=1,0,IF((COND_INTERSTICIAL[[#This Row],[tramo cond]]&gt;INDIRECT(ADDRESS(ROW()-1,COLUMN(COND_INTERSTICIAL[[#This Row],[tramo cond]]),4)))+COND_INTERSTICIAL[[#This Row],[Condensa]],COND_INTERSTICIAL[[#This Row],[Capa]],INDIRECT(ADDRESS(ROW()-1,COLUMN(),4))))</f>
        <v>#N/A</v>
      </c>
      <c r="DL170" s="108" t="e" cm="1">
        <f t="array" aca="1" ref="DL170" ca="1">IF((COND_INTERSTICIAL[[#This Row],[Capa]]=N_capas)+(COND_INTERSTICIAL[[#This Row],[tramo cond]]=COUNTIFS(COND_INTERSTICIAL[Condensa],TRUE,COND_INTERSTICIAL[Mes],CW170,COND_INTERSTICIAL[Sección],CX170)+1),N_capas,INDEX(COND_INTERSTICIAL[capa lím inf cond],MATCH(COND_INTERSTICIAL[[#This Row],[Mes]]&amp;"-"&amp;COND_INTERSTICIAL[[#This Row],[Sección]]&amp;"-"&amp;(COND_INTERSTICIAL[[#This Row],[tramo cond]]+1),COND_INTERSTICIAL[llave tramo cond],0)))</f>
        <v>#N/A</v>
      </c>
      <c r="DM170" s="108" cm="1">
        <f t="array" aca="1" ref="DM17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0" s="110" t="e" cm="1">
        <f t="array" aca="1" ref="DN17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0" s="107" t="e">
        <f ca="1">COND_INTERSTICIAL[[#This Row],[gc]]+COND_INTERSTICIAL[[#This Row],[Ma_anterior cond]]</f>
        <v>#N/A</v>
      </c>
      <c r="DQ170" s="113" t="e">
        <f ca="1">IF((COND_INTERSTICIAL[[#This Row],[Ma_anterior cond]]&gt;0)*NOT(COND_INTERSTICIAL[[#This Row],[Condensa]]),TRUE,FALSE)</f>
        <v>#N/A</v>
      </c>
      <c r="DR170" s="112" t="e" cm="1">
        <f t="array" aca="1" ref="DR170" ca="1">IF(COND_INTERSTICIAL[[#This Row],[evapora]],COND_INTERSTICIAL[[#This Row],[Psat]],IF(COND_INTERSTICIAL[[#This Row],[Capa]]=N_capas,COND_INTERSTICIAL[[#This Row],[Pn]],""))</f>
        <v>#N/A</v>
      </c>
      <c r="DS170" s="112" t="e">
        <f ca="1">COND_INTERSTICIAL[[#This Row],[Mes]]&amp;"-"&amp;COND_INTERSTICIAL[[#This Row],[Sección]]&amp;"-"&amp;COND_INTERSTICIAL[[#This Row],[tramo ev]]</f>
        <v>#N/A</v>
      </c>
      <c r="DT170" s="111" t="e" cm="1">
        <f t="array" aca="1" ref="DT170" ca="1">IF(COND_INTERSTICIAL[[#This Row],[Capa]]=1,IF(COND_INTERSTICIAL[[#This Row],[evapora]],2,1),IF(COND_INTERSTICIAL[[#This Row],[evapora]],1,0)+INDIRECT(ADDRESS(ROW()-1,COLUMN(),4)))</f>
        <v>#N/A</v>
      </c>
      <c r="DU170" s="111" t="e" cm="1">
        <f t="array" aca="1" ref="DU170" ca="1">IF(COND_INTERSTICIAL[[#This Row],[tramo ev]]=1,0,IF((COND_INTERSTICIAL[[#This Row],[tramo ev]]&gt;INDIRECT(ADDRESS(ROW()-1,COLUMN(COND_INTERSTICIAL[[#This Row],[tramo ev]]),4)))+COND_INTERSTICIAL[[#This Row],[evapora]],COND_INTERSTICIAL[[#This Row],[Capa]],INDIRECT(ADDRESS(ROW()-1,COLUMN(),4))))</f>
        <v>#N/A</v>
      </c>
      <c r="DV170" s="111" t="e" cm="1">
        <f t="array" aca="1" ref="DV170" ca="1">IF((COND_INTERSTICIAL[[#This Row],[Capa]]=N_capas)+(COND_INTERSTICIAL[[#This Row],[tramo ev]]=COUNTIFS(COND_INTERSTICIAL[evapora],TRUE,COND_INTERSTICIAL[Mes],CW170,COND_INTERSTICIAL[Sección],CX170)+1),N_capas,INDEX(COND_INTERSTICIAL[capa lím inf ev],MATCH(COND_INTERSTICIAL[[#This Row],[Mes]]&amp;"-"&amp;COND_INTERSTICIAL[[#This Row],[Sección]]&amp;"-"&amp;(COND_INTERSTICIAL[[#This Row],[tramo ev]]+1),COND_INTERSTICIAL[llave tramo ev],0)))</f>
        <v>#N/A</v>
      </c>
      <c r="DW170" s="111" cm="1">
        <f t="array" aca="1" ref="DW17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0" s="113" t="e" cm="1">
        <f t="array" aca="1" ref="DX17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0" s="113" t="e">
        <f ca="1">COND_INTERSTICIAL[[#This Row],[gev]]+COND_INTERSTICIAL[[#This Row],[Ma anterior ev]]</f>
        <v>#N/A</v>
      </c>
      <c r="EA170" s="115" t="e">
        <f ca="1">IF(COND_INTERSTICIAL[[#This Row],[Ma cond]]+COND_INTERSTICIAL[[#This Row],[Ma ev]]&lt;=0,0,COND_INTERSTICIAL[[#This Row],[Ma cond]]+COND_INTERSTICIAL[[#This Row],[Ma ev]])</f>
        <v>#N/A</v>
      </c>
      <c r="EB170" s="115" t="e">
        <f ca="1">IF(COND_INTERSTICIAL[[#This Row],[Ma]]&gt;0,TRUE,FALSE)</f>
        <v>#N/A</v>
      </c>
      <c r="EC170" s="115" t="e" cm="1">
        <f t="array" aca="1" ref="EC170" ca="1">IF(COND_INTERSTICIAL[[#This Row],[agua líquida]],IF(COND_INTERSTICIAL[[#This Row],[Condensa]],COND_INTERSTICIAL[[#This Row],[P límite cond]],COND_INTERSTICIAL[[#This Row],[P límite ev]]),IF(COND_INTERSTICIAL[[#This Row],[Capa]]=N_capas,COND_INTERSTICIAL[[#This Row],[Pn]],""))</f>
        <v>#N/A</v>
      </c>
      <c r="ED170" s="115" t="e">
        <f ca="1">COND_INTERSTICIAL[[#This Row],[Mes]]&amp;"-"&amp;COND_INTERSTICIAL[[#This Row],[Sección]]&amp;"-"&amp;COND_INTERSTICIAL[[#This Row],[tramo gráf]]</f>
        <v>#N/A</v>
      </c>
      <c r="EE170" s="114" t="e" cm="1">
        <f t="array" aca="1" ref="EE170" ca="1">IF(COND_INTERSTICIAL[[#This Row],[Capa]]=1,IF(COND_INTERSTICIAL[[#This Row],[agua líquida]],2,1),IF(COND_INTERSTICIAL[[#This Row],[agua líquida]],1,0)+INDIRECT(ADDRESS(ROW()-1,COLUMN(),4)))</f>
        <v>#N/A</v>
      </c>
      <c r="EF170" s="114" t="e" cm="1">
        <f t="array" aca="1" ref="EF170" ca="1">IF(COND_INTERSTICIAL[[#This Row],[tramo gráf]]=1,0,IF((COND_INTERSTICIAL[[#This Row],[tramo gráf]]&gt;INDIRECT(ADDRESS(ROW()-1,COLUMN(COND_INTERSTICIAL[[#This Row],[tramo gráf]]),4)))+COND_INTERSTICIAL[[#This Row],[agua líquida]],COND_INTERSTICIAL[[#This Row],[Capa]],INDIRECT(ADDRESS(ROW()-1,COLUMN(),4))))</f>
        <v>#N/A</v>
      </c>
      <c r="EG170" s="114" t="e" cm="1">
        <f t="array" aca="1" ref="EG170" ca="1">IF((COND_INTERSTICIAL[[#This Row],[Capa]]=N_capas)+(COND_INTERSTICIAL[[#This Row],[tramo gráf]]=COUNTIFS(COND_INTERSTICIAL[agua líquida],TRUE,COND_INTERSTICIAL[Mes],CW170,COND_INTERSTICIAL[Sección],CX170)+1),N_capas,INDEX(COND_INTERSTICIAL[capa lím inf gráf],MATCH(COND_INTERSTICIAL[[#This Row],[Mes]]&amp;"-"&amp;COND_INTERSTICIAL[[#This Row],[Sección]]&amp;"-"&amp;(COND_INTERSTICIAL[[#This Row],[tramo gráf]]+1),COND_INTERSTICIAL[llave tramo gráf],0)))</f>
        <v>#N/A</v>
      </c>
      <c r="EH170" s="114" cm="1">
        <f t="array" aca="1" ref="EH17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0" s="116" t="e" cm="1">
        <f t="array" aca="1" ref="EI17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1" spans="100:139" x14ac:dyDescent="0.45">
      <c r="CW171" s="1" cm="1">
        <f t="array" ref="CW171">ROUNDUP((ROW()-$CN$18+(Mes_inicial_de_análisis-1)*N_capas*N_secciones)/(N_capas*N_secciones),0)-12*IF(ROW()-$CN$18&gt;(12-Mes_inicial_de_análisis+1)*N_capas*N_secciones,1,0)</f>
        <v>5</v>
      </c>
      <c r="CX171" cm="1">
        <f t="array" ref="CX171">ROUNDUP((ROW()-$CN$18)/N_capas-(ROUNDUP((ROW()-$CN$18)/(N_capas*N_secciones),0)-1)*N_secciones,0)</f>
        <v>2</v>
      </c>
      <c r="CY171" cm="1">
        <f t="array" ref="CY171">(ROW()-$CN$18)-(COND_INTERSTICIAL[[#This Row],[Sección]]-1)*N_capas-(ROUNDUP((ROW()-$CN$18)/(N_capas*N_secciones),0)-1)*N_capas*N_secciones</f>
        <v>5</v>
      </c>
      <c r="CZ171" t="str">
        <f>COND_INTERSTICIAL[[#This Row],[Mes]]&amp;"-"&amp;COND_INTERSTICIAL[[#This Row],[Sección]]&amp;"-"&amp;COND_INTERSTICIAL[[#This Row],[Capa]]</f>
        <v>5-2-5</v>
      </c>
      <c r="DA171">
        <f ca="1">INDEX(SECCIONES_CAPAS[R''n],MATCH(COND_INTERSTICIAL[[#This Row],[Sección]]&amp;"-"&amp;COND_INTERSTICIAL[[#This Row],[Capa]],SECCIONES_CAPAS[llave],0))</f>
        <v>0.04</v>
      </c>
      <c r="DB171" s="172" t="e" cm="1">
        <f t="array" aca="1" ref="DB171" ca="1">INDEX(CLIMA[ϴe],COND_INTERSTICIAL[[#This Row],[Mes]])+COND_INTERSTICIAL[[#This Row],[Rn]]*(INDEX(CLIMA[ϴi],COND_INTERSTICIAL[[#This Row],[Mes]])-INDEX(CLIMA[ϴe],COND_INTERSTICIAL[[#This Row],[Mes]]))/(INDEX(SECCIONES[Rtsección_condensación],COND_INTERSTICIAL[[#This Row],[Sección]]))</f>
        <v>#N/A</v>
      </c>
      <c r="DC171">
        <f>INDEX(SECCIONES_CAPAS[Sd],MATCH(COND_INTERSTICIAL[[#This Row],[Sección]]&amp;"-"&amp;COND_INTERSTICIAL[[#This Row],[Capa]],SECCIONES_CAPAS[llave],0))</f>
        <v>0</v>
      </c>
      <c r="DD171">
        <f ca="1">INDEX(SECCIONES_CAPAS[S''d],MATCH(COND_INTERSTICIAL[[#This Row],[Sección]]&amp;"-"&amp;COND_INTERSTICIAL[[#This Row],[Capa]],SECCIONES_CAPAS[llave],0))</f>
        <v>0</v>
      </c>
      <c r="DE171" s="90" t="e">
        <f ca="1">IF(COND_INTERSTICIAL[[#This Row],[ϴn]]&gt;=0,610.5*EXP((17.269*COND_INTERSTICIAL[[#This Row],[ϴn]])/(237.3+COND_INTERSTICIAL[[#This Row],[ϴn]])),610.5*EXP((21.875*COND_INTERSTICIAL[[#This Row],[ϴn]])/(265.5+COND_INTERSTICIAL[[#This Row],[ϴn]])))</f>
        <v>#N/A</v>
      </c>
      <c r="DF171" s="90" t="e" cm="1">
        <f t="array" aca="1" ref="DF171" ca="1">COND_INTERSTICIAL[[#This Row],[S''d]]*((INDEX(CLIMA[Pi],COND_INTERSTICIAL[[#This Row],[Mes]])-INDEX(CLIMA[Pe],COND_INTERSTICIAL[[#This Row],[Mes]]))/INDEX(SECCIONES[SdT],COND_INTERSTICIAL[[#This Row],[Sección]]))+INDEX(CLIMA[Pe],COND_INTERSTICIAL[[#This Row],[Mes]])</f>
        <v>#N/A</v>
      </c>
      <c r="DG171" s="108" t="e">
        <f ca="1">IF((COND_INTERSTICIAL[[#This Row],[Pn]]&gt;=COND_INTERSTICIAL[[#This Row],[Psat]]),TRUE,FALSE)</f>
        <v>#N/A</v>
      </c>
      <c r="DH171" s="109" t="e" cm="1">
        <f t="array" aca="1" ref="DH171" ca="1">IF(COND_INTERSTICIAL[[#This Row],[Condensa]],COND_INTERSTICIAL[[#This Row],[Psat]],IF(COND_INTERSTICIAL[[#This Row],[Capa]]=N_capas,COND_INTERSTICIAL[[#This Row],[Pn]],""))</f>
        <v>#N/A</v>
      </c>
      <c r="DI171" s="109" t="e">
        <f ca="1">COND_INTERSTICIAL[[#This Row],[Mes]]&amp;"-"&amp;COND_INTERSTICIAL[[#This Row],[Sección]]&amp;"-"&amp;COND_INTERSTICIAL[[#This Row],[tramo cond]]</f>
        <v>#N/A</v>
      </c>
      <c r="DJ171" t="e" cm="1">
        <f t="array" aca="1" ref="DJ171" ca="1">IF(COND_INTERSTICIAL[[#This Row],[Capa]]=1,IF(COND_INTERSTICIAL[[#This Row],[Condensa]],2,1),IF(COND_INTERSTICIAL[[#This Row],[Condensa]],1,0)+INDIRECT(ADDRESS(ROW()-1,COLUMN(),4)))</f>
        <v>#N/A</v>
      </c>
      <c r="DK171" s="108" t="e" cm="1">
        <f t="array" aca="1" ref="DK171" ca="1">IF(COND_INTERSTICIAL[[#This Row],[tramo cond]]=1,0,IF((COND_INTERSTICIAL[[#This Row],[tramo cond]]&gt;INDIRECT(ADDRESS(ROW()-1,COLUMN(COND_INTERSTICIAL[[#This Row],[tramo cond]]),4)))+COND_INTERSTICIAL[[#This Row],[Condensa]],COND_INTERSTICIAL[[#This Row],[Capa]],INDIRECT(ADDRESS(ROW()-1,COLUMN(),4))))</f>
        <v>#N/A</v>
      </c>
      <c r="DL171" s="108" t="e" cm="1">
        <f t="array" aca="1" ref="DL171" ca="1">IF((COND_INTERSTICIAL[[#This Row],[Capa]]=N_capas)+(COND_INTERSTICIAL[[#This Row],[tramo cond]]=COUNTIFS(COND_INTERSTICIAL[Condensa],TRUE,COND_INTERSTICIAL[Mes],CW171,COND_INTERSTICIAL[Sección],CX171)+1),N_capas,INDEX(COND_INTERSTICIAL[capa lím inf cond],MATCH(COND_INTERSTICIAL[[#This Row],[Mes]]&amp;"-"&amp;COND_INTERSTICIAL[[#This Row],[Sección]]&amp;"-"&amp;(COND_INTERSTICIAL[[#This Row],[tramo cond]]+1),COND_INTERSTICIAL[llave tramo cond],0)))</f>
        <v>#N/A</v>
      </c>
      <c r="DM171" s="108" cm="1">
        <f t="array" aca="1" ref="DM17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1" s="110" t="e" cm="1">
        <f t="array" aca="1" ref="DN17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1" s="107" t="e">
        <f ca="1">COND_INTERSTICIAL[[#This Row],[gc]]+COND_INTERSTICIAL[[#This Row],[Ma_anterior cond]]</f>
        <v>#N/A</v>
      </c>
      <c r="DQ171" s="113" t="e">
        <f ca="1">IF((COND_INTERSTICIAL[[#This Row],[Ma_anterior cond]]&gt;0)*NOT(COND_INTERSTICIAL[[#This Row],[Condensa]]),TRUE,FALSE)</f>
        <v>#N/A</v>
      </c>
      <c r="DR171" s="112" t="e" cm="1">
        <f t="array" aca="1" ref="DR171" ca="1">IF(COND_INTERSTICIAL[[#This Row],[evapora]],COND_INTERSTICIAL[[#This Row],[Psat]],IF(COND_INTERSTICIAL[[#This Row],[Capa]]=N_capas,COND_INTERSTICIAL[[#This Row],[Pn]],""))</f>
        <v>#N/A</v>
      </c>
      <c r="DS171" s="112" t="e">
        <f ca="1">COND_INTERSTICIAL[[#This Row],[Mes]]&amp;"-"&amp;COND_INTERSTICIAL[[#This Row],[Sección]]&amp;"-"&amp;COND_INTERSTICIAL[[#This Row],[tramo ev]]</f>
        <v>#N/A</v>
      </c>
      <c r="DT171" s="111" t="e" cm="1">
        <f t="array" aca="1" ref="DT171" ca="1">IF(COND_INTERSTICIAL[[#This Row],[Capa]]=1,IF(COND_INTERSTICIAL[[#This Row],[evapora]],2,1),IF(COND_INTERSTICIAL[[#This Row],[evapora]],1,0)+INDIRECT(ADDRESS(ROW()-1,COLUMN(),4)))</f>
        <v>#N/A</v>
      </c>
      <c r="DU171" s="111" t="e" cm="1">
        <f t="array" aca="1" ref="DU171" ca="1">IF(COND_INTERSTICIAL[[#This Row],[tramo ev]]=1,0,IF((COND_INTERSTICIAL[[#This Row],[tramo ev]]&gt;INDIRECT(ADDRESS(ROW()-1,COLUMN(COND_INTERSTICIAL[[#This Row],[tramo ev]]),4)))+COND_INTERSTICIAL[[#This Row],[evapora]],COND_INTERSTICIAL[[#This Row],[Capa]],INDIRECT(ADDRESS(ROW()-1,COLUMN(),4))))</f>
        <v>#N/A</v>
      </c>
      <c r="DV171" s="111" t="e" cm="1">
        <f t="array" aca="1" ref="DV171" ca="1">IF((COND_INTERSTICIAL[[#This Row],[Capa]]=N_capas)+(COND_INTERSTICIAL[[#This Row],[tramo ev]]=COUNTIFS(COND_INTERSTICIAL[evapora],TRUE,COND_INTERSTICIAL[Mes],CW171,COND_INTERSTICIAL[Sección],CX171)+1),N_capas,INDEX(COND_INTERSTICIAL[capa lím inf ev],MATCH(COND_INTERSTICIAL[[#This Row],[Mes]]&amp;"-"&amp;COND_INTERSTICIAL[[#This Row],[Sección]]&amp;"-"&amp;(COND_INTERSTICIAL[[#This Row],[tramo ev]]+1),COND_INTERSTICIAL[llave tramo ev],0)))</f>
        <v>#N/A</v>
      </c>
      <c r="DW171" s="111" cm="1">
        <f t="array" aca="1" ref="DW17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1" s="113" t="e" cm="1">
        <f t="array" aca="1" ref="DX17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1" s="113" t="e">
        <f ca="1">COND_INTERSTICIAL[[#This Row],[gev]]+COND_INTERSTICIAL[[#This Row],[Ma anterior ev]]</f>
        <v>#N/A</v>
      </c>
      <c r="EA171" s="115" t="e">
        <f ca="1">IF(COND_INTERSTICIAL[[#This Row],[Ma cond]]+COND_INTERSTICIAL[[#This Row],[Ma ev]]&lt;=0,0,COND_INTERSTICIAL[[#This Row],[Ma cond]]+COND_INTERSTICIAL[[#This Row],[Ma ev]])</f>
        <v>#N/A</v>
      </c>
      <c r="EB171" s="115" t="e">
        <f ca="1">IF(COND_INTERSTICIAL[[#This Row],[Ma]]&gt;0,TRUE,FALSE)</f>
        <v>#N/A</v>
      </c>
      <c r="EC171" s="115" t="e" cm="1">
        <f t="array" aca="1" ref="EC171" ca="1">IF(COND_INTERSTICIAL[[#This Row],[agua líquida]],IF(COND_INTERSTICIAL[[#This Row],[Condensa]],COND_INTERSTICIAL[[#This Row],[P límite cond]],COND_INTERSTICIAL[[#This Row],[P límite ev]]),IF(COND_INTERSTICIAL[[#This Row],[Capa]]=N_capas,COND_INTERSTICIAL[[#This Row],[Pn]],""))</f>
        <v>#N/A</v>
      </c>
      <c r="ED171" s="115" t="e">
        <f ca="1">COND_INTERSTICIAL[[#This Row],[Mes]]&amp;"-"&amp;COND_INTERSTICIAL[[#This Row],[Sección]]&amp;"-"&amp;COND_INTERSTICIAL[[#This Row],[tramo gráf]]</f>
        <v>#N/A</v>
      </c>
      <c r="EE171" s="114" t="e" cm="1">
        <f t="array" aca="1" ref="EE171" ca="1">IF(COND_INTERSTICIAL[[#This Row],[Capa]]=1,IF(COND_INTERSTICIAL[[#This Row],[agua líquida]],2,1),IF(COND_INTERSTICIAL[[#This Row],[agua líquida]],1,0)+INDIRECT(ADDRESS(ROW()-1,COLUMN(),4)))</f>
        <v>#N/A</v>
      </c>
      <c r="EF171" s="114" t="e" cm="1">
        <f t="array" aca="1" ref="EF171" ca="1">IF(COND_INTERSTICIAL[[#This Row],[tramo gráf]]=1,0,IF((COND_INTERSTICIAL[[#This Row],[tramo gráf]]&gt;INDIRECT(ADDRESS(ROW()-1,COLUMN(COND_INTERSTICIAL[[#This Row],[tramo gráf]]),4)))+COND_INTERSTICIAL[[#This Row],[agua líquida]],COND_INTERSTICIAL[[#This Row],[Capa]],INDIRECT(ADDRESS(ROW()-1,COLUMN(),4))))</f>
        <v>#N/A</v>
      </c>
      <c r="EG171" s="114" t="e" cm="1">
        <f t="array" aca="1" ref="EG171" ca="1">IF((COND_INTERSTICIAL[[#This Row],[Capa]]=N_capas)+(COND_INTERSTICIAL[[#This Row],[tramo gráf]]=COUNTIFS(COND_INTERSTICIAL[agua líquida],TRUE,COND_INTERSTICIAL[Mes],CW171,COND_INTERSTICIAL[Sección],CX171)+1),N_capas,INDEX(COND_INTERSTICIAL[capa lím inf gráf],MATCH(COND_INTERSTICIAL[[#This Row],[Mes]]&amp;"-"&amp;COND_INTERSTICIAL[[#This Row],[Sección]]&amp;"-"&amp;(COND_INTERSTICIAL[[#This Row],[tramo gráf]]+1),COND_INTERSTICIAL[llave tramo gráf],0)))</f>
        <v>#N/A</v>
      </c>
      <c r="EH171" s="114" cm="1">
        <f t="array" aca="1" ref="EH17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1" s="116" t="e" cm="1">
        <f t="array" aca="1" ref="EI17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2" spans="100:139" x14ac:dyDescent="0.45">
      <c r="CV172" s="90"/>
      <c r="CW172" s="1" cm="1">
        <f t="array" ref="CW172">ROUNDUP((ROW()-$CN$18+(Mes_inicial_de_análisis-1)*N_capas*N_secciones)/(N_capas*N_secciones),0)-12*IF(ROW()-$CN$18&gt;(12-Mes_inicial_de_análisis+1)*N_capas*N_secciones,1,0)</f>
        <v>5</v>
      </c>
      <c r="CX172" cm="1">
        <f t="array" ref="CX172">ROUNDUP((ROW()-$CN$18)/N_capas-(ROUNDUP((ROW()-$CN$18)/(N_capas*N_secciones),0)-1)*N_secciones,0)</f>
        <v>2</v>
      </c>
      <c r="CY172" cm="1">
        <f t="array" ref="CY172">(ROW()-$CN$18)-(COND_INTERSTICIAL[[#This Row],[Sección]]-1)*N_capas-(ROUNDUP((ROW()-$CN$18)/(N_capas*N_secciones),0)-1)*N_capas*N_secciones</f>
        <v>6</v>
      </c>
      <c r="CZ172" t="str">
        <f>COND_INTERSTICIAL[[#This Row],[Mes]]&amp;"-"&amp;COND_INTERSTICIAL[[#This Row],[Sección]]&amp;"-"&amp;COND_INTERSTICIAL[[#This Row],[Capa]]</f>
        <v>5-2-6</v>
      </c>
      <c r="DA172">
        <f ca="1">INDEX(SECCIONES_CAPAS[R''n],MATCH(COND_INTERSTICIAL[[#This Row],[Sección]]&amp;"-"&amp;COND_INTERSTICIAL[[#This Row],[Capa]],SECCIONES_CAPAS[llave],0))</f>
        <v>0.04</v>
      </c>
      <c r="DB172" s="172" t="e" cm="1">
        <f t="array" aca="1" ref="DB172" ca="1">INDEX(CLIMA[ϴe],COND_INTERSTICIAL[[#This Row],[Mes]])+COND_INTERSTICIAL[[#This Row],[Rn]]*(INDEX(CLIMA[ϴi],COND_INTERSTICIAL[[#This Row],[Mes]])-INDEX(CLIMA[ϴe],COND_INTERSTICIAL[[#This Row],[Mes]]))/(INDEX(SECCIONES[Rtsección_condensación],COND_INTERSTICIAL[[#This Row],[Sección]]))</f>
        <v>#N/A</v>
      </c>
      <c r="DC172">
        <f>INDEX(SECCIONES_CAPAS[Sd],MATCH(COND_INTERSTICIAL[[#This Row],[Sección]]&amp;"-"&amp;COND_INTERSTICIAL[[#This Row],[Capa]],SECCIONES_CAPAS[llave],0))</f>
        <v>0</v>
      </c>
      <c r="DD172">
        <f ca="1">INDEX(SECCIONES_CAPAS[S''d],MATCH(COND_INTERSTICIAL[[#This Row],[Sección]]&amp;"-"&amp;COND_INTERSTICIAL[[#This Row],[Capa]],SECCIONES_CAPAS[llave],0))</f>
        <v>0</v>
      </c>
      <c r="DE172" s="90" t="e">
        <f ca="1">IF(COND_INTERSTICIAL[[#This Row],[ϴn]]&gt;=0,610.5*EXP((17.269*COND_INTERSTICIAL[[#This Row],[ϴn]])/(237.3+COND_INTERSTICIAL[[#This Row],[ϴn]])),610.5*EXP((21.875*COND_INTERSTICIAL[[#This Row],[ϴn]])/(265.5+COND_INTERSTICIAL[[#This Row],[ϴn]])))</f>
        <v>#N/A</v>
      </c>
      <c r="DF172" s="90" t="e" cm="1">
        <f t="array" aca="1" ref="DF172" ca="1">COND_INTERSTICIAL[[#This Row],[S''d]]*((INDEX(CLIMA[Pi],COND_INTERSTICIAL[[#This Row],[Mes]])-INDEX(CLIMA[Pe],COND_INTERSTICIAL[[#This Row],[Mes]]))/INDEX(SECCIONES[SdT],COND_INTERSTICIAL[[#This Row],[Sección]]))+INDEX(CLIMA[Pe],COND_INTERSTICIAL[[#This Row],[Mes]])</f>
        <v>#N/A</v>
      </c>
      <c r="DG172" s="108" t="e">
        <f ca="1">IF((COND_INTERSTICIAL[[#This Row],[Pn]]&gt;=COND_INTERSTICIAL[[#This Row],[Psat]]),TRUE,FALSE)</f>
        <v>#N/A</v>
      </c>
      <c r="DH172" s="109" t="e" cm="1">
        <f t="array" aca="1" ref="DH172" ca="1">IF(COND_INTERSTICIAL[[#This Row],[Condensa]],COND_INTERSTICIAL[[#This Row],[Psat]],IF(COND_INTERSTICIAL[[#This Row],[Capa]]=N_capas,COND_INTERSTICIAL[[#This Row],[Pn]],""))</f>
        <v>#N/A</v>
      </c>
      <c r="DI172" s="109" t="e">
        <f ca="1">COND_INTERSTICIAL[[#This Row],[Mes]]&amp;"-"&amp;COND_INTERSTICIAL[[#This Row],[Sección]]&amp;"-"&amp;COND_INTERSTICIAL[[#This Row],[tramo cond]]</f>
        <v>#N/A</v>
      </c>
      <c r="DJ172" t="e" cm="1">
        <f t="array" aca="1" ref="DJ172" ca="1">IF(COND_INTERSTICIAL[[#This Row],[Capa]]=1,IF(COND_INTERSTICIAL[[#This Row],[Condensa]],2,1),IF(COND_INTERSTICIAL[[#This Row],[Condensa]],1,0)+INDIRECT(ADDRESS(ROW()-1,COLUMN(),4)))</f>
        <v>#N/A</v>
      </c>
      <c r="DK172" s="108" t="e" cm="1">
        <f t="array" aca="1" ref="DK172" ca="1">IF(COND_INTERSTICIAL[[#This Row],[tramo cond]]=1,0,IF((COND_INTERSTICIAL[[#This Row],[tramo cond]]&gt;INDIRECT(ADDRESS(ROW()-1,COLUMN(COND_INTERSTICIAL[[#This Row],[tramo cond]]),4)))+COND_INTERSTICIAL[[#This Row],[Condensa]],COND_INTERSTICIAL[[#This Row],[Capa]],INDIRECT(ADDRESS(ROW()-1,COLUMN(),4))))</f>
        <v>#N/A</v>
      </c>
      <c r="DL172" s="108" t="e" cm="1">
        <f t="array" aca="1" ref="DL172" ca="1">IF((COND_INTERSTICIAL[[#This Row],[Capa]]=N_capas)+(COND_INTERSTICIAL[[#This Row],[tramo cond]]=COUNTIFS(COND_INTERSTICIAL[Condensa],TRUE,COND_INTERSTICIAL[Mes],CW172,COND_INTERSTICIAL[Sección],CX172)+1),N_capas,INDEX(COND_INTERSTICIAL[capa lím inf cond],MATCH(COND_INTERSTICIAL[[#This Row],[Mes]]&amp;"-"&amp;COND_INTERSTICIAL[[#This Row],[Sección]]&amp;"-"&amp;(COND_INTERSTICIAL[[#This Row],[tramo cond]]+1),COND_INTERSTICIAL[llave tramo cond],0)))</f>
        <v>#N/A</v>
      </c>
      <c r="DM172" s="108" cm="1">
        <f t="array" aca="1" ref="DM17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2" s="110" t="e" cm="1">
        <f t="array" aca="1" ref="DN17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2" s="107" t="e">
        <f ca="1">COND_INTERSTICIAL[[#This Row],[gc]]+COND_INTERSTICIAL[[#This Row],[Ma_anterior cond]]</f>
        <v>#N/A</v>
      </c>
      <c r="DQ172" s="113" t="e">
        <f ca="1">IF((COND_INTERSTICIAL[[#This Row],[Ma_anterior cond]]&gt;0)*NOT(COND_INTERSTICIAL[[#This Row],[Condensa]]),TRUE,FALSE)</f>
        <v>#N/A</v>
      </c>
      <c r="DR172" s="112" t="e" cm="1">
        <f t="array" aca="1" ref="DR172" ca="1">IF(COND_INTERSTICIAL[[#This Row],[evapora]],COND_INTERSTICIAL[[#This Row],[Psat]],IF(COND_INTERSTICIAL[[#This Row],[Capa]]=N_capas,COND_INTERSTICIAL[[#This Row],[Pn]],""))</f>
        <v>#N/A</v>
      </c>
      <c r="DS172" s="112" t="e">
        <f ca="1">COND_INTERSTICIAL[[#This Row],[Mes]]&amp;"-"&amp;COND_INTERSTICIAL[[#This Row],[Sección]]&amp;"-"&amp;COND_INTERSTICIAL[[#This Row],[tramo ev]]</f>
        <v>#N/A</v>
      </c>
      <c r="DT172" s="111" t="e" cm="1">
        <f t="array" aca="1" ref="DT172" ca="1">IF(COND_INTERSTICIAL[[#This Row],[Capa]]=1,IF(COND_INTERSTICIAL[[#This Row],[evapora]],2,1),IF(COND_INTERSTICIAL[[#This Row],[evapora]],1,0)+INDIRECT(ADDRESS(ROW()-1,COLUMN(),4)))</f>
        <v>#N/A</v>
      </c>
      <c r="DU172" s="111" t="e" cm="1">
        <f t="array" aca="1" ref="DU172" ca="1">IF(COND_INTERSTICIAL[[#This Row],[tramo ev]]=1,0,IF((COND_INTERSTICIAL[[#This Row],[tramo ev]]&gt;INDIRECT(ADDRESS(ROW()-1,COLUMN(COND_INTERSTICIAL[[#This Row],[tramo ev]]),4)))+COND_INTERSTICIAL[[#This Row],[evapora]],COND_INTERSTICIAL[[#This Row],[Capa]],INDIRECT(ADDRESS(ROW()-1,COLUMN(),4))))</f>
        <v>#N/A</v>
      </c>
      <c r="DV172" s="111" t="e" cm="1">
        <f t="array" aca="1" ref="DV172" ca="1">IF((COND_INTERSTICIAL[[#This Row],[Capa]]=N_capas)+(COND_INTERSTICIAL[[#This Row],[tramo ev]]=COUNTIFS(COND_INTERSTICIAL[evapora],TRUE,COND_INTERSTICIAL[Mes],CW172,COND_INTERSTICIAL[Sección],CX172)+1),N_capas,INDEX(COND_INTERSTICIAL[capa lím inf ev],MATCH(COND_INTERSTICIAL[[#This Row],[Mes]]&amp;"-"&amp;COND_INTERSTICIAL[[#This Row],[Sección]]&amp;"-"&amp;(COND_INTERSTICIAL[[#This Row],[tramo ev]]+1),COND_INTERSTICIAL[llave tramo ev],0)))</f>
        <v>#N/A</v>
      </c>
      <c r="DW172" s="111" cm="1">
        <f t="array" aca="1" ref="DW17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2" s="113" t="e" cm="1">
        <f t="array" aca="1" ref="DX17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2" s="113" t="e">
        <f ca="1">COND_INTERSTICIAL[[#This Row],[gev]]+COND_INTERSTICIAL[[#This Row],[Ma anterior ev]]</f>
        <v>#N/A</v>
      </c>
      <c r="EA172" s="115" t="e">
        <f ca="1">IF(COND_INTERSTICIAL[[#This Row],[Ma cond]]+COND_INTERSTICIAL[[#This Row],[Ma ev]]&lt;=0,0,COND_INTERSTICIAL[[#This Row],[Ma cond]]+COND_INTERSTICIAL[[#This Row],[Ma ev]])</f>
        <v>#N/A</v>
      </c>
      <c r="EB172" s="115" t="e">
        <f ca="1">IF(COND_INTERSTICIAL[[#This Row],[Ma]]&gt;0,TRUE,FALSE)</f>
        <v>#N/A</v>
      </c>
      <c r="EC172" s="115" t="e" cm="1">
        <f t="array" aca="1" ref="EC172" ca="1">IF(COND_INTERSTICIAL[[#This Row],[agua líquida]],IF(COND_INTERSTICIAL[[#This Row],[Condensa]],COND_INTERSTICIAL[[#This Row],[P límite cond]],COND_INTERSTICIAL[[#This Row],[P límite ev]]),IF(COND_INTERSTICIAL[[#This Row],[Capa]]=N_capas,COND_INTERSTICIAL[[#This Row],[Pn]],""))</f>
        <v>#N/A</v>
      </c>
      <c r="ED172" s="115" t="e">
        <f ca="1">COND_INTERSTICIAL[[#This Row],[Mes]]&amp;"-"&amp;COND_INTERSTICIAL[[#This Row],[Sección]]&amp;"-"&amp;COND_INTERSTICIAL[[#This Row],[tramo gráf]]</f>
        <v>#N/A</v>
      </c>
      <c r="EE172" s="114" t="e" cm="1">
        <f t="array" aca="1" ref="EE172" ca="1">IF(COND_INTERSTICIAL[[#This Row],[Capa]]=1,IF(COND_INTERSTICIAL[[#This Row],[agua líquida]],2,1),IF(COND_INTERSTICIAL[[#This Row],[agua líquida]],1,0)+INDIRECT(ADDRESS(ROW()-1,COLUMN(),4)))</f>
        <v>#N/A</v>
      </c>
      <c r="EF172" s="114" t="e" cm="1">
        <f t="array" aca="1" ref="EF172" ca="1">IF(COND_INTERSTICIAL[[#This Row],[tramo gráf]]=1,0,IF((COND_INTERSTICIAL[[#This Row],[tramo gráf]]&gt;INDIRECT(ADDRESS(ROW()-1,COLUMN(COND_INTERSTICIAL[[#This Row],[tramo gráf]]),4)))+COND_INTERSTICIAL[[#This Row],[agua líquida]],COND_INTERSTICIAL[[#This Row],[Capa]],INDIRECT(ADDRESS(ROW()-1,COLUMN(),4))))</f>
        <v>#N/A</v>
      </c>
      <c r="EG172" s="114" t="e" cm="1">
        <f t="array" aca="1" ref="EG172" ca="1">IF((COND_INTERSTICIAL[[#This Row],[Capa]]=N_capas)+(COND_INTERSTICIAL[[#This Row],[tramo gráf]]=COUNTIFS(COND_INTERSTICIAL[agua líquida],TRUE,COND_INTERSTICIAL[Mes],CW172,COND_INTERSTICIAL[Sección],CX172)+1),N_capas,INDEX(COND_INTERSTICIAL[capa lím inf gráf],MATCH(COND_INTERSTICIAL[[#This Row],[Mes]]&amp;"-"&amp;COND_INTERSTICIAL[[#This Row],[Sección]]&amp;"-"&amp;(COND_INTERSTICIAL[[#This Row],[tramo gráf]]+1),COND_INTERSTICIAL[llave tramo gráf],0)))</f>
        <v>#N/A</v>
      </c>
      <c r="EH172" s="114" cm="1">
        <f t="array" aca="1" ref="EH17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2" s="116" t="e" cm="1">
        <f t="array" aca="1" ref="EI17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3" spans="100:139" x14ac:dyDescent="0.45">
      <c r="CV173" s="90"/>
      <c r="CW173" s="1" cm="1">
        <f t="array" ref="CW173">ROUNDUP((ROW()-$CN$18+(Mes_inicial_de_análisis-1)*N_capas*N_secciones)/(N_capas*N_secciones),0)-12*IF(ROW()-$CN$18&gt;(12-Mes_inicial_de_análisis+1)*N_capas*N_secciones,1,0)</f>
        <v>5</v>
      </c>
      <c r="CX173" cm="1">
        <f t="array" ref="CX173">ROUNDUP((ROW()-$CN$18)/N_capas-(ROUNDUP((ROW()-$CN$18)/(N_capas*N_secciones),0)-1)*N_secciones,0)</f>
        <v>2</v>
      </c>
      <c r="CY173" cm="1">
        <f t="array" ref="CY173">(ROW()-$CN$18)-(COND_INTERSTICIAL[[#This Row],[Sección]]-1)*N_capas-(ROUNDUP((ROW()-$CN$18)/(N_capas*N_secciones),0)-1)*N_capas*N_secciones</f>
        <v>7</v>
      </c>
      <c r="CZ173" t="str">
        <f>COND_INTERSTICIAL[[#This Row],[Mes]]&amp;"-"&amp;COND_INTERSTICIAL[[#This Row],[Sección]]&amp;"-"&amp;COND_INTERSTICIAL[[#This Row],[Capa]]</f>
        <v>5-2-7</v>
      </c>
      <c r="DA173">
        <f ca="1">INDEX(SECCIONES_CAPAS[R''n],MATCH(COND_INTERSTICIAL[[#This Row],[Sección]]&amp;"-"&amp;COND_INTERSTICIAL[[#This Row],[Capa]],SECCIONES_CAPAS[llave],0))</f>
        <v>0.04</v>
      </c>
      <c r="DB173" s="172" t="e" cm="1">
        <f t="array" aca="1" ref="DB173" ca="1">INDEX(CLIMA[ϴe],COND_INTERSTICIAL[[#This Row],[Mes]])+COND_INTERSTICIAL[[#This Row],[Rn]]*(INDEX(CLIMA[ϴi],COND_INTERSTICIAL[[#This Row],[Mes]])-INDEX(CLIMA[ϴe],COND_INTERSTICIAL[[#This Row],[Mes]]))/(INDEX(SECCIONES[Rtsección_condensación],COND_INTERSTICIAL[[#This Row],[Sección]]))</f>
        <v>#N/A</v>
      </c>
      <c r="DC173">
        <f>INDEX(SECCIONES_CAPAS[Sd],MATCH(COND_INTERSTICIAL[[#This Row],[Sección]]&amp;"-"&amp;COND_INTERSTICIAL[[#This Row],[Capa]],SECCIONES_CAPAS[llave],0))</f>
        <v>0</v>
      </c>
      <c r="DD173">
        <f ca="1">INDEX(SECCIONES_CAPAS[S''d],MATCH(COND_INTERSTICIAL[[#This Row],[Sección]]&amp;"-"&amp;COND_INTERSTICIAL[[#This Row],[Capa]],SECCIONES_CAPAS[llave],0))</f>
        <v>0</v>
      </c>
      <c r="DE173" s="90" t="e">
        <f ca="1">IF(COND_INTERSTICIAL[[#This Row],[ϴn]]&gt;=0,610.5*EXP((17.269*COND_INTERSTICIAL[[#This Row],[ϴn]])/(237.3+COND_INTERSTICIAL[[#This Row],[ϴn]])),610.5*EXP((21.875*COND_INTERSTICIAL[[#This Row],[ϴn]])/(265.5+COND_INTERSTICIAL[[#This Row],[ϴn]])))</f>
        <v>#N/A</v>
      </c>
      <c r="DF173" s="90" t="e" cm="1">
        <f t="array" aca="1" ref="DF173" ca="1">COND_INTERSTICIAL[[#This Row],[S''d]]*((INDEX(CLIMA[Pi],COND_INTERSTICIAL[[#This Row],[Mes]])-INDEX(CLIMA[Pe],COND_INTERSTICIAL[[#This Row],[Mes]]))/INDEX(SECCIONES[SdT],COND_INTERSTICIAL[[#This Row],[Sección]]))+INDEX(CLIMA[Pe],COND_INTERSTICIAL[[#This Row],[Mes]])</f>
        <v>#N/A</v>
      </c>
      <c r="DG173" s="108" t="e">
        <f ca="1">IF((COND_INTERSTICIAL[[#This Row],[Pn]]&gt;=COND_INTERSTICIAL[[#This Row],[Psat]]),TRUE,FALSE)</f>
        <v>#N/A</v>
      </c>
      <c r="DH173" s="109" t="e" cm="1">
        <f t="array" aca="1" ref="DH173" ca="1">IF(COND_INTERSTICIAL[[#This Row],[Condensa]],COND_INTERSTICIAL[[#This Row],[Psat]],IF(COND_INTERSTICIAL[[#This Row],[Capa]]=N_capas,COND_INTERSTICIAL[[#This Row],[Pn]],""))</f>
        <v>#N/A</v>
      </c>
      <c r="DI173" s="109" t="e">
        <f ca="1">COND_INTERSTICIAL[[#This Row],[Mes]]&amp;"-"&amp;COND_INTERSTICIAL[[#This Row],[Sección]]&amp;"-"&amp;COND_INTERSTICIAL[[#This Row],[tramo cond]]</f>
        <v>#N/A</v>
      </c>
      <c r="DJ173" t="e" cm="1">
        <f t="array" aca="1" ref="DJ173" ca="1">IF(COND_INTERSTICIAL[[#This Row],[Capa]]=1,IF(COND_INTERSTICIAL[[#This Row],[Condensa]],2,1),IF(COND_INTERSTICIAL[[#This Row],[Condensa]],1,0)+INDIRECT(ADDRESS(ROW()-1,COLUMN(),4)))</f>
        <v>#N/A</v>
      </c>
      <c r="DK173" s="108" t="e" cm="1">
        <f t="array" aca="1" ref="DK173" ca="1">IF(COND_INTERSTICIAL[[#This Row],[tramo cond]]=1,0,IF((COND_INTERSTICIAL[[#This Row],[tramo cond]]&gt;INDIRECT(ADDRESS(ROW()-1,COLUMN(COND_INTERSTICIAL[[#This Row],[tramo cond]]),4)))+COND_INTERSTICIAL[[#This Row],[Condensa]],COND_INTERSTICIAL[[#This Row],[Capa]],INDIRECT(ADDRESS(ROW()-1,COLUMN(),4))))</f>
        <v>#N/A</v>
      </c>
      <c r="DL173" s="108" t="e" cm="1">
        <f t="array" aca="1" ref="DL173" ca="1">IF((COND_INTERSTICIAL[[#This Row],[Capa]]=N_capas)+(COND_INTERSTICIAL[[#This Row],[tramo cond]]=COUNTIFS(COND_INTERSTICIAL[Condensa],TRUE,COND_INTERSTICIAL[Mes],CW173,COND_INTERSTICIAL[Sección],CX173)+1),N_capas,INDEX(COND_INTERSTICIAL[capa lím inf cond],MATCH(COND_INTERSTICIAL[[#This Row],[Mes]]&amp;"-"&amp;COND_INTERSTICIAL[[#This Row],[Sección]]&amp;"-"&amp;(COND_INTERSTICIAL[[#This Row],[tramo cond]]+1),COND_INTERSTICIAL[llave tramo cond],0)))</f>
        <v>#N/A</v>
      </c>
      <c r="DM173" s="108" cm="1">
        <f t="array" aca="1" ref="DM17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3" s="110" t="e" cm="1">
        <f t="array" aca="1" ref="DN17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3" s="107" t="e">
        <f ca="1">COND_INTERSTICIAL[[#This Row],[gc]]+COND_INTERSTICIAL[[#This Row],[Ma_anterior cond]]</f>
        <v>#N/A</v>
      </c>
      <c r="DQ173" s="113" t="e">
        <f ca="1">IF((COND_INTERSTICIAL[[#This Row],[Ma_anterior cond]]&gt;0)*NOT(COND_INTERSTICIAL[[#This Row],[Condensa]]),TRUE,FALSE)</f>
        <v>#N/A</v>
      </c>
      <c r="DR173" s="112" t="e" cm="1">
        <f t="array" aca="1" ref="DR173" ca="1">IF(COND_INTERSTICIAL[[#This Row],[evapora]],COND_INTERSTICIAL[[#This Row],[Psat]],IF(COND_INTERSTICIAL[[#This Row],[Capa]]=N_capas,COND_INTERSTICIAL[[#This Row],[Pn]],""))</f>
        <v>#N/A</v>
      </c>
      <c r="DS173" s="112" t="e">
        <f ca="1">COND_INTERSTICIAL[[#This Row],[Mes]]&amp;"-"&amp;COND_INTERSTICIAL[[#This Row],[Sección]]&amp;"-"&amp;COND_INTERSTICIAL[[#This Row],[tramo ev]]</f>
        <v>#N/A</v>
      </c>
      <c r="DT173" s="111" t="e" cm="1">
        <f t="array" aca="1" ref="DT173" ca="1">IF(COND_INTERSTICIAL[[#This Row],[Capa]]=1,IF(COND_INTERSTICIAL[[#This Row],[evapora]],2,1),IF(COND_INTERSTICIAL[[#This Row],[evapora]],1,0)+INDIRECT(ADDRESS(ROW()-1,COLUMN(),4)))</f>
        <v>#N/A</v>
      </c>
      <c r="DU173" s="111" t="e" cm="1">
        <f t="array" aca="1" ref="DU173" ca="1">IF(COND_INTERSTICIAL[[#This Row],[tramo ev]]=1,0,IF((COND_INTERSTICIAL[[#This Row],[tramo ev]]&gt;INDIRECT(ADDRESS(ROW()-1,COLUMN(COND_INTERSTICIAL[[#This Row],[tramo ev]]),4)))+COND_INTERSTICIAL[[#This Row],[evapora]],COND_INTERSTICIAL[[#This Row],[Capa]],INDIRECT(ADDRESS(ROW()-1,COLUMN(),4))))</f>
        <v>#N/A</v>
      </c>
      <c r="DV173" s="111" t="e" cm="1">
        <f t="array" aca="1" ref="DV173" ca="1">IF((COND_INTERSTICIAL[[#This Row],[Capa]]=N_capas)+(COND_INTERSTICIAL[[#This Row],[tramo ev]]=COUNTIFS(COND_INTERSTICIAL[evapora],TRUE,COND_INTERSTICIAL[Mes],CW173,COND_INTERSTICIAL[Sección],CX173)+1),N_capas,INDEX(COND_INTERSTICIAL[capa lím inf ev],MATCH(COND_INTERSTICIAL[[#This Row],[Mes]]&amp;"-"&amp;COND_INTERSTICIAL[[#This Row],[Sección]]&amp;"-"&amp;(COND_INTERSTICIAL[[#This Row],[tramo ev]]+1),COND_INTERSTICIAL[llave tramo ev],0)))</f>
        <v>#N/A</v>
      </c>
      <c r="DW173" s="111" cm="1">
        <f t="array" aca="1" ref="DW17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3" s="113" t="e" cm="1">
        <f t="array" aca="1" ref="DX17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3" s="113" t="e">
        <f ca="1">COND_INTERSTICIAL[[#This Row],[gev]]+COND_INTERSTICIAL[[#This Row],[Ma anterior ev]]</f>
        <v>#N/A</v>
      </c>
      <c r="EA173" s="115" t="e">
        <f ca="1">IF(COND_INTERSTICIAL[[#This Row],[Ma cond]]+COND_INTERSTICIAL[[#This Row],[Ma ev]]&lt;=0,0,COND_INTERSTICIAL[[#This Row],[Ma cond]]+COND_INTERSTICIAL[[#This Row],[Ma ev]])</f>
        <v>#N/A</v>
      </c>
      <c r="EB173" s="115" t="e">
        <f ca="1">IF(COND_INTERSTICIAL[[#This Row],[Ma]]&gt;0,TRUE,FALSE)</f>
        <v>#N/A</v>
      </c>
      <c r="EC173" s="115" t="e" cm="1">
        <f t="array" aca="1" ref="EC173" ca="1">IF(COND_INTERSTICIAL[[#This Row],[agua líquida]],IF(COND_INTERSTICIAL[[#This Row],[Condensa]],COND_INTERSTICIAL[[#This Row],[P límite cond]],COND_INTERSTICIAL[[#This Row],[P límite ev]]),IF(COND_INTERSTICIAL[[#This Row],[Capa]]=N_capas,COND_INTERSTICIAL[[#This Row],[Pn]],""))</f>
        <v>#N/A</v>
      </c>
      <c r="ED173" s="115" t="e">
        <f ca="1">COND_INTERSTICIAL[[#This Row],[Mes]]&amp;"-"&amp;COND_INTERSTICIAL[[#This Row],[Sección]]&amp;"-"&amp;COND_INTERSTICIAL[[#This Row],[tramo gráf]]</f>
        <v>#N/A</v>
      </c>
      <c r="EE173" s="114" t="e" cm="1">
        <f t="array" aca="1" ref="EE173" ca="1">IF(COND_INTERSTICIAL[[#This Row],[Capa]]=1,IF(COND_INTERSTICIAL[[#This Row],[agua líquida]],2,1),IF(COND_INTERSTICIAL[[#This Row],[agua líquida]],1,0)+INDIRECT(ADDRESS(ROW()-1,COLUMN(),4)))</f>
        <v>#N/A</v>
      </c>
      <c r="EF173" s="114" t="e" cm="1">
        <f t="array" aca="1" ref="EF173" ca="1">IF(COND_INTERSTICIAL[[#This Row],[tramo gráf]]=1,0,IF((COND_INTERSTICIAL[[#This Row],[tramo gráf]]&gt;INDIRECT(ADDRESS(ROW()-1,COLUMN(COND_INTERSTICIAL[[#This Row],[tramo gráf]]),4)))+COND_INTERSTICIAL[[#This Row],[agua líquida]],COND_INTERSTICIAL[[#This Row],[Capa]],INDIRECT(ADDRESS(ROW()-1,COLUMN(),4))))</f>
        <v>#N/A</v>
      </c>
      <c r="EG173" s="114" t="e" cm="1">
        <f t="array" aca="1" ref="EG173" ca="1">IF((COND_INTERSTICIAL[[#This Row],[Capa]]=N_capas)+(COND_INTERSTICIAL[[#This Row],[tramo gráf]]=COUNTIFS(COND_INTERSTICIAL[agua líquida],TRUE,COND_INTERSTICIAL[Mes],CW173,COND_INTERSTICIAL[Sección],CX173)+1),N_capas,INDEX(COND_INTERSTICIAL[capa lím inf gráf],MATCH(COND_INTERSTICIAL[[#This Row],[Mes]]&amp;"-"&amp;COND_INTERSTICIAL[[#This Row],[Sección]]&amp;"-"&amp;(COND_INTERSTICIAL[[#This Row],[tramo gráf]]+1),COND_INTERSTICIAL[llave tramo gráf],0)))</f>
        <v>#N/A</v>
      </c>
      <c r="EH173" s="114" cm="1">
        <f t="array" aca="1" ref="EH17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3" s="116" t="e" cm="1">
        <f t="array" aca="1" ref="EI17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4" spans="100:139" x14ac:dyDescent="0.45">
      <c r="CV174" s="90"/>
      <c r="CW174" s="1" cm="1">
        <f t="array" ref="CW174">ROUNDUP((ROW()-$CN$18+(Mes_inicial_de_análisis-1)*N_capas*N_secciones)/(N_capas*N_secciones),0)-12*IF(ROW()-$CN$18&gt;(12-Mes_inicial_de_análisis+1)*N_capas*N_secciones,1,0)</f>
        <v>6</v>
      </c>
      <c r="CX174" cm="1">
        <f t="array" ref="CX174">ROUNDUP((ROW()-$CN$18)/N_capas-(ROUNDUP((ROW()-$CN$18)/(N_capas*N_secciones),0)-1)*N_secciones,0)</f>
        <v>1</v>
      </c>
      <c r="CY174" cm="1">
        <f t="array" ref="CY174">(ROW()-$CN$18)-(COND_INTERSTICIAL[[#This Row],[Sección]]-1)*N_capas-(ROUNDUP((ROW()-$CN$18)/(N_capas*N_secciones),0)-1)*N_capas*N_secciones</f>
        <v>1</v>
      </c>
      <c r="CZ174" t="str">
        <f>COND_INTERSTICIAL[[#This Row],[Mes]]&amp;"-"&amp;COND_INTERSTICIAL[[#This Row],[Sección]]&amp;"-"&amp;COND_INTERSTICIAL[[#This Row],[Capa]]</f>
        <v>6-1-1</v>
      </c>
      <c r="DA174">
        <f ca="1">INDEX(SECCIONES_CAPAS[R''n],MATCH(COND_INTERSTICIAL[[#This Row],[Sección]]&amp;"-"&amp;COND_INTERSTICIAL[[#This Row],[Capa]],SECCIONES_CAPAS[llave],0))</f>
        <v>0.04</v>
      </c>
      <c r="DB174" s="172" t="e" cm="1">
        <f t="array" aca="1" ref="DB174" ca="1">INDEX(CLIMA[ϴe],COND_INTERSTICIAL[[#This Row],[Mes]])+COND_INTERSTICIAL[[#This Row],[Rn]]*(INDEX(CLIMA[ϴi],COND_INTERSTICIAL[[#This Row],[Mes]])-INDEX(CLIMA[ϴe],COND_INTERSTICIAL[[#This Row],[Mes]]))/(INDEX(SECCIONES[Rtsección_condensación],COND_INTERSTICIAL[[#This Row],[Sección]]))</f>
        <v>#N/A</v>
      </c>
      <c r="DC174">
        <f>INDEX(SECCIONES_CAPAS[Sd],MATCH(COND_INTERSTICIAL[[#This Row],[Sección]]&amp;"-"&amp;COND_INTERSTICIAL[[#This Row],[Capa]],SECCIONES_CAPAS[llave],0))</f>
        <v>0</v>
      </c>
      <c r="DD174">
        <f ca="1">INDEX(SECCIONES_CAPAS[S''d],MATCH(COND_INTERSTICIAL[[#This Row],[Sección]]&amp;"-"&amp;COND_INTERSTICIAL[[#This Row],[Capa]],SECCIONES_CAPAS[llave],0))</f>
        <v>0</v>
      </c>
      <c r="DE174" s="90" t="e">
        <f ca="1">IF(COND_INTERSTICIAL[[#This Row],[ϴn]]&gt;=0,610.5*EXP((17.269*COND_INTERSTICIAL[[#This Row],[ϴn]])/(237.3+COND_INTERSTICIAL[[#This Row],[ϴn]])),610.5*EXP((21.875*COND_INTERSTICIAL[[#This Row],[ϴn]])/(265.5+COND_INTERSTICIAL[[#This Row],[ϴn]])))</f>
        <v>#N/A</v>
      </c>
      <c r="DF174" s="90" t="e" cm="1">
        <f t="array" aca="1" ref="DF174" ca="1">COND_INTERSTICIAL[[#This Row],[S''d]]*((INDEX(CLIMA[Pi],COND_INTERSTICIAL[[#This Row],[Mes]])-INDEX(CLIMA[Pe],COND_INTERSTICIAL[[#This Row],[Mes]]))/INDEX(SECCIONES[SdT],COND_INTERSTICIAL[[#This Row],[Sección]]))+INDEX(CLIMA[Pe],COND_INTERSTICIAL[[#This Row],[Mes]])</f>
        <v>#N/A</v>
      </c>
      <c r="DG174" s="108" t="e">
        <f ca="1">IF((COND_INTERSTICIAL[[#This Row],[Pn]]&gt;=COND_INTERSTICIAL[[#This Row],[Psat]]),TRUE,FALSE)</f>
        <v>#N/A</v>
      </c>
      <c r="DH174" s="109" t="e" cm="1">
        <f t="array" aca="1" ref="DH174" ca="1">IF(COND_INTERSTICIAL[[#This Row],[Condensa]],COND_INTERSTICIAL[[#This Row],[Psat]],IF(COND_INTERSTICIAL[[#This Row],[Capa]]=N_capas,COND_INTERSTICIAL[[#This Row],[Pn]],""))</f>
        <v>#N/A</v>
      </c>
      <c r="DI174" s="109" t="e">
        <f ca="1">COND_INTERSTICIAL[[#This Row],[Mes]]&amp;"-"&amp;COND_INTERSTICIAL[[#This Row],[Sección]]&amp;"-"&amp;COND_INTERSTICIAL[[#This Row],[tramo cond]]</f>
        <v>#N/A</v>
      </c>
      <c r="DJ174" t="e" cm="1">
        <f t="array" aca="1" ref="DJ174" ca="1">IF(COND_INTERSTICIAL[[#This Row],[Capa]]=1,IF(COND_INTERSTICIAL[[#This Row],[Condensa]],2,1),IF(COND_INTERSTICIAL[[#This Row],[Condensa]],1,0)+INDIRECT(ADDRESS(ROW()-1,COLUMN(),4)))</f>
        <v>#N/A</v>
      </c>
      <c r="DK174" s="108" t="e" cm="1">
        <f t="array" aca="1" ref="DK174" ca="1">IF(COND_INTERSTICIAL[[#This Row],[tramo cond]]=1,0,IF((COND_INTERSTICIAL[[#This Row],[tramo cond]]&gt;INDIRECT(ADDRESS(ROW()-1,COLUMN(COND_INTERSTICIAL[[#This Row],[tramo cond]]),4)))+COND_INTERSTICIAL[[#This Row],[Condensa]],COND_INTERSTICIAL[[#This Row],[Capa]],INDIRECT(ADDRESS(ROW()-1,COLUMN(),4))))</f>
        <v>#N/A</v>
      </c>
      <c r="DL174" s="108" t="e" cm="1">
        <f t="array" aca="1" ref="DL174" ca="1">IF((COND_INTERSTICIAL[[#This Row],[Capa]]=N_capas)+(COND_INTERSTICIAL[[#This Row],[tramo cond]]=COUNTIFS(COND_INTERSTICIAL[Condensa],TRUE,COND_INTERSTICIAL[Mes],CW174,COND_INTERSTICIAL[Sección],CX174)+1),N_capas,INDEX(COND_INTERSTICIAL[capa lím inf cond],MATCH(COND_INTERSTICIAL[[#This Row],[Mes]]&amp;"-"&amp;COND_INTERSTICIAL[[#This Row],[Sección]]&amp;"-"&amp;(COND_INTERSTICIAL[[#This Row],[tramo cond]]+1),COND_INTERSTICIAL[llave tramo cond],0)))</f>
        <v>#N/A</v>
      </c>
      <c r="DM174" s="108" cm="1">
        <f t="array" aca="1" ref="DM17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4" s="110" t="e" cm="1">
        <f t="array" aca="1" ref="DN17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4" s="107" t="e">
        <f ca="1">COND_INTERSTICIAL[[#This Row],[gc]]+COND_INTERSTICIAL[[#This Row],[Ma_anterior cond]]</f>
        <v>#N/A</v>
      </c>
      <c r="DQ174" s="113" t="e">
        <f ca="1">IF((COND_INTERSTICIAL[[#This Row],[Ma_anterior cond]]&gt;0)*NOT(COND_INTERSTICIAL[[#This Row],[Condensa]]),TRUE,FALSE)</f>
        <v>#N/A</v>
      </c>
      <c r="DR174" s="112" t="e" cm="1">
        <f t="array" aca="1" ref="DR174" ca="1">IF(COND_INTERSTICIAL[[#This Row],[evapora]],COND_INTERSTICIAL[[#This Row],[Psat]],IF(COND_INTERSTICIAL[[#This Row],[Capa]]=N_capas,COND_INTERSTICIAL[[#This Row],[Pn]],""))</f>
        <v>#N/A</v>
      </c>
      <c r="DS174" s="112" t="e">
        <f ca="1">COND_INTERSTICIAL[[#This Row],[Mes]]&amp;"-"&amp;COND_INTERSTICIAL[[#This Row],[Sección]]&amp;"-"&amp;COND_INTERSTICIAL[[#This Row],[tramo ev]]</f>
        <v>#N/A</v>
      </c>
      <c r="DT174" s="111" t="e" cm="1">
        <f t="array" aca="1" ref="DT174" ca="1">IF(COND_INTERSTICIAL[[#This Row],[Capa]]=1,IF(COND_INTERSTICIAL[[#This Row],[evapora]],2,1),IF(COND_INTERSTICIAL[[#This Row],[evapora]],1,0)+INDIRECT(ADDRESS(ROW()-1,COLUMN(),4)))</f>
        <v>#N/A</v>
      </c>
      <c r="DU174" s="111" t="e" cm="1">
        <f t="array" aca="1" ref="DU174" ca="1">IF(COND_INTERSTICIAL[[#This Row],[tramo ev]]=1,0,IF((COND_INTERSTICIAL[[#This Row],[tramo ev]]&gt;INDIRECT(ADDRESS(ROW()-1,COLUMN(COND_INTERSTICIAL[[#This Row],[tramo ev]]),4)))+COND_INTERSTICIAL[[#This Row],[evapora]],COND_INTERSTICIAL[[#This Row],[Capa]],INDIRECT(ADDRESS(ROW()-1,COLUMN(),4))))</f>
        <v>#N/A</v>
      </c>
      <c r="DV174" s="111" t="e" cm="1">
        <f t="array" aca="1" ref="DV174" ca="1">IF((COND_INTERSTICIAL[[#This Row],[Capa]]=N_capas)+(COND_INTERSTICIAL[[#This Row],[tramo ev]]=COUNTIFS(COND_INTERSTICIAL[evapora],TRUE,COND_INTERSTICIAL[Mes],CW174,COND_INTERSTICIAL[Sección],CX174)+1),N_capas,INDEX(COND_INTERSTICIAL[capa lím inf ev],MATCH(COND_INTERSTICIAL[[#This Row],[Mes]]&amp;"-"&amp;COND_INTERSTICIAL[[#This Row],[Sección]]&amp;"-"&amp;(COND_INTERSTICIAL[[#This Row],[tramo ev]]+1),COND_INTERSTICIAL[llave tramo ev],0)))</f>
        <v>#N/A</v>
      </c>
      <c r="DW174" s="111" cm="1">
        <f t="array" aca="1" ref="DW17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4" s="113" t="e" cm="1">
        <f t="array" aca="1" ref="DX17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4" s="113" t="e">
        <f ca="1">COND_INTERSTICIAL[[#This Row],[gev]]+COND_INTERSTICIAL[[#This Row],[Ma anterior ev]]</f>
        <v>#N/A</v>
      </c>
      <c r="EA174" s="115" t="e">
        <f ca="1">IF(COND_INTERSTICIAL[[#This Row],[Ma cond]]+COND_INTERSTICIAL[[#This Row],[Ma ev]]&lt;=0,0,COND_INTERSTICIAL[[#This Row],[Ma cond]]+COND_INTERSTICIAL[[#This Row],[Ma ev]])</f>
        <v>#N/A</v>
      </c>
      <c r="EB174" s="115" t="e">
        <f ca="1">IF(COND_INTERSTICIAL[[#This Row],[Ma]]&gt;0,TRUE,FALSE)</f>
        <v>#N/A</v>
      </c>
      <c r="EC174" s="115" t="e" cm="1">
        <f t="array" aca="1" ref="EC174" ca="1">IF(COND_INTERSTICIAL[[#This Row],[agua líquida]],IF(COND_INTERSTICIAL[[#This Row],[Condensa]],COND_INTERSTICIAL[[#This Row],[P límite cond]],COND_INTERSTICIAL[[#This Row],[P límite ev]]),IF(COND_INTERSTICIAL[[#This Row],[Capa]]=N_capas,COND_INTERSTICIAL[[#This Row],[Pn]],""))</f>
        <v>#N/A</v>
      </c>
      <c r="ED174" s="115" t="e">
        <f ca="1">COND_INTERSTICIAL[[#This Row],[Mes]]&amp;"-"&amp;COND_INTERSTICIAL[[#This Row],[Sección]]&amp;"-"&amp;COND_INTERSTICIAL[[#This Row],[tramo gráf]]</f>
        <v>#N/A</v>
      </c>
      <c r="EE174" s="114" t="e" cm="1">
        <f t="array" aca="1" ref="EE174" ca="1">IF(COND_INTERSTICIAL[[#This Row],[Capa]]=1,IF(COND_INTERSTICIAL[[#This Row],[agua líquida]],2,1),IF(COND_INTERSTICIAL[[#This Row],[agua líquida]],1,0)+INDIRECT(ADDRESS(ROW()-1,COLUMN(),4)))</f>
        <v>#N/A</v>
      </c>
      <c r="EF174" s="114" t="e" cm="1">
        <f t="array" aca="1" ref="EF174" ca="1">IF(COND_INTERSTICIAL[[#This Row],[tramo gráf]]=1,0,IF((COND_INTERSTICIAL[[#This Row],[tramo gráf]]&gt;INDIRECT(ADDRESS(ROW()-1,COLUMN(COND_INTERSTICIAL[[#This Row],[tramo gráf]]),4)))+COND_INTERSTICIAL[[#This Row],[agua líquida]],COND_INTERSTICIAL[[#This Row],[Capa]],INDIRECT(ADDRESS(ROW()-1,COLUMN(),4))))</f>
        <v>#N/A</v>
      </c>
      <c r="EG174" s="114" t="e" cm="1">
        <f t="array" aca="1" ref="EG174" ca="1">IF((COND_INTERSTICIAL[[#This Row],[Capa]]=N_capas)+(COND_INTERSTICIAL[[#This Row],[tramo gráf]]=COUNTIFS(COND_INTERSTICIAL[agua líquida],TRUE,COND_INTERSTICIAL[Mes],CW174,COND_INTERSTICIAL[Sección],CX174)+1),N_capas,INDEX(COND_INTERSTICIAL[capa lím inf gráf],MATCH(COND_INTERSTICIAL[[#This Row],[Mes]]&amp;"-"&amp;COND_INTERSTICIAL[[#This Row],[Sección]]&amp;"-"&amp;(COND_INTERSTICIAL[[#This Row],[tramo gráf]]+1),COND_INTERSTICIAL[llave tramo gráf],0)))</f>
        <v>#N/A</v>
      </c>
      <c r="EH174" s="114" cm="1">
        <f t="array" aca="1" ref="EH17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4" s="116" t="e" cm="1">
        <f t="array" aca="1" ref="EI17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5" spans="100:139" x14ac:dyDescent="0.45">
      <c r="CV175" s="90"/>
      <c r="CW175" s="1" cm="1">
        <f t="array" ref="CW175">ROUNDUP((ROW()-$CN$18+(Mes_inicial_de_análisis-1)*N_capas*N_secciones)/(N_capas*N_secciones),0)-12*IF(ROW()-$CN$18&gt;(12-Mes_inicial_de_análisis+1)*N_capas*N_secciones,1,0)</f>
        <v>6</v>
      </c>
      <c r="CX175" cm="1">
        <f t="array" ref="CX175">ROUNDUP((ROW()-$CN$18)/N_capas-(ROUNDUP((ROW()-$CN$18)/(N_capas*N_secciones),0)-1)*N_secciones,0)</f>
        <v>1</v>
      </c>
      <c r="CY175" cm="1">
        <f t="array" ref="CY175">(ROW()-$CN$18)-(COND_INTERSTICIAL[[#This Row],[Sección]]-1)*N_capas-(ROUNDUP((ROW()-$CN$18)/(N_capas*N_secciones),0)-1)*N_capas*N_secciones</f>
        <v>2</v>
      </c>
      <c r="CZ175" t="str">
        <f>COND_INTERSTICIAL[[#This Row],[Mes]]&amp;"-"&amp;COND_INTERSTICIAL[[#This Row],[Sección]]&amp;"-"&amp;COND_INTERSTICIAL[[#This Row],[Capa]]</f>
        <v>6-1-2</v>
      </c>
      <c r="DA175">
        <f ca="1">INDEX(SECCIONES_CAPAS[R''n],MATCH(COND_INTERSTICIAL[[#This Row],[Sección]]&amp;"-"&amp;COND_INTERSTICIAL[[#This Row],[Capa]],SECCIONES_CAPAS[llave],0))</f>
        <v>0.04</v>
      </c>
      <c r="DB175" s="172" t="e" cm="1">
        <f t="array" aca="1" ref="DB175" ca="1">INDEX(CLIMA[ϴe],COND_INTERSTICIAL[[#This Row],[Mes]])+COND_INTERSTICIAL[[#This Row],[Rn]]*(INDEX(CLIMA[ϴi],COND_INTERSTICIAL[[#This Row],[Mes]])-INDEX(CLIMA[ϴe],COND_INTERSTICIAL[[#This Row],[Mes]]))/(INDEX(SECCIONES[Rtsección_condensación],COND_INTERSTICIAL[[#This Row],[Sección]]))</f>
        <v>#N/A</v>
      </c>
      <c r="DC175">
        <f>INDEX(SECCIONES_CAPAS[Sd],MATCH(COND_INTERSTICIAL[[#This Row],[Sección]]&amp;"-"&amp;COND_INTERSTICIAL[[#This Row],[Capa]],SECCIONES_CAPAS[llave],0))</f>
        <v>0</v>
      </c>
      <c r="DD175">
        <f ca="1">INDEX(SECCIONES_CAPAS[S''d],MATCH(COND_INTERSTICIAL[[#This Row],[Sección]]&amp;"-"&amp;COND_INTERSTICIAL[[#This Row],[Capa]],SECCIONES_CAPAS[llave],0))</f>
        <v>0</v>
      </c>
      <c r="DE175" s="90" t="e">
        <f ca="1">IF(COND_INTERSTICIAL[[#This Row],[ϴn]]&gt;=0,610.5*EXP((17.269*COND_INTERSTICIAL[[#This Row],[ϴn]])/(237.3+COND_INTERSTICIAL[[#This Row],[ϴn]])),610.5*EXP((21.875*COND_INTERSTICIAL[[#This Row],[ϴn]])/(265.5+COND_INTERSTICIAL[[#This Row],[ϴn]])))</f>
        <v>#N/A</v>
      </c>
      <c r="DF175" s="90" t="e" cm="1">
        <f t="array" aca="1" ref="DF175" ca="1">COND_INTERSTICIAL[[#This Row],[S''d]]*((INDEX(CLIMA[Pi],COND_INTERSTICIAL[[#This Row],[Mes]])-INDEX(CLIMA[Pe],COND_INTERSTICIAL[[#This Row],[Mes]]))/INDEX(SECCIONES[SdT],COND_INTERSTICIAL[[#This Row],[Sección]]))+INDEX(CLIMA[Pe],COND_INTERSTICIAL[[#This Row],[Mes]])</f>
        <v>#N/A</v>
      </c>
      <c r="DG175" s="108" t="e">
        <f ca="1">IF((COND_INTERSTICIAL[[#This Row],[Pn]]&gt;=COND_INTERSTICIAL[[#This Row],[Psat]]),TRUE,FALSE)</f>
        <v>#N/A</v>
      </c>
      <c r="DH175" s="109" t="e" cm="1">
        <f t="array" aca="1" ref="DH175" ca="1">IF(COND_INTERSTICIAL[[#This Row],[Condensa]],COND_INTERSTICIAL[[#This Row],[Psat]],IF(COND_INTERSTICIAL[[#This Row],[Capa]]=N_capas,COND_INTERSTICIAL[[#This Row],[Pn]],""))</f>
        <v>#N/A</v>
      </c>
      <c r="DI175" s="109" t="e">
        <f ca="1">COND_INTERSTICIAL[[#This Row],[Mes]]&amp;"-"&amp;COND_INTERSTICIAL[[#This Row],[Sección]]&amp;"-"&amp;COND_INTERSTICIAL[[#This Row],[tramo cond]]</f>
        <v>#N/A</v>
      </c>
      <c r="DJ175" t="e" cm="1">
        <f t="array" aca="1" ref="DJ175" ca="1">IF(COND_INTERSTICIAL[[#This Row],[Capa]]=1,IF(COND_INTERSTICIAL[[#This Row],[Condensa]],2,1),IF(COND_INTERSTICIAL[[#This Row],[Condensa]],1,0)+INDIRECT(ADDRESS(ROW()-1,COLUMN(),4)))</f>
        <v>#N/A</v>
      </c>
      <c r="DK175" s="108" t="e" cm="1">
        <f t="array" aca="1" ref="DK175" ca="1">IF(COND_INTERSTICIAL[[#This Row],[tramo cond]]=1,0,IF((COND_INTERSTICIAL[[#This Row],[tramo cond]]&gt;INDIRECT(ADDRESS(ROW()-1,COLUMN(COND_INTERSTICIAL[[#This Row],[tramo cond]]),4)))+COND_INTERSTICIAL[[#This Row],[Condensa]],COND_INTERSTICIAL[[#This Row],[Capa]],INDIRECT(ADDRESS(ROW()-1,COLUMN(),4))))</f>
        <v>#N/A</v>
      </c>
      <c r="DL175" s="108" t="e" cm="1">
        <f t="array" aca="1" ref="DL175" ca="1">IF((COND_INTERSTICIAL[[#This Row],[Capa]]=N_capas)+(COND_INTERSTICIAL[[#This Row],[tramo cond]]=COUNTIFS(COND_INTERSTICIAL[Condensa],TRUE,COND_INTERSTICIAL[Mes],CW175,COND_INTERSTICIAL[Sección],CX175)+1),N_capas,INDEX(COND_INTERSTICIAL[capa lím inf cond],MATCH(COND_INTERSTICIAL[[#This Row],[Mes]]&amp;"-"&amp;COND_INTERSTICIAL[[#This Row],[Sección]]&amp;"-"&amp;(COND_INTERSTICIAL[[#This Row],[tramo cond]]+1),COND_INTERSTICIAL[llave tramo cond],0)))</f>
        <v>#N/A</v>
      </c>
      <c r="DM175" s="108" cm="1">
        <f t="array" aca="1" ref="DM17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5" s="110" t="e" cm="1">
        <f t="array" aca="1" ref="DN17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5" s="107" t="e">
        <f ca="1">COND_INTERSTICIAL[[#This Row],[gc]]+COND_INTERSTICIAL[[#This Row],[Ma_anterior cond]]</f>
        <v>#N/A</v>
      </c>
      <c r="DQ175" s="113" t="e">
        <f ca="1">IF((COND_INTERSTICIAL[[#This Row],[Ma_anterior cond]]&gt;0)*NOT(COND_INTERSTICIAL[[#This Row],[Condensa]]),TRUE,FALSE)</f>
        <v>#N/A</v>
      </c>
      <c r="DR175" s="112" t="e" cm="1">
        <f t="array" aca="1" ref="DR175" ca="1">IF(COND_INTERSTICIAL[[#This Row],[evapora]],COND_INTERSTICIAL[[#This Row],[Psat]],IF(COND_INTERSTICIAL[[#This Row],[Capa]]=N_capas,COND_INTERSTICIAL[[#This Row],[Pn]],""))</f>
        <v>#N/A</v>
      </c>
      <c r="DS175" s="112" t="e">
        <f ca="1">COND_INTERSTICIAL[[#This Row],[Mes]]&amp;"-"&amp;COND_INTERSTICIAL[[#This Row],[Sección]]&amp;"-"&amp;COND_INTERSTICIAL[[#This Row],[tramo ev]]</f>
        <v>#N/A</v>
      </c>
      <c r="DT175" s="111" t="e" cm="1">
        <f t="array" aca="1" ref="DT175" ca="1">IF(COND_INTERSTICIAL[[#This Row],[Capa]]=1,IF(COND_INTERSTICIAL[[#This Row],[evapora]],2,1),IF(COND_INTERSTICIAL[[#This Row],[evapora]],1,0)+INDIRECT(ADDRESS(ROW()-1,COLUMN(),4)))</f>
        <v>#N/A</v>
      </c>
      <c r="DU175" s="111" t="e" cm="1">
        <f t="array" aca="1" ref="DU175" ca="1">IF(COND_INTERSTICIAL[[#This Row],[tramo ev]]=1,0,IF((COND_INTERSTICIAL[[#This Row],[tramo ev]]&gt;INDIRECT(ADDRESS(ROW()-1,COLUMN(COND_INTERSTICIAL[[#This Row],[tramo ev]]),4)))+COND_INTERSTICIAL[[#This Row],[evapora]],COND_INTERSTICIAL[[#This Row],[Capa]],INDIRECT(ADDRESS(ROW()-1,COLUMN(),4))))</f>
        <v>#N/A</v>
      </c>
      <c r="DV175" s="111" t="e" cm="1">
        <f t="array" aca="1" ref="DV175" ca="1">IF((COND_INTERSTICIAL[[#This Row],[Capa]]=N_capas)+(COND_INTERSTICIAL[[#This Row],[tramo ev]]=COUNTIFS(COND_INTERSTICIAL[evapora],TRUE,COND_INTERSTICIAL[Mes],CW175,COND_INTERSTICIAL[Sección],CX175)+1),N_capas,INDEX(COND_INTERSTICIAL[capa lím inf ev],MATCH(COND_INTERSTICIAL[[#This Row],[Mes]]&amp;"-"&amp;COND_INTERSTICIAL[[#This Row],[Sección]]&amp;"-"&amp;(COND_INTERSTICIAL[[#This Row],[tramo ev]]+1),COND_INTERSTICIAL[llave tramo ev],0)))</f>
        <v>#N/A</v>
      </c>
      <c r="DW175" s="111" cm="1">
        <f t="array" aca="1" ref="DW17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5" s="113" t="e" cm="1">
        <f t="array" aca="1" ref="DX17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5" s="113" t="e">
        <f ca="1">COND_INTERSTICIAL[[#This Row],[gev]]+COND_INTERSTICIAL[[#This Row],[Ma anterior ev]]</f>
        <v>#N/A</v>
      </c>
      <c r="EA175" s="115" t="e">
        <f ca="1">IF(COND_INTERSTICIAL[[#This Row],[Ma cond]]+COND_INTERSTICIAL[[#This Row],[Ma ev]]&lt;=0,0,COND_INTERSTICIAL[[#This Row],[Ma cond]]+COND_INTERSTICIAL[[#This Row],[Ma ev]])</f>
        <v>#N/A</v>
      </c>
      <c r="EB175" s="115" t="e">
        <f ca="1">IF(COND_INTERSTICIAL[[#This Row],[Ma]]&gt;0,TRUE,FALSE)</f>
        <v>#N/A</v>
      </c>
      <c r="EC175" s="115" t="e" cm="1">
        <f t="array" aca="1" ref="EC175" ca="1">IF(COND_INTERSTICIAL[[#This Row],[agua líquida]],IF(COND_INTERSTICIAL[[#This Row],[Condensa]],COND_INTERSTICIAL[[#This Row],[P límite cond]],COND_INTERSTICIAL[[#This Row],[P límite ev]]),IF(COND_INTERSTICIAL[[#This Row],[Capa]]=N_capas,COND_INTERSTICIAL[[#This Row],[Pn]],""))</f>
        <v>#N/A</v>
      </c>
      <c r="ED175" s="115" t="e">
        <f ca="1">COND_INTERSTICIAL[[#This Row],[Mes]]&amp;"-"&amp;COND_INTERSTICIAL[[#This Row],[Sección]]&amp;"-"&amp;COND_INTERSTICIAL[[#This Row],[tramo gráf]]</f>
        <v>#N/A</v>
      </c>
      <c r="EE175" s="114" t="e" cm="1">
        <f t="array" aca="1" ref="EE175" ca="1">IF(COND_INTERSTICIAL[[#This Row],[Capa]]=1,IF(COND_INTERSTICIAL[[#This Row],[agua líquida]],2,1),IF(COND_INTERSTICIAL[[#This Row],[agua líquida]],1,0)+INDIRECT(ADDRESS(ROW()-1,COLUMN(),4)))</f>
        <v>#N/A</v>
      </c>
      <c r="EF175" s="114" t="e" cm="1">
        <f t="array" aca="1" ref="EF175" ca="1">IF(COND_INTERSTICIAL[[#This Row],[tramo gráf]]=1,0,IF((COND_INTERSTICIAL[[#This Row],[tramo gráf]]&gt;INDIRECT(ADDRESS(ROW()-1,COLUMN(COND_INTERSTICIAL[[#This Row],[tramo gráf]]),4)))+COND_INTERSTICIAL[[#This Row],[agua líquida]],COND_INTERSTICIAL[[#This Row],[Capa]],INDIRECT(ADDRESS(ROW()-1,COLUMN(),4))))</f>
        <v>#N/A</v>
      </c>
      <c r="EG175" s="114" t="e" cm="1">
        <f t="array" aca="1" ref="EG175" ca="1">IF((COND_INTERSTICIAL[[#This Row],[Capa]]=N_capas)+(COND_INTERSTICIAL[[#This Row],[tramo gráf]]=COUNTIFS(COND_INTERSTICIAL[agua líquida],TRUE,COND_INTERSTICIAL[Mes],CW175,COND_INTERSTICIAL[Sección],CX175)+1),N_capas,INDEX(COND_INTERSTICIAL[capa lím inf gráf],MATCH(COND_INTERSTICIAL[[#This Row],[Mes]]&amp;"-"&amp;COND_INTERSTICIAL[[#This Row],[Sección]]&amp;"-"&amp;(COND_INTERSTICIAL[[#This Row],[tramo gráf]]+1),COND_INTERSTICIAL[llave tramo gráf],0)))</f>
        <v>#N/A</v>
      </c>
      <c r="EH175" s="114" cm="1">
        <f t="array" aca="1" ref="EH17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5" s="116" t="e" cm="1">
        <f t="array" aca="1" ref="EI17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6" spans="100:139" x14ac:dyDescent="0.45">
      <c r="CV176" s="90"/>
      <c r="CW176" s="1" cm="1">
        <f t="array" ref="CW176">ROUNDUP((ROW()-$CN$18+(Mes_inicial_de_análisis-1)*N_capas*N_secciones)/(N_capas*N_secciones),0)-12*IF(ROW()-$CN$18&gt;(12-Mes_inicial_de_análisis+1)*N_capas*N_secciones,1,0)</f>
        <v>6</v>
      </c>
      <c r="CX176" cm="1">
        <f t="array" ref="CX176">ROUNDUP((ROW()-$CN$18)/N_capas-(ROUNDUP((ROW()-$CN$18)/(N_capas*N_secciones),0)-1)*N_secciones,0)</f>
        <v>1</v>
      </c>
      <c r="CY176" cm="1">
        <f t="array" ref="CY176">(ROW()-$CN$18)-(COND_INTERSTICIAL[[#This Row],[Sección]]-1)*N_capas-(ROUNDUP((ROW()-$CN$18)/(N_capas*N_secciones),0)-1)*N_capas*N_secciones</f>
        <v>3</v>
      </c>
      <c r="CZ176" t="str">
        <f>COND_INTERSTICIAL[[#This Row],[Mes]]&amp;"-"&amp;COND_INTERSTICIAL[[#This Row],[Sección]]&amp;"-"&amp;COND_INTERSTICIAL[[#This Row],[Capa]]</f>
        <v>6-1-3</v>
      </c>
      <c r="DA176">
        <f ca="1">INDEX(SECCIONES_CAPAS[R''n],MATCH(COND_INTERSTICIAL[[#This Row],[Sección]]&amp;"-"&amp;COND_INTERSTICIAL[[#This Row],[Capa]],SECCIONES_CAPAS[llave],0))</f>
        <v>0.04</v>
      </c>
      <c r="DB176" s="172" t="e" cm="1">
        <f t="array" aca="1" ref="DB176" ca="1">INDEX(CLIMA[ϴe],COND_INTERSTICIAL[[#This Row],[Mes]])+COND_INTERSTICIAL[[#This Row],[Rn]]*(INDEX(CLIMA[ϴi],COND_INTERSTICIAL[[#This Row],[Mes]])-INDEX(CLIMA[ϴe],COND_INTERSTICIAL[[#This Row],[Mes]]))/(INDEX(SECCIONES[Rtsección_condensación],COND_INTERSTICIAL[[#This Row],[Sección]]))</f>
        <v>#N/A</v>
      </c>
      <c r="DC176">
        <f>INDEX(SECCIONES_CAPAS[Sd],MATCH(COND_INTERSTICIAL[[#This Row],[Sección]]&amp;"-"&amp;COND_INTERSTICIAL[[#This Row],[Capa]],SECCIONES_CAPAS[llave],0))</f>
        <v>0</v>
      </c>
      <c r="DD176">
        <f ca="1">INDEX(SECCIONES_CAPAS[S''d],MATCH(COND_INTERSTICIAL[[#This Row],[Sección]]&amp;"-"&amp;COND_INTERSTICIAL[[#This Row],[Capa]],SECCIONES_CAPAS[llave],0))</f>
        <v>0</v>
      </c>
      <c r="DE176" s="90" t="e">
        <f ca="1">IF(COND_INTERSTICIAL[[#This Row],[ϴn]]&gt;=0,610.5*EXP((17.269*COND_INTERSTICIAL[[#This Row],[ϴn]])/(237.3+COND_INTERSTICIAL[[#This Row],[ϴn]])),610.5*EXP((21.875*COND_INTERSTICIAL[[#This Row],[ϴn]])/(265.5+COND_INTERSTICIAL[[#This Row],[ϴn]])))</f>
        <v>#N/A</v>
      </c>
      <c r="DF176" s="90" t="e" cm="1">
        <f t="array" aca="1" ref="DF176" ca="1">COND_INTERSTICIAL[[#This Row],[S''d]]*((INDEX(CLIMA[Pi],COND_INTERSTICIAL[[#This Row],[Mes]])-INDEX(CLIMA[Pe],COND_INTERSTICIAL[[#This Row],[Mes]]))/INDEX(SECCIONES[SdT],COND_INTERSTICIAL[[#This Row],[Sección]]))+INDEX(CLIMA[Pe],COND_INTERSTICIAL[[#This Row],[Mes]])</f>
        <v>#N/A</v>
      </c>
      <c r="DG176" s="108" t="e">
        <f ca="1">IF((COND_INTERSTICIAL[[#This Row],[Pn]]&gt;=COND_INTERSTICIAL[[#This Row],[Psat]]),TRUE,FALSE)</f>
        <v>#N/A</v>
      </c>
      <c r="DH176" s="109" t="e" cm="1">
        <f t="array" aca="1" ref="DH176" ca="1">IF(COND_INTERSTICIAL[[#This Row],[Condensa]],COND_INTERSTICIAL[[#This Row],[Psat]],IF(COND_INTERSTICIAL[[#This Row],[Capa]]=N_capas,COND_INTERSTICIAL[[#This Row],[Pn]],""))</f>
        <v>#N/A</v>
      </c>
      <c r="DI176" s="109" t="e">
        <f ca="1">COND_INTERSTICIAL[[#This Row],[Mes]]&amp;"-"&amp;COND_INTERSTICIAL[[#This Row],[Sección]]&amp;"-"&amp;COND_INTERSTICIAL[[#This Row],[tramo cond]]</f>
        <v>#N/A</v>
      </c>
      <c r="DJ176" t="e" cm="1">
        <f t="array" aca="1" ref="DJ176" ca="1">IF(COND_INTERSTICIAL[[#This Row],[Capa]]=1,IF(COND_INTERSTICIAL[[#This Row],[Condensa]],2,1),IF(COND_INTERSTICIAL[[#This Row],[Condensa]],1,0)+INDIRECT(ADDRESS(ROW()-1,COLUMN(),4)))</f>
        <v>#N/A</v>
      </c>
      <c r="DK176" s="108" t="e" cm="1">
        <f t="array" aca="1" ref="DK176" ca="1">IF(COND_INTERSTICIAL[[#This Row],[tramo cond]]=1,0,IF((COND_INTERSTICIAL[[#This Row],[tramo cond]]&gt;INDIRECT(ADDRESS(ROW()-1,COLUMN(COND_INTERSTICIAL[[#This Row],[tramo cond]]),4)))+COND_INTERSTICIAL[[#This Row],[Condensa]],COND_INTERSTICIAL[[#This Row],[Capa]],INDIRECT(ADDRESS(ROW()-1,COLUMN(),4))))</f>
        <v>#N/A</v>
      </c>
      <c r="DL176" s="108" t="e" cm="1">
        <f t="array" aca="1" ref="DL176" ca="1">IF((COND_INTERSTICIAL[[#This Row],[Capa]]=N_capas)+(COND_INTERSTICIAL[[#This Row],[tramo cond]]=COUNTIFS(COND_INTERSTICIAL[Condensa],TRUE,COND_INTERSTICIAL[Mes],CW176,COND_INTERSTICIAL[Sección],CX176)+1),N_capas,INDEX(COND_INTERSTICIAL[capa lím inf cond],MATCH(COND_INTERSTICIAL[[#This Row],[Mes]]&amp;"-"&amp;COND_INTERSTICIAL[[#This Row],[Sección]]&amp;"-"&amp;(COND_INTERSTICIAL[[#This Row],[tramo cond]]+1),COND_INTERSTICIAL[llave tramo cond],0)))</f>
        <v>#N/A</v>
      </c>
      <c r="DM176" s="108" cm="1">
        <f t="array" aca="1" ref="DM17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6" s="110" t="e" cm="1">
        <f t="array" aca="1" ref="DN17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6" s="107" t="e">
        <f ca="1">COND_INTERSTICIAL[[#This Row],[gc]]+COND_INTERSTICIAL[[#This Row],[Ma_anterior cond]]</f>
        <v>#N/A</v>
      </c>
      <c r="DQ176" s="113" t="e">
        <f ca="1">IF((COND_INTERSTICIAL[[#This Row],[Ma_anterior cond]]&gt;0)*NOT(COND_INTERSTICIAL[[#This Row],[Condensa]]),TRUE,FALSE)</f>
        <v>#N/A</v>
      </c>
      <c r="DR176" s="112" t="e" cm="1">
        <f t="array" aca="1" ref="DR176" ca="1">IF(COND_INTERSTICIAL[[#This Row],[evapora]],COND_INTERSTICIAL[[#This Row],[Psat]],IF(COND_INTERSTICIAL[[#This Row],[Capa]]=N_capas,COND_INTERSTICIAL[[#This Row],[Pn]],""))</f>
        <v>#N/A</v>
      </c>
      <c r="DS176" s="112" t="e">
        <f ca="1">COND_INTERSTICIAL[[#This Row],[Mes]]&amp;"-"&amp;COND_INTERSTICIAL[[#This Row],[Sección]]&amp;"-"&amp;COND_INTERSTICIAL[[#This Row],[tramo ev]]</f>
        <v>#N/A</v>
      </c>
      <c r="DT176" s="111" t="e" cm="1">
        <f t="array" aca="1" ref="DT176" ca="1">IF(COND_INTERSTICIAL[[#This Row],[Capa]]=1,IF(COND_INTERSTICIAL[[#This Row],[evapora]],2,1),IF(COND_INTERSTICIAL[[#This Row],[evapora]],1,0)+INDIRECT(ADDRESS(ROW()-1,COLUMN(),4)))</f>
        <v>#N/A</v>
      </c>
      <c r="DU176" s="111" t="e" cm="1">
        <f t="array" aca="1" ref="DU176" ca="1">IF(COND_INTERSTICIAL[[#This Row],[tramo ev]]=1,0,IF((COND_INTERSTICIAL[[#This Row],[tramo ev]]&gt;INDIRECT(ADDRESS(ROW()-1,COLUMN(COND_INTERSTICIAL[[#This Row],[tramo ev]]),4)))+COND_INTERSTICIAL[[#This Row],[evapora]],COND_INTERSTICIAL[[#This Row],[Capa]],INDIRECT(ADDRESS(ROW()-1,COLUMN(),4))))</f>
        <v>#N/A</v>
      </c>
      <c r="DV176" s="111" t="e" cm="1">
        <f t="array" aca="1" ref="DV176" ca="1">IF((COND_INTERSTICIAL[[#This Row],[Capa]]=N_capas)+(COND_INTERSTICIAL[[#This Row],[tramo ev]]=COUNTIFS(COND_INTERSTICIAL[evapora],TRUE,COND_INTERSTICIAL[Mes],CW176,COND_INTERSTICIAL[Sección],CX176)+1),N_capas,INDEX(COND_INTERSTICIAL[capa lím inf ev],MATCH(COND_INTERSTICIAL[[#This Row],[Mes]]&amp;"-"&amp;COND_INTERSTICIAL[[#This Row],[Sección]]&amp;"-"&amp;(COND_INTERSTICIAL[[#This Row],[tramo ev]]+1),COND_INTERSTICIAL[llave tramo ev],0)))</f>
        <v>#N/A</v>
      </c>
      <c r="DW176" s="111" cm="1">
        <f t="array" aca="1" ref="DW17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6" s="113" t="e" cm="1">
        <f t="array" aca="1" ref="DX17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6" s="113" t="e">
        <f ca="1">COND_INTERSTICIAL[[#This Row],[gev]]+COND_INTERSTICIAL[[#This Row],[Ma anterior ev]]</f>
        <v>#N/A</v>
      </c>
      <c r="EA176" s="115" t="e">
        <f ca="1">IF(COND_INTERSTICIAL[[#This Row],[Ma cond]]+COND_INTERSTICIAL[[#This Row],[Ma ev]]&lt;=0,0,COND_INTERSTICIAL[[#This Row],[Ma cond]]+COND_INTERSTICIAL[[#This Row],[Ma ev]])</f>
        <v>#N/A</v>
      </c>
      <c r="EB176" s="115" t="e">
        <f ca="1">IF(COND_INTERSTICIAL[[#This Row],[Ma]]&gt;0,TRUE,FALSE)</f>
        <v>#N/A</v>
      </c>
      <c r="EC176" s="115" t="e" cm="1">
        <f t="array" aca="1" ref="EC176" ca="1">IF(COND_INTERSTICIAL[[#This Row],[agua líquida]],IF(COND_INTERSTICIAL[[#This Row],[Condensa]],COND_INTERSTICIAL[[#This Row],[P límite cond]],COND_INTERSTICIAL[[#This Row],[P límite ev]]),IF(COND_INTERSTICIAL[[#This Row],[Capa]]=N_capas,COND_INTERSTICIAL[[#This Row],[Pn]],""))</f>
        <v>#N/A</v>
      </c>
      <c r="ED176" s="115" t="e">
        <f ca="1">COND_INTERSTICIAL[[#This Row],[Mes]]&amp;"-"&amp;COND_INTERSTICIAL[[#This Row],[Sección]]&amp;"-"&amp;COND_INTERSTICIAL[[#This Row],[tramo gráf]]</f>
        <v>#N/A</v>
      </c>
      <c r="EE176" s="114" t="e" cm="1">
        <f t="array" aca="1" ref="EE176" ca="1">IF(COND_INTERSTICIAL[[#This Row],[Capa]]=1,IF(COND_INTERSTICIAL[[#This Row],[agua líquida]],2,1),IF(COND_INTERSTICIAL[[#This Row],[agua líquida]],1,0)+INDIRECT(ADDRESS(ROW()-1,COLUMN(),4)))</f>
        <v>#N/A</v>
      </c>
      <c r="EF176" s="114" t="e" cm="1">
        <f t="array" aca="1" ref="EF176" ca="1">IF(COND_INTERSTICIAL[[#This Row],[tramo gráf]]=1,0,IF((COND_INTERSTICIAL[[#This Row],[tramo gráf]]&gt;INDIRECT(ADDRESS(ROW()-1,COLUMN(COND_INTERSTICIAL[[#This Row],[tramo gráf]]),4)))+COND_INTERSTICIAL[[#This Row],[agua líquida]],COND_INTERSTICIAL[[#This Row],[Capa]],INDIRECT(ADDRESS(ROW()-1,COLUMN(),4))))</f>
        <v>#N/A</v>
      </c>
      <c r="EG176" s="114" t="e" cm="1">
        <f t="array" aca="1" ref="EG176" ca="1">IF((COND_INTERSTICIAL[[#This Row],[Capa]]=N_capas)+(COND_INTERSTICIAL[[#This Row],[tramo gráf]]=COUNTIFS(COND_INTERSTICIAL[agua líquida],TRUE,COND_INTERSTICIAL[Mes],CW176,COND_INTERSTICIAL[Sección],CX176)+1),N_capas,INDEX(COND_INTERSTICIAL[capa lím inf gráf],MATCH(COND_INTERSTICIAL[[#This Row],[Mes]]&amp;"-"&amp;COND_INTERSTICIAL[[#This Row],[Sección]]&amp;"-"&amp;(COND_INTERSTICIAL[[#This Row],[tramo gráf]]+1),COND_INTERSTICIAL[llave tramo gráf],0)))</f>
        <v>#N/A</v>
      </c>
      <c r="EH176" s="114" cm="1">
        <f t="array" aca="1" ref="EH17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6" s="116" t="e" cm="1">
        <f t="array" aca="1" ref="EI17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7" spans="100:139" x14ac:dyDescent="0.45">
      <c r="CV177" s="90"/>
      <c r="CW177" s="1" cm="1">
        <f t="array" ref="CW177">ROUNDUP((ROW()-$CN$18+(Mes_inicial_de_análisis-1)*N_capas*N_secciones)/(N_capas*N_secciones),0)-12*IF(ROW()-$CN$18&gt;(12-Mes_inicial_de_análisis+1)*N_capas*N_secciones,1,0)</f>
        <v>6</v>
      </c>
      <c r="CX177" cm="1">
        <f t="array" ref="CX177">ROUNDUP((ROW()-$CN$18)/N_capas-(ROUNDUP((ROW()-$CN$18)/(N_capas*N_secciones),0)-1)*N_secciones,0)</f>
        <v>1</v>
      </c>
      <c r="CY177" cm="1">
        <f t="array" ref="CY177">(ROW()-$CN$18)-(COND_INTERSTICIAL[[#This Row],[Sección]]-1)*N_capas-(ROUNDUP((ROW()-$CN$18)/(N_capas*N_secciones),0)-1)*N_capas*N_secciones</f>
        <v>4</v>
      </c>
      <c r="CZ177" t="str">
        <f>COND_INTERSTICIAL[[#This Row],[Mes]]&amp;"-"&amp;COND_INTERSTICIAL[[#This Row],[Sección]]&amp;"-"&amp;COND_INTERSTICIAL[[#This Row],[Capa]]</f>
        <v>6-1-4</v>
      </c>
      <c r="DA177">
        <f ca="1">INDEX(SECCIONES_CAPAS[R''n],MATCH(COND_INTERSTICIAL[[#This Row],[Sección]]&amp;"-"&amp;COND_INTERSTICIAL[[#This Row],[Capa]],SECCIONES_CAPAS[llave],0))</f>
        <v>0.04</v>
      </c>
      <c r="DB177" s="172" t="e" cm="1">
        <f t="array" aca="1" ref="DB177" ca="1">INDEX(CLIMA[ϴe],COND_INTERSTICIAL[[#This Row],[Mes]])+COND_INTERSTICIAL[[#This Row],[Rn]]*(INDEX(CLIMA[ϴi],COND_INTERSTICIAL[[#This Row],[Mes]])-INDEX(CLIMA[ϴe],COND_INTERSTICIAL[[#This Row],[Mes]]))/(INDEX(SECCIONES[Rtsección_condensación],COND_INTERSTICIAL[[#This Row],[Sección]]))</f>
        <v>#N/A</v>
      </c>
      <c r="DC177">
        <f>INDEX(SECCIONES_CAPAS[Sd],MATCH(COND_INTERSTICIAL[[#This Row],[Sección]]&amp;"-"&amp;COND_INTERSTICIAL[[#This Row],[Capa]],SECCIONES_CAPAS[llave],0))</f>
        <v>0</v>
      </c>
      <c r="DD177">
        <f ca="1">INDEX(SECCIONES_CAPAS[S''d],MATCH(COND_INTERSTICIAL[[#This Row],[Sección]]&amp;"-"&amp;COND_INTERSTICIAL[[#This Row],[Capa]],SECCIONES_CAPAS[llave],0))</f>
        <v>0</v>
      </c>
      <c r="DE177" s="90" t="e">
        <f ca="1">IF(COND_INTERSTICIAL[[#This Row],[ϴn]]&gt;=0,610.5*EXP((17.269*COND_INTERSTICIAL[[#This Row],[ϴn]])/(237.3+COND_INTERSTICIAL[[#This Row],[ϴn]])),610.5*EXP((21.875*COND_INTERSTICIAL[[#This Row],[ϴn]])/(265.5+COND_INTERSTICIAL[[#This Row],[ϴn]])))</f>
        <v>#N/A</v>
      </c>
      <c r="DF177" s="90" t="e" cm="1">
        <f t="array" aca="1" ref="DF177" ca="1">COND_INTERSTICIAL[[#This Row],[S''d]]*((INDEX(CLIMA[Pi],COND_INTERSTICIAL[[#This Row],[Mes]])-INDEX(CLIMA[Pe],COND_INTERSTICIAL[[#This Row],[Mes]]))/INDEX(SECCIONES[SdT],COND_INTERSTICIAL[[#This Row],[Sección]]))+INDEX(CLIMA[Pe],COND_INTERSTICIAL[[#This Row],[Mes]])</f>
        <v>#N/A</v>
      </c>
      <c r="DG177" s="108" t="e">
        <f ca="1">IF((COND_INTERSTICIAL[[#This Row],[Pn]]&gt;=COND_INTERSTICIAL[[#This Row],[Psat]]),TRUE,FALSE)</f>
        <v>#N/A</v>
      </c>
      <c r="DH177" s="109" t="e" cm="1">
        <f t="array" aca="1" ref="DH177" ca="1">IF(COND_INTERSTICIAL[[#This Row],[Condensa]],COND_INTERSTICIAL[[#This Row],[Psat]],IF(COND_INTERSTICIAL[[#This Row],[Capa]]=N_capas,COND_INTERSTICIAL[[#This Row],[Pn]],""))</f>
        <v>#N/A</v>
      </c>
      <c r="DI177" s="109" t="e">
        <f ca="1">COND_INTERSTICIAL[[#This Row],[Mes]]&amp;"-"&amp;COND_INTERSTICIAL[[#This Row],[Sección]]&amp;"-"&amp;COND_INTERSTICIAL[[#This Row],[tramo cond]]</f>
        <v>#N/A</v>
      </c>
      <c r="DJ177" t="e" cm="1">
        <f t="array" aca="1" ref="DJ177" ca="1">IF(COND_INTERSTICIAL[[#This Row],[Capa]]=1,IF(COND_INTERSTICIAL[[#This Row],[Condensa]],2,1),IF(COND_INTERSTICIAL[[#This Row],[Condensa]],1,0)+INDIRECT(ADDRESS(ROW()-1,COLUMN(),4)))</f>
        <v>#N/A</v>
      </c>
      <c r="DK177" s="108" t="e" cm="1">
        <f t="array" aca="1" ref="DK177" ca="1">IF(COND_INTERSTICIAL[[#This Row],[tramo cond]]=1,0,IF((COND_INTERSTICIAL[[#This Row],[tramo cond]]&gt;INDIRECT(ADDRESS(ROW()-1,COLUMN(COND_INTERSTICIAL[[#This Row],[tramo cond]]),4)))+COND_INTERSTICIAL[[#This Row],[Condensa]],COND_INTERSTICIAL[[#This Row],[Capa]],INDIRECT(ADDRESS(ROW()-1,COLUMN(),4))))</f>
        <v>#N/A</v>
      </c>
      <c r="DL177" s="108" t="e" cm="1">
        <f t="array" aca="1" ref="DL177" ca="1">IF((COND_INTERSTICIAL[[#This Row],[Capa]]=N_capas)+(COND_INTERSTICIAL[[#This Row],[tramo cond]]=COUNTIFS(COND_INTERSTICIAL[Condensa],TRUE,COND_INTERSTICIAL[Mes],CW177,COND_INTERSTICIAL[Sección],CX177)+1),N_capas,INDEX(COND_INTERSTICIAL[capa lím inf cond],MATCH(COND_INTERSTICIAL[[#This Row],[Mes]]&amp;"-"&amp;COND_INTERSTICIAL[[#This Row],[Sección]]&amp;"-"&amp;(COND_INTERSTICIAL[[#This Row],[tramo cond]]+1),COND_INTERSTICIAL[llave tramo cond],0)))</f>
        <v>#N/A</v>
      </c>
      <c r="DM177" s="108" cm="1">
        <f t="array" aca="1" ref="DM17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7" s="110" t="e" cm="1">
        <f t="array" aca="1" ref="DN17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7" s="107" t="e">
        <f ca="1">COND_INTERSTICIAL[[#This Row],[gc]]+COND_INTERSTICIAL[[#This Row],[Ma_anterior cond]]</f>
        <v>#N/A</v>
      </c>
      <c r="DQ177" s="113" t="e">
        <f ca="1">IF((COND_INTERSTICIAL[[#This Row],[Ma_anterior cond]]&gt;0)*NOT(COND_INTERSTICIAL[[#This Row],[Condensa]]),TRUE,FALSE)</f>
        <v>#N/A</v>
      </c>
      <c r="DR177" s="112" t="e" cm="1">
        <f t="array" aca="1" ref="DR177" ca="1">IF(COND_INTERSTICIAL[[#This Row],[evapora]],COND_INTERSTICIAL[[#This Row],[Psat]],IF(COND_INTERSTICIAL[[#This Row],[Capa]]=N_capas,COND_INTERSTICIAL[[#This Row],[Pn]],""))</f>
        <v>#N/A</v>
      </c>
      <c r="DS177" s="112" t="e">
        <f ca="1">COND_INTERSTICIAL[[#This Row],[Mes]]&amp;"-"&amp;COND_INTERSTICIAL[[#This Row],[Sección]]&amp;"-"&amp;COND_INTERSTICIAL[[#This Row],[tramo ev]]</f>
        <v>#N/A</v>
      </c>
      <c r="DT177" s="111" t="e" cm="1">
        <f t="array" aca="1" ref="DT177" ca="1">IF(COND_INTERSTICIAL[[#This Row],[Capa]]=1,IF(COND_INTERSTICIAL[[#This Row],[evapora]],2,1),IF(COND_INTERSTICIAL[[#This Row],[evapora]],1,0)+INDIRECT(ADDRESS(ROW()-1,COLUMN(),4)))</f>
        <v>#N/A</v>
      </c>
      <c r="DU177" s="111" t="e" cm="1">
        <f t="array" aca="1" ref="DU177" ca="1">IF(COND_INTERSTICIAL[[#This Row],[tramo ev]]=1,0,IF((COND_INTERSTICIAL[[#This Row],[tramo ev]]&gt;INDIRECT(ADDRESS(ROW()-1,COLUMN(COND_INTERSTICIAL[[#This Row],[tramo ev]]),4)))+COND_INTERSTICIAL[[#This Row],[evapora]],COND_INTERSTICIAL[[#This Row],[Capa]],INDIRECT(ADDRESS(ROW()-1,COLUMN(),4))))</f>
        <v>#N/A</v>
      </c>
      <c r="DV177" s="111" t="e" cm="1">
        <f t="array" aca="1" ref="DV177" ca="1">IF((COND_INTERSTICIAL[[#This Row],[Capa]]=N_capas)+(COND_INTERSTICIAL[[#This Row],[tramo ev]]=COUNTIFS(COND_INTERSTICIAL[evapora],TRUE,COND_INTERSTICIAL[Mes],CW177,COND_INTERSTICIAL[Sección],CX177)+1),N_capas,INDEX(COND_INTERSTICIAL[capa lím inf ev],MATCH(COND_INTERSTICIAL[[#This Row],[Mes]]&amp;"-"&amp;COND_INTERSTICIAL[[#This Row],[Sección]]&amp;"-"&amp;(COND_INTERSTICIAL[[#This Row],[tramo ev]]+1),COND_INTERSTICIAL[llave tramo ev],0)))</f>
        <v>#N/A</v>
      </c>
      <c r="DW177" s="111" cm="1">
        <f t="array" aca="1" ref="DW17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7" s="113" t="e" cm="1">
        <f t="array" aca="1" ref="DX17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7" s="113" t="e">
        <f ca="1">COND_INTERSTICIAL[[#This Row],[gev]]+COND_INTERSTICIAL[[#This Row],[Ma anterior ev]]</f>
        <v>#N/A</v>
      </c>
      <c r="EA177" s="115" t="e">
        <f ca="1">IF(COND_INTERSTICIAL[[#This Row],[Ma cond]]+COND_INTERSTICIAL[[#This Row],[Ma ev]]&lt;=0,0,COND_INTERSTICIAL[[#This Row],[Ma cond]]+COND_INTERSTICIAL[[#This Row],[Ma ev]])</f>
        <v>#N/A</v>
      </c>
      <c r="EB177" s="115" t="e">
        <f ca="1">IF(COND_INTERSTICIAL[[#This Row],[Ma]]&gt;0,TRUE,FALSE)</f>
        <v>#N/A</v>
      </c>
      <c r="EC177" s="115" t="e" cm="1">
        <f t="array" aca="1" ref="EC177" ca="1">IF(COND_INTERSTICIAL[[#This Row],[agua líquida]],IF(COND_INTERSTICIAL[[#This Row],[Condensa]],COND_INTERSTICIAL[[#This Row],[P límite cond]],COND_INTERSTICIAL[[#This Row],[P límite ev]]),IF(COND_INTERSTICIAL[[#This Row],[Capa]]=N_capas,COND_INTERSTICIAL[[#This Row],[Pn]],""))</f>
        <v>#N/A</v>
      </c>
      <c r="ED177" s="115" t="e">
        <f ca="1">COND_INTERSTICIAL[[#This Row],[Mes]]&amp;"-"&amp;COND_INTERSTICIAL[[#This Row],[Sección]]&amp;"-"&amp;COND_INTERSTICIAL[[#This Row],[tramo gráf]]</f>
        <v>#N/A</v>
      </c>
      <c r="EE177" s="114" t="e" cm="1">
        <f t="array" aca="1" ref="EE177" ca="1">IF(COND_INTERSTICIAL[[#This Row],[Capa]]=1,IF(COND_INTERSTICIAL[[#This Row],[agua líquida]],2,1),IF(COND_INTERSTICIAL[[#This Row],[agua líquida]],1,0)+INDIRECT(ADDRESS(ROW()-1,COLUMN(),4)))</f>
        <v>#N/A</v>
      </c>
      <c r="EF177" s="114" t="e" cm="1">
        <f t="array" aca="1" ref="EF177" ca="1">IF(COND_INTERSTICIAL[[#This Row],[tramo gráf]]=1,0,IF((COND_INTERSTICIAL[[#This Row],[tramo gráf]]&gt;INDIRECT(ADDRESS(ROW()-1,COLUMN(COND_INTERSTICIAL[[#This Row],[tramo gráf]]),4)))+COND_INTERSTICIAL[[#This Row],[agua líquida]],COND_INTERSTICIAL[[#This Row],[Capa]],INDIRECT(ADDRESS(ROW()-1,COLUMN(),4))))</f>
        <v>#N/A</v>
      </c>
      <c r="EG177" s="114" t="e" cm="1">
        <f t="array" aca="1" ref="EG177" ca="1">IF((COND_INTERSTICIAL[[#This Row],[Capa]]=N_capas)+(COND_INTERSTICIAL[[#This Row],[tramo gráf]]=COUNTIFS(COND_INTERSTICIAL[agua líquida],TRUE,COND_INTERSTICIAL[Mes],CW177,COND_INTERSTICIAL[Sección],CX177)+1),N_capas,INDEX(COND_INTERSTICIAL[capa lím inf gráf],MATCH(COND_INTERSTICIAL[[#This Row],[Mes]]&amp;"-"&amp;COND_INTERSTICIAL[[#This Row],[Sección]]&amp;"-"&amp;(COND_INTERSTICIAL[[#This Row],[tramo gráf]]+1),COND_INTERSTICIAL[llave tramo gráf],0)))</f>
        <v>#N/A</v>
      </c>
      <c r="EH177" s="114" cm="1">
        <f t="array" aca="1" ref="EH17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7" s="116" t="e" cm="1">
        <f t="array" aca="1" ref="EI17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8" spans="100:139" x14ac:dyDescent="0.45">
      <c r="CV178" s="90"/>
      <c r="CW178" s="1" cm="1">
        <f t="array" ref="CW178">ROUNDUP((ROW()-$CN$18+(Mes_inicial_de_análisis-1)*N_capas*N_secciones)/(N_capas*N_secciones),0)-12*IF(ROW()-$CN$18&gt;(12-Mes_inicial_de_análisis+1)*N_capas*N_secciones,1,0)</f>
        <v>6</v>
      </c>
      <c r="CX178" cm="1">
        <f t="array" ref="CX178">ROUNDUP((ROW()-$CN$18)/N_capas-(ROUNDUP((ROW()-$CN$18)/(N_capas*N_secciones),0)-1)*N_secciones,0)</f>
        <v>1</v>
      </c>
      <c r="CY178" cm="1">
        <f t="array" ref="CY178">(ROW()-$CN$18)-(COND_INTERSTICIAL[[#This Row],[Sección]]-1)*N_capas-(ROUNDUP((ROW()-$CN$18)/(N_capas*N_secciones),0)-1)*N_capas*N_secciones</f>
        <v>5</v>
      </c>
      <c r="CZ178" t="str">
        <f>COND_INTERSTICIAL[[#This Row],[Mes]]&amp;"-"&amp;COND_INTERSTICIAL[[#This Row],[Sección]]&amp;"-"&amp;COND_INTERSTICIAL[[#This Row],[Capa]]</f>
        <v>6-1-5</v>
      </c>
      <c r="DA178">
        <f ca="1">INDEX(SECCIONES_CAPAS[R''n],MATCH(COND_INTERSTICIAL[[#This Row],[Sección]]&amp;"-"&amp;COND_INTERSTICIAL[[#This Row],[Capa]],SECCIONES_CAPAS[llave],0))</f>
        <v>0.04</v>
      </c>
      <c r="DB178" s="172" t="e" cm="1">
        <f t="array" aca="1" ref="DB178" ca="1">INDEX(CLIMA[ϴe],COND_INTERSTICIAL[[#This Row],[Mes]])+COND_INTERSTICIAL[[#This Row],[Rn]]*(INDEX(CLIMA[ϴi],COND_INTERSTICIAL[[#This Row],[Mes]])-INDEX(CLIMA[ϴe],COND_INTERSTICIAL[[#This Row],[Mes]]))/(INDEX(SECCIONES[Rtsección_condensación],COND_INTERSTICIAL[[#This Row],[Sección]]))</f>
        <v>#N/A</v>
      </c>
      <c r="DC178">
        <f>INDEX(SECCIONES_CAPAS[Sd],MATCH(COND_INTERSTICIAL[[#This Row],[Sección]]&amp;"-"&amp;COND_INTERSTICIAL[[#This Row],[Capa]],SECCIONES_CAPAS[llave],0))</f>
        <v>0</v>
      </c>
      <c r="DD178">
        <f ca="1">INDEX(SECCIONES_CAPAS[S''d],MATCH(COND_INTERSTICIAL[[#This Row],[Sección]]&amp;"-"&amp;COND_INTERSTICIAL[[#This Row],[Capa]],SECCIONES_CAPAS[llave],0))</f>
        <v>0</v>
      </c>
      <c r="DE178" s="90" t="e">
        <f ca="1">IF(COND_INTERSTICIAL[[#This Row],[ϴn]]&gt;=0,610.5*EXP((17.269*COND_INTERSTICIAL[[#This Row],[ϴn]])/(237.3+COND_INTERSTICIAL[[#This Row],[ϴn]])),610.5*EXP((21.875*COND_INTERSTICIAL[[#This Row],[ϴn]])/(265.5+COND_INTERSTICIAL[[#This Row],[ϴn]])))</f>
        <v>#N/A</v>
      </c>
      <c r="DF178" s="90" t="e" cm="1">
        <f t="array" aca="1" ref="DF178" ca="1">COND_INTERSTICIAL[[#This Row],[S''d]]*((INDEX(CLIMA[Pi],COND_INTERSTICIAL[[#This Row],[Mes]])-INDEX(CLIMA[Pe],COND_INTERSTICIAL[[#This Row],[Mes]]))/INDEX(SECCIONES[SdT],COND_INTERSTICIAL[[#This Row],[Sección]]))+INDEX(CLIMA[Pe],COND_INTERSTICIAL[[#This Row],[Mes]])</f>
        <v>#N/A</v>
      </c>
      <c r="DG178" s="108" t="e">
        <f ca="1">IF((COND_INTERSTICIAL[[#This Row],[Pn]]&gt;=COND_INTERSTICIAL[[#This Row],[Psat]]),TRUE,FALSE)</f>
        <v>#N/A</v>
      </c>
      <c r="DH178" s="109" t="e" cm="1">
        <f t="array" aca="1" ref="DH178" ca="1">IF(COND_INTERSTICIAL[[#This Row],[Condensa]],COND_INTERSTICIAL[[#This Row],[Psat]],IF(COND_INTERSTICIAL[[#This Row],[Capa]]=N_capas,COND_INTERSTICIAL[[#This Row],[Pn]],""))</f>
        <v>#N/A</v>
      </c>
      <c r="DI178" s="109" t="e">
        <f ca="1">COND_INTERSTICIAL[[#This Row],[Mes]]&amp;"-"&amp;COND_INTERSTICIAL[[#This Row],[Sección]]&amp;"-"&amp;COND_INTERSTICIAL[[#This Row],[tramo cond]]</f>
        <v>#N/A</v>
      </c>
      <c r="DJ178" t="e" cm="1">
        <f t="array" aca="1" ref="DJ178" ca="1">IF(COND_INTERSTICIAL[[#This Row],[Capa]]=1,IF(COND_INTERSTICIAL[[#This Row],[Condensa]],2,1),IF(COND_INTERSTICIAL[[#This Row],[Condensa]],1,0)+INDIRECT(ADDRESS(ROW()-1,COLUMN(),4)))</f>
        <v>#N/A</v>
      </c>
      <c r="DK178" s="108" t="e" cm="1">
        <f t="array" aca="1" ref="DK178" ca="1">IF(COND_INTERSTICIAL[[#This Row],[tramo cond]]=1,0,IF((COND_INTERSTICIAL[[#This Row],[tramo cond]]&gt;INDIRECT(ADDRESS(ROW()-1,COLUMN(COND_INTERSTICIAL[[#This Row],[tramo cond]]),4)))+COND_INTERSTICIAL[[#This Row],[Condensa]],COND_INTERSTICIAL[[#This Row],[Capa]],INDIRECT(ADDRESS(ROW()-1,COLUMN(),4))))</f>
        <v>#N/A</v>
      </c>
      <c r="DL178" s="108" t="e" cm="1">
        <f t="array" aca="1" ref="DL178" ca="1">IF((COND_INTERSTICIAL[[#This Row],[Capa]]=N_capas)+(COND_INTERSTICIAL[[#This Row],[tramo cond]]=COUNTIFS(COND_INTERSTICIAL[Condensa],TRUE,COND_INTERSTICIAL[Mes],CW178,COND_INTERSTICIAL[Sección],CX178)+1),N_capas,INDEX(COND_INTERSTICIAL[capa lím inf cond],MATCH(COND_INTERSTICIAL[[#This Row],[Mes]]&amp;"-"&amp;COND_INTERSTICIAL[[#This Row],[Sección]]&amp;"-"&amp;(COND_INTERSTICIAL[[#This Row],[tramo cond]]+1),COND_INTERSTICIAL[llave tramo cond],0)))</f>
        <v>#N/A</v>
      </c>
      <c r="DM178" s="108" cm="1">
        <f t="array" aca="1" ref="DM17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8" s="110" t="e" cm="1">
        <f t="array" aca="1" ref="DN17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8" s="107" t="e">
        <f ca="1">COND_INTERSTICIAL[[#This Row],[gc]]+COND_INTERSTICIAL[[#This Row],[Ma_anterior cond]]</f>
        <v>#N/A</v>
      </c>
      <c r="DQ178" s="113" t="e">
        <f ca="1">IF((COND_INTERSTICIAL[[#This Row],[Ma_anterior cond]]&gt;0)*NOT(COND_INTERSTICIAL[[#This Row],[Condensa]]),TRUE,FALSE)</f>
        <v>#N/A</v>
      </c>
      <c r="DR178" s="112" t="e" cm="1">
        <f t="array" aca="1" ref="DR178" ca="1">IF(COND_INTERSTICIAL[[#This Row],[evapora]],COND_INTERSTICIAL[[#This Row],[Psat]],IF(COND_INTERSTICIAL[[#This Row],[Capa]]=N_capas,COND_INTERSTICIAL[[#This Row],[Pn]],""))</f>
        <v>#N/A</v>
      </c>
      <c r="DS178" s="112" t="e">
        <f ca="1">COND_INTERSTICIAL[[#This Row],[Mes]]&amp;"-"&amp;COND_INTERSTICIAL[[#This Row],[Sección]]&amp;"-"&amp;COND_INTERSTICIAL[[#This Row],[tramo ev]]</f>
        <v>#N/A</v>
      </c>
      <c r="DT178" s="111" t="e" cm="1">
        <f t="array" aca="1" ref="DT178" ca="1">IF(COND_INTERSTICIAL[[#This Row],[Capa]]=1,IF(COND_INTERSTICIAL[[#This Row],[evapora]],2,1),IF(COND_INTERSTICIAL[[#This Row],[evapora]],1,0)+INDIRECT(ADDRESS(ROW()-1,COLUMN(),4)))</f>
        <v>#N/A</v>
      </c>
      <c r="DU178" s="111" t="e" cm="1">
        <f t="array" aca="1" ref="DU178" ca="1">IF(COND_INTERSTICIAL[[#This Row],[tramo ev]]=1,0,IF((COND_INTERSTICIAL[[#This Row],[tramo ev]]&gt;INDIRECT(ADDRESS(ROW()-1,COLUMN(COND_INTERSTICIAL[[#This Row],[tramo ev]]),4)))+COND_INTERSTICIAL[[#This Row],[evapora]],COND_INTERSTICIAL[[#This Row],[Capa]],INDIRECT(ADDRESS(ROW()-1,COLUMN(),4))))</f>
        <v>#N/A</v>
      </c>
      <c r="DV178" s="111" t="e" cm="1">
        <f t="array" aca="1" ref="DV178" ca="1">IF((COND_INTERSTICIAL[[#This Row],[Capa]]=N_capas)+(COND_INTERSTICIAL[[#This Row],[tramo ev]]=COUNTIFS(COND_INTERSTICIAL[evapora],TRUE,COND_INTERSTICIAL[Mes],CW178,COND_INTERSTICIAL[Sección],CX178)+1),N_capas,INDEX(COND_INTERSTICIAL[capa lím inf ev],MATCH(COND_INTERSTICIAL[[#This Row],[Mes]]&amp;"-"&amp;COND_INTERSTICIAL[[#This Row],[Sección]]&amp;"-"&amp;(COND_INTERSTICIAL[[#This Row],[tramo ev]]+1),COND_INTERSTICIAL[llave tramo ev],0)))</f>
        <v>#N/A</v>
      </c>
      <c r="DW178" s="111" cm="1">
        <f t="array" aca="1" ref="DW17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8" s="113" t="e" cm="1">
        <f t="array" aca="1" ref="DX17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8" s="113" t="e">
        <f ca="1">COND_INTERSTICIAL[[#This Row],[gev]]+COND_INTERSTICIAL[[#This Row],[Ma anterior ev]]</f>
        <v>#N/A</v>
      </c>
      <c r="EA178" s="115" t="e">
        <f ca="1">IF(COND_INTERSTICIAL[[#This Row],[Ma cond]]+COND_INTERSTICIAL[[#This Row],[Ma ev]]&lt;=0,0,COND_INTERSTICIAL[[#This Row],[Ma cond]]+COND_INTERSTICIAL[[#This Row],[Ma ev]])</f>
        <v>#N/A</v>
      </c>
      <c r="EB178" s="115" t="e">
        <f ca="1">IF(COND_INTERSTICIAL[[#This Row],[Ma]]&gt;0,TRUE,FALSE)</f>
        <v>#N/A</v>
      </c>
      <c r="EC178" s="115" t="e" cm="1">
        <f t="array" aca="1" ref="EC178" ca="1">IF(COND_INTERSTICIAL[[#This Row],[agua líquida]],IF(COND_INTERSTICIAL[[#This Row],[Condensa]],COND_INTERSTICIAL[[#This Row],[P límite cond]],COND_INTERSTICIAL[[#This Row],[P límite ev]]),IF(COND_INTERSTICIAL[[#This Row],[Capa]]=N_capas,COND_INTERSTICIAL[[#This Row],[Pn]],""))</f>
        <v>#N/A</v>
      </c>
      <c r="ED178" s="115" t="e">
        <f ca="1">COND_INTERSTICIAL[[#This Row],[Mes]]&amp;"-"&amp;COND_INTERSTICIAL[[#This Row],[Sección]]&amp;"-"&amp;COND_INTERSTICIAL[[#This Row],[tramo gráf]]</f>
        <v>#N/A</v>
      </c>
      <c r="EE178" s="114" t="e" cm="1">
        <f t="array" aca="1" ref="EE178" ca="1">IF(COND_INTERSTICIAL[[#This Row],[Capa]]=1,IF(COND_INTERSTICIAL[[#This Row],[agua líquida]],2,1),IF(COND_INTERSTICIAL[[#This Row],[agua líquida]],1,0)+INDIRECT(ADDRESS(ROW()-1,COLUMN(),4)))</f>
        <v>#N/A</v>
      </c>
      <c r="EF178" s="114" t="e" cm="1">
        <f t="array" aca="1" ref="EF178" ca="1">IF(COND_INTERSTICIAL[[#This Row],[tramo gráf]]=1,0,IF((COND_INTERSTICIAL[[#This Row],[tramo gráf]]&gt;INDIRECT(ADDRESS(ROW()-1,COLUMN(COND_INTERSTICIAL[[#This Row],[tramo gráf]]),4)))+COND_INTERSTICIAL[[#This Row],[agua líquida]],COND_INTERSTICIAL[[#This Row],[Capa]],INDIRECT(ADDRESS(ROW()-1,COLUMN(),4))))</f>
        <v>#N/A</v>
      </c>
      <c r="EG178" s="114" t="e" cm="1">
        <f t="array" aca="1" ref="EG178" ca="1">IF((COND_INTERSTICIAL[[#This Row],[Capa]]=N_capas)+(COND_INTERSTICIAL[[#This Row],[tramo gráf]]=COUNTIFS(COND_INTERSTICIAL[agua líquida],TRUE,COND_INTERSTICIAL[Mes],CW178,COND_INTERSTICIAL[Sección],CX178)+1),N_capas,INDEX(COND_INTERSTICIAL[capa lím inf gráf],MATCH(COND_INTERSTICIAL[[#This Row],[Mes]]&amp;"-"&amp;COND_INTERSTICIAL[[#This Row],[Sección]]&amp;"-"&amp;(COND_INTERSTICIAL[[#This Row],[tramo gráf]]+1),COND_INTERSTICIAL[llave tramo gráf],0)))</f>
        <v>#N/A</v>
      </c>
      <c r="EH178" s="114" cm="1">
        <f t="array" aca="1" ref="EH17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8" s="116" t="e" cm="1">
        <f t="array" aca="1" ref="EI17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9" spans="100:139" x14ac:dyDescent="0.45">
      <c r="CV179" s="90"/>
      <c r="CW179" s="1" cm="1">
        <f t="array" ref="CW179">ROUNDUP((ROW()-$CN$18+(Mes_inicial_de_análisis-1)*N_capas*N_secciones)/(N_capas*N_secciones),0)-12*IF(ROW()-$CN$18&gt;(12-Mes_inicial_de_análisis+1)*N_capas*N_secciones,1,0)</f>
        <v>6</v>
      </c>
      <c r="CX179" cm="1">
        <f t="array" ref="CX179">ROUNDUP((ROW()-$CN$18)/N_capas-(ROUNDUP((ROW()-$CN$18)/(N_capas*N_secciones),0)-1)*N_secciones,0)</f>
        <v>1</v>
      </c>
      <c r="CY179" cm="1">
        <f t="array" ref="CY179">(ROW()-$CN$18)-(COND_INTERSTICIAL[[#This Row],[Sección]]-1)*N_capas-(ROUNDUP((ROW()-$CN$18)/(N_capas*N_secciones),0)-1)*N_capas*N_secciones</f>
        <v>6</v>
      </c>
      <c r="CZ179" t="str">
        <f>COND_INTERSTICIAL[[#This Row],[Mes]]&amp;"-"&amp;COND_INTERSTICIAL[[#This Row],[Sección]]&amp;"-"&amp;COND_INTERSTICIAL[[#This Row],[Capa]]</f>
        <v>6-1-6</v>
      </c>
      <c r="DA179">
        <f ca="1">INDEX(SECCIONES_CAPAS[R''n],MATCH(COND_INTERSTICIAL[[#This Row],[Sección]]&amp;"-"&amp;COND_INTERSTICIAL[[#This Row],[Capa]],SECCIONES_CAPAS[llave],0))</f>
        <v>0.04</v>
      </c>
      <c r="DB179" s="172" t="e" cm="1">
        <f t="array" aca="1" ref="DB179" ca="1">INDEX(CLIMA[ϴe],COND_INTERSTICIAL[[#This Row],[Mes]])+COND_INTERSTICIAL[[#This Row],[Rn]]*(INDEX(CLIMA[ϴi],COND_INTERSTICIAL[[#This Row],[Mes]])-INDEX(CLIMA[ϴe],COND_INTERSTICIAL[[#This Row],[Mes]]))/(INDEX(SECCIONES[Rtsección_condensación],COND_INTERSTICIAL[[#This Row],[Sección]]))</f>
        <v>#N/A</v>
      </c>
      <c r="DC179">
        <f>INDEX(SECCIONES_CAPAS[Sd],MATCH(COND_INTERSTICIAL[[#This Row],[Sección]]&amp;"-"&amp;COND_INTERSTICIAL[[#This Row],[Capa]],SECCIONES_CAPAS[llave],0))</f>
        <v>0</v>
      </c>
      <c r="DD179">
        <f ca="1">INDEX(SECCIONES_CAPAS[S''d],MATCH(COND_INTERSTICIAL[[#This Row],[Sección]]&amp;"-"&amp;COND_INTERSTICIAL[[#This Row],[Capa]],SECCIONES_CAPAS[llave],0))</f>
        <v>0</v>
      </c>
      <c r="DE179" s="90" t="e">
        <f ca="1">IF(COND_INTERSTICIAL[[#This Row],[ϴn]]&gt;=0,610.5*EXP((17.269*COND_INTERSTICIAL[[#This Row],[ϴn]])/(237.3+COND_INTERSTICIAL[[#This Row],[ϴn]])),610.5*EXP((21.875*COND_INTERSTICIAL[[#This Row],[ϴn]])/(265.5+COND_INTERSTICIAL[[#This Row],[ϴn]])))</f>
        <v>#N/A</v>
      </c>
      <c r="DF179" s="90" t="e" cm="1">
        <f t="array" aca="1" ref="DF179" ca="1">COND_INTERSTICIAL[[#This Row],[S''d]]*((INDEX(CLIMA[Pi],COND_INTERSTICIAL[[#This Row],[Mes]])-INDEX(CLIMA[Pe],COND_INTERSTICIAL[[#This Row],[Mes]]))/INDEX(SECCIONES[SdT],COND_INTERSTICIAL[[#This Row],[Sección]]))+INDEX(CLIMA[Pe],COND_INTERSTICIAL[[#This Row],[Mes]])</f>
        <v>#N/A</v>
      </c>
      <c r="DG179" s="108" t="e">
        <f ca="1">IF((COND_INTERSTICIAL[[#This Row],[Pn]]&gt;=COND_INTERSTICIAL[[#This Row],[Psat]]),TRUE,FALSE)</f>
        <v>#N/A</v>
      </c>
      <c r="DH179" s="109" t="e" cm="1">
        <f t="array" aca="1" ref="DH179" ca="1">IF(COND_INTERSTICIAL[[#This Row],[Condensa]],COND_INTERSTICIAL[[#This Row],[Psat]],IF(COND_INTERSTICIAL[[#This Row],[Capa]]=N_capas,COND_INTERSTICIAL[[#This Row],[Pn]],""))</f>
        <v>#N/A</v>
      </c>
      <c r="DI179" s="109" t="e">
        <f ca="1">COND_INTERSTICIAL[[#This Row],[Mes]]&amp;"-"&amp;COND_INTERSTICIAL[[#This Row],[Sección]]&amp;"-"&amp;COND_INTERSTICIAL[[#This Row],[tramo cond]]</f>
        <v>#N/A</v>
      </c>
      <c r="DJ179" t="e" cm="1">
        <f t="array" aca="1" ref="DJ179" ca="1">IF(COND_INTERSTICIAL[[#This Row],[Capa]]=1,IF(COND_INTERSTICIAL[[#This Row],[Condensa]],2,1),IF(COND_INTERSTICIAL[[#This Row],[Condensa]],1,0)+INDIRECT(ADDRESS(ROW()-1,COLUMN(),4)))</f>
        <v>#N/A</v>
      </c>
      <c r="DK179" s="108" t="e" cm="1">
        <f t="array" aca="1" ref="DK179" ca="1">IF(COND_INTERSTICIAL[[#This Row],[tramo cond]]=1,0,IF((COND_INTERSTICIAL[[#This Row],[tramo cond]]&gt;INDIRECT(ADDRESS(ROW()-1,COLUMN(COND_INTERSTICIAL[[#This Row],[tramo cond]]),4)))+COND_INTERSTICIAL[[#This Row],[Condensa]],COND_INTERSTICIAL[[#This Row],[Capa]],INDIRECT(ADDRESS(ROW()-1,COLUMN(),4))))</f>
        <v>#N/A</v>
      </c>
      <c r="DL179" s="108" t="e" cm="1">
        <f t="array" aca="1" ref="DL179" ca="1">IF((COND_INTERSTICIAL[[#This Row],[Capa]]=N_capas)+(COND_INTERSTICIAL[[#This Row],[tramo cond]]=COUNTIFS(COND_INTERSTICIAL[Condensa],TRUE,COND_INTERSTICIAL[Mes],CW179,COND_INTERSTICIAL[Sección],CX179)+1),N_capas,INDEX(COND_INTERSTICIAL[capa lím inf cond],MATCH(COND_INTERSTICIAL[[#This Row],[Mes]]&amp;"-"&amp;COND_INTERSTICIAL[[#This Row],[Sección]]&amp;"-"&amp;(COND_INTERSTICIAL[[#This Row],[tramo cond]]+1),COND_INTERSTICIAL[llave tramo cond],0)))</f>
        <v>#N/A</v>
      </c>
      <c r="DM179" s="108" cm="1">
        <f t="array" aca="1" ref="DM17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9" s="110" t="e" cm="1">
        <f t="array" aca="1" ref="DN17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9" s="107" t="e">
        <f ca="1">COND_INTERSTICIAL[[#This Row],[gc]]+COND_INTERSTICIAL[[#This Row],[Ma_anterior cond]]</f>
        <v>#N/A</v>
      </c>
      <c r="DQ179" s="113" t="e">
        <f ca="1">IF((COND_INTERSTICIAL[[#This Row],[Ma_anterior cond]]&gt;0)*NOT(COND_INTERSTICIAL[[#This Row],[Condensa]]),TRUE,FALSE)</f>
        <v>#N/A</v>
      </c>
      <c r="DR179" s="112" t="e" cm="1">
        <f t="array" aca="1" ref="DR179" ca="1">IF(COND_INTERSTICIAL[[#This Row],[evapora]],COND_INTERSTICIAL[[#This Row],[Psat]],IF(COND_INTERSTICIAL[[#This Row],[Capa]]=N_capas,COND_INTERSTICIAL[[#This Row],[Pn]],""))</f>
        <v>#N/A</v>
      </c>
      <c r="DS179" s="112" t="e">
        <f ca="1">COND_INTERSTICIAL[[#This Row],[Mes]]&amp;"-"&amp;COND_INTERSTICIAL[[#This Row],[Sección]]&amp;"-"&amp;COND_INTERSTICIAL[[#This Row],[tramo ev]]</f>
        <v>#N/A</v>
      </c>
      <c r="DT179" s="111" t="e" cm="1">
        <f t="array" aca="1" ref="DT179" ca="1">IF(COND_INTERSTICIAL[[#This Row],[Capa]]=1,IF(COND_INTERSTICIAL[[#This Row],[evapora]],2,1),IF(COND_INTERSTICIAL[[#This Row],[evapora]],1,0)+INDIRECT(ADDRESS(ROW()-1,COLUMN(),4)))</f>
        <v>#N/A</v>
      </c>
      <c r="DU179" s="111" t="e" cm="1">
        <f t="array" aca="1" ref="DU179" ca="1">IF(COND_INTERSTICIAL[[#This Row],[tramo ev]]=1,0,IF((COND_INTERSTICIAL[[#This Row],[tramo ev]]&gt;INDIRECT(ADDRESS(ROW()-1,COLUMN(COND_INTERSTICIAL[[#This Row],[tramo ev]]),4)))+COND_INTERSTICIAL[[#This Row],[evapora]],COND_INTERSTICIAL[[#This Row],[Capa]],INDIRECT(ADDRESS(ROW()-1,COLUMN(),4))))</f>
        <v>#N/A</v>
      </c>
      <c r="DV179" s="111" t="e" cm="1">
        <f t="array" aca="1" ref="DV179" ca="1">IF((COND_INTERSTICIAL[[#This Row],[Capa]]=N_capas)+(COND_INTERSTICIAL[[#This Row],[tramo ev]]=COUNTIFS(COND_INTERSTICIAL[evapora],TRUE,COND_INTERSTICIAL[Mes],CW179,COND_INTERSTICIAL[Sección],CX179)+1),N_capas,INDEX(COND_INTERSTICIAL[capa lím inf ev],MATCH(COND_INTERSTICIAL[[#This Row],[Mes]]&amp;"-"&amp;COND_INTERSTICIAL[[#This Row],[Sección]]&amp;"-"&amp;(COND_INTERSTICIAL[[#This Row],[tramo ev]]+1),COND_INTERSTICIAL[llave tramo ev],0)))</f>
        <v>#N/A</v>
      </c>
      <c r="DW179" s="111" cm="1">
        <f t="array" aca="1" ref="DW17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9" s="113" t="e" cm="1">
        <f t="array" aca="1" ref="DX17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9" s="113" t="e">
        <f ca="1">COND_INTERSTICIAL[[#This Row],[gev]]+COND_INTERSTICIAL[[#This Row],[Ma anterior ev]]</f>
        <v>#N/A</v>
      </c>
      <c r="EA179" s="115" t="e">
        <f ca="1">IF(COND_INTERSTICIAL[[#This Row],[Ma cond]]+COND_INTERSTICIAL[[#This Row],[Ma ev]]&lt;=0,0,COND_INTERSTICIAL[[#This Row],[Ma cond]]+COND_INTERSTICIAL[[#This Row],[Ma ev]])</f>
        <v>#N/A</v>
      </c>
      <c r="EB179" s="115" t="e">
        <f ca="1">IF(COND_INTERSTICIAL[[#This Row],[Ma]]&gt;0,TRUE,FALSE)</f>
        <v>#N/A</v>
      </c>
      <c r="EC179" s="115" t="e" cm="1">
        <f t="array" aca="1" ref="EC179" ca="1">IF(COND_INTERSTICIAL[[#This Row],[agua líquida]],IF(COND_INTERSTICIAL[[#This Row],[Condensa]],COND_INTERSTICIAL[[#This Row],[P límite cond]],COND_INTERSTICIAL[[#This Row],[P límite ev]]),IF(COND_INTERSTICIAL[[#This Row],[Capa]]=N_capas,COND_INTERSTICIAL[[#This Row],[Pn]],""))</f>
        <v>#N/A</v>
      </c>
      <c r="ED179" s="115" t="e">
        <f ca="1">COND_INTERSTICIAL[[#This Row],[Mes]]&amp;"-"&amp;COND_INTERSTICIAL[[#This Row],[Sección]]&amp;"-"&amp;COND_INTERSTICIAL[[#This Row],[tramo gráf]]</f>
        <v>#N/A</v>
      </c>
      <c r="EE179" s="114" t="e" cm="1">
        <f t="array" aca="1" ref="EE179" ca="1">IF(COND_INTERSTICIAL[[#This Row],[Capa]]=1,IF(COND_INTERSTICIAL[[#This Row],[agua líquida]],2,1),IF(COND_INTERSTICIAL[[#This Row],[agua líquida]],1,0)+INDIRECT(ADDRESS(ROW()-1,COLUMN(),4)))</f>
        <v>#N/A</v>
      </c>
      <c r="EF179" s="114" t="e" cm="1">
        <f t="array" aca="1" ref="EF179" ca="1">IF(COND_INTERSTICIAL[[#This Row],[tramo gráf]]=1,0,IF((COND_INTERSTICIAL[[#This Row],[tramo gráf]]&gt;INDIRECT(ADDRESS(ROW()-1,COLUMN(COND_INTERSTICIAL[[#This Row],[tramo gráf]]),4)))+COND_INTERSTICIAL[[#This Row],[agua líquida]],COND_INTERSTICIAL[[#This Row],[Capa]],INDIRECT(ADDRESS(ROW()-1,COLUMN(),4))))</f>
        <v>#N/A</v>
      </c>
      <c r="EG179" s="114" t="e" cm="1">
        <f t="array" aca="1" ref="EG179" ca="1">IF((COND_INTERSTICIAL[[#This Row],[Capa]]=N_capas)+(COND_INTERSTICIAL[[#This Row],[tramo gráf]]=COUNTIFS(COND_INTERSTICIAL[agua líquida],TRUE,COND_INTERSTICIAL[Mes],CW179,COND_INTERSTICIAL[Sección],CX179)+1),N_capas,INDEX(COND_INTERSTICIAL[capa lím inf gráf],MATCH(COND_INTERSTICIAL[[#This Row],[Mes]]&amp;"-"&amp;COND_INTERSTICIAL[[#This Row],[Sección]]&amp;"-"&amp;(COND_INTERSTICIAL[[#This Row],[tramo gráf]]+1),COND_INTERSTICIAL[llave tramo gráf],0)))</f>
        <v>#N/A</v>
      </c>
      <c r="EH179" s="114" cm="1">
        <f t="array" aca="1" ref="EH17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9" s="116" t="e" cm="1">
        <f t="array" aca="1" ref="EI17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80" spans="100:139" x14ac:dyDescent="0.45">
      <c r="CV180" s="90"/>
      <c r="CW180" s="1" cm="1">
        <f t="array" ref="CW180">ROUNDUP((ROW()-$CN$18+(Mes_inicial_de_análisis-1)*N_capas*N_secciones)/(N_capas*N_secciones),0)-12*IF(ROW()-$CN$18&gt;(12-Mes_inicial_de_análisis+1)*N_capas*N_secciones,1,0)</f>
        <v>6</v>
      </c>
      <c r="CX180" cm="1">
        <f t="array" ref="CX180">ROUNDUP((ROW()-$CN$18)/N_capas-(ROUNDUP((ROW()-$CN$18)/(N_capas*N_secciones),0)-1)*N_secciones,0)</f>
        <v>1</v>
      </c>
      <c r="CY180" cm="1">
        <f t="array" ref="CY180">(ROW()-$CN$18)-(COND_INTERSTICIAL[[#This Row],[Sección]]-1)*N_capas-(ROUNDUP((ROW()-$CN$18)/(N_capas*N_secciones),0)-1)*N_capas*N_secciones</f>
        <v>7</v>
      </c>
      <c r="CZ180" t="str">
        <f>COND_INTERSTICIAL[[#This Row],[Mes]]&amp;"-"&amp;COND_INTERSTICIAL[[#This Row],[Sección]]&amp;"-"&amp;COND_INTERSTICIAL[[#This Row],[Capa]]</f>
        <v>6-1-7</v>
      </c>
      <c r="DA180">
        <f ca="1">INDEX(SECCIONES_CAPAS[R''n],MATCH(COND_INTERSTICIAL[[#This Row],[Sección]]&amp;"-"&amp;COND_INTERSTICIAL[[#This Row],[Capa]],SECCIONES_CAPAS[llave],0))</f>
        <v>0.04</v>
      </c>
      <c r="DB180" s="172" t="e" cm="1">
        <f t="array" aca="1" ref="DB180" ca="1">INDEX(CLIMA[ϴe],COND_INTERSTICIAL[[#This Row],[Mes]])+COND_INTERSTICIAL[[#This Row],[Rn]]*(INDEX(CLIMA[ϴi],COND_INTERSTICIAL[[#This Row],[Mes]])-INDEX(CLIMA[ϴe],COND_INTERSTICIAL[[#This Row],[Mes]]))/(INDEX(SECCIONES[Rtsección_condensación],COND_INTERSTICIAL[[#This Row],[Sección]]))</f>
        <v>#N/A</v>
      </c>
      <c r="DC180">
        <f>INDEX(SECCIONES_CAPAS[Sd],MATCH(COND_INTERSTICIAL[[#This Row],[Sección]]&amp;"-"&amp;COND_INTERSTICIAL[[#This Row],[Capa]],SECCIONES_CAPAS[llave],0))</f>
        <v>0</v>
      </c>
      <c r="DD180">
        <f ca="1">INDEX(SECCIONES_CAPAS[S''d],MATCH(COND_INTERSTICIAL[[#This Row],[Sección]]&amp;"-"&amp;COND_INTERSTICIAL[[#This Row],[Capa]],SECCIONES_CAPAS[llave],0))</f>
        <v>0</v>
      </c>
      <c r="DE180" s="90" t="e">
        <f ca="1">IF(COND_INTERSTICIAL[[#This Row],[ϴn]]&gt;=0,610.5*EXP((17.269*COND_INTERSTICIAL[[#This Row],[ϴn]])/(237.3+COND_INTERSTICIAL[[#This Row],[ϴn]])),610.5*EXP((21.875*COND_INTERSTICIAL[[#This Row],[ϴn]])/(265.5+COND_INTERSTICIAL[[#This Row],[ϴn]])))</f>
        <v>#N/A</v>
      </c>
      <c r="DF180" s="90" t="e" cm="1">
        <f t="array" aca="1" ref="DF180" ca="1">COND_INTERSTICIAL[[#This Row],[S''d]]*((INDEX(CLIMA[Pi],COND_INTERSTICIAL[[#This Row],[Mes]])-INDEX(CLIMA[Pe],COND_INTERSTICIAL[[#This Row],[Mes]]))/INDEX(SECCIONES[SdT],COND_INTERSTICIAL[[#This Row],[Sección]]))+INDEX(CLIMA[Pe],COND_INTERSTICIAL[[#This Row],[Mes]])</f>
        <v>#N/A</v>
      </c>
      <c r="DG180" s="108" t="e">
        <f ca="1">IF((COND_INTERSTICIAL[[#This Row],[Pn]]&gt;=COND_INTERSTICIAL[[#This Row],[Psat]]),TRUE,FALSE)</f>
        <v>#N/A</v>
      </c>
      <c r="DH180" s="109" t="e" cm="1">
        <f t="array" aca="1" ref="DH180" ca="1">IF(COND_INTERSTICIAL[[#This Row],[Condensa]],COND_INTERSTICIAL[[#This Row],[Psat]],IF(COND_INTERSTICIAL[[#This Row],[Capa]]=N_capas,COND_INTERSTICIAL[[#This Row],[Pn]],""))</f>
        <v>#N/A</v>
      </c>
      <c r="DI180" s="109" t="e">
        <f ca="1">COND_INTERSTICIAL[[#This Row],[Mes]]&amp;"-"&amp;COND_INTERSTICIAL[[#This Row],[Sección]]&amp;"-"&amp;COND_INTERSTICIAL[[#This Row],[tramo cond]]</f>
        <v>#N/A</v>
      </c>
      <c r="DJ180" t="e" cm="1">
        <f t="array" aca="1" ref="DJ180" ca="1">IF(COND_INTERSTICIAL[[#This Row],[Capa]]=1,IF(COND_INTERSTICIAL[[#This Row],[Condensa]],2,1),IF(COND_INTERSTICIAL[[#This Row],[Condensa]],1,0)+INDIRECT(ADDRESS(ROW()-1,COLUMN(),4)))</f>
        <v>#N/A</v>
      </c>
      <c r="DK180" s="108" t="e" cm="1">
        <f t="array" aca="1" ref="DK180" ca="1">IF(COND_INTERSTICIAL[[#This Row],[tramo cond]]=1,0,IF((COND_INTERSTICIAL[[#This Row],[tramo cond]]&gt;INDIRECT(ADDRESS(ROW()-1,COLUMN(COND_INTERSTICIAL[[#This Row],[tramo cond]]),4)))+COND_INTERSTICIAL[[#This Row],[Condensa]],COND_INTERSTICIAL[[#This Row],[Capa]],INDIRECT(ADDRESS(ROW()-1,COLUMN(),4))))</f>
        <v>#N/A</v>
      </c>
      <c r="DL180" s="108" t="e" cm="1">
        <f t="array" aca="1" ref="DL180" ca="1">IF((COND_INTERSTICIAL[[#This Row],[Capa]]=N_capas)+(COND_INTERSTICIAL[[#This Row],[tramo cond]]=COUNTIFS(COND_INTERSTICIAL[Condensa],TRUE,COND_INTERSTICIAL[Mes],CW180,COND_INTERSTICIAL[Sección],CX180)+1),N_capas,INDEX(COND_INTERSTICIAL[capa lím inf cond],MATCH(COND_INTERSTICIAL[[#This Row],[Mes]]&amp;"-"&amp;COND_INTERSTICIAL[[#This Row],[Sección]]&amp;"-"&amp;(COND_INTERSTICIAL[[#This Row],[tramo cond]]+1),COND_INTERSTICIAL[llave tramo cond],0)))</f>
        <v>#N/A</v>
      </c>
      <c r="DM180" s="108" cm="1">
        <f t="array" aca="1" ref="DM18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80" s="110" t="e" cm="1">
        <f t="array" aca="1" ref="DN18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8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80" s="107" t="e">
        <f ca="1">COND_INTERSTICIAL[[#This Row],[gc]]+COND_INTERSTICIAL[[#This Row],[Ma_anterior cond]]</f>
        <v>#N/A</v>
      </c>
      <c r="DQ180" s="113" t="e">
        <f ca="1">IF((COND_INTERSTICIAL[[#This Row],[Ma_anterior cond]]&gt;0)*NOT(COND_INTERSTICIAL[[#This Row],[Condensa]]),TRUE,FALSE)</f>
        <v>#N/A</v>
      </c>
      <c r="DR180" s="112" t="e" cm="1">
        <f t="array" aca="1" ref="DR180" ca="1">IF(COND_INTERSTICIAL[[#This Row],[evapora]],COND_INTERSTICIAL[[#This Row],[Psat]],IF(COND_INTERSTICIAL[[#This Row],[Capa]]=N_capas,COND_INTERSTICIAL[[#This Row],[Pn]],""))</f>
        <v>#N/A</v>
      </c>
      <c r="DS180" s="112" t="e">
        <f ca="1">COND_INTERSTICIAL[[#This Row],[Mes]]&amp;"-"&amp;COND_INTERSTICIAL[[#This Row],[Sección]]&amp;"-"&amp;COND_INTERSTICIAL[[#This Row],[tramo ev]]</f>
        <v>#N/A</v>
      </c>
      <c r="DT180" s="111" t="e" cm="1">
        <f t="array" aca="1" ref="DT180" ca="1">IF(COND_INTERSTICIAL[[#This Row],[Capa]]=1,IF(COND_INTERSTICIAL[[#This Row],[evapora]],2,1),IF(COND_INTERSTICIAL[[#This Row],[evapora]],1,0)+INDIRECT(ADDRESS(ROW()-1,COLUMN(),4)))</f>
        <v>#N/A</v>
      </c>
      <c r="DU180" s="111" t="e" cm="1">
        <f t="array" aca="1" ref="DU180" ca="1">IF(COND_INTERSTICIAL[[#This Row],[tramo ev]]=1,0,IF((COND_INTERSTICIAL[[#This Row],[tramo ev]]&gt;INDIRECT(ADDRESS(ROW()-1,COLUMN(COND_INTERSTICIAL[[#This Row],[tramo ev]]),4)))+COND_INTERSTICIAL[[#This Row],[evapora]],COND_INTERSTICIAL[[#This Row],[Capa]],INDIRECT(ADDRESS(ROW()-1,COLUMN(),4))))</f>
        <v>#N/A</v>
      </c>
      <c r="DV180" s="111" t="e" cm="1">
        <f t="array" aca="1" ref="DV180" ca="1">IF((COND_INTERSTICIAL[[#This Row],[Capa]]=N_capas)+(COND_INTERSTICIAL[[#This Row],[tramo ev]]=COUNTIFS(COND_INTERSTICIAL[evapora],TRUE,COND_INTERSTICIAL[Mes],CW180,COND_INTERSTICIAL[Sección],CX180)+1),N_capas,INDEX(COND_INTERSTICIAL[capa lím inf ev],MATCH(COND_INTERSTICIAL[[#This Row],[Mes]]&amp;"-"&amp;COND_INTERSTICIAL[[#This Row],[Sección]]&amp;"-"&amp;(COND_INTERSTICIAL[[#This Row],[tramo ev]]+1),COND_INTERSTICIAL[llave tramo ev],0)))</f>
        <v>#N/A</v>
      </c>
      <c r="DW180" s="111" cm="1">
        <f t="array" aca="1" ref="DW18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80" s="113" t="e" cm="1">
        <f t="array" aca="1" ref="DX18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8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80" s="113" t="e">
        <f ca="1">COND_INTERSTICIAL[[#This Row],[gev]]+COND_INTERSTICIAL[[#This Row],[Ma anterior ev]]</f>
        <v>#N/A</v>
      </c>
      <c r="EA180" s="115" t="e">
        <f ca="1">IF(COND_INTERSTICIAL[[#This Row],[Ma cond]]+COND_INTERSTICIAL[[#This Row],[Ma ev]]&lt;=0,0,COND_INTERSTICIAL[[#This Row],[Ma cond]]+COND_INTERSTICIAL[[#This Row],[Ma ev]])</f>
        <v>#N/A</v>
      </c>
      <c r="EB180" s="115" t="e">
        <f ca="1">IF(COND_INTERSTICIAL[[#This Row],[Ma]]&gt;0,TRUE,FALSE)</f>
        <v>#N/A</v>
      </c>
      <c r="EC180" s="115" t="e" cm="1">
        <f t="array" aca="1" ref="EC180" ca="1">IF(COND_INTERSTICIAL[[#This Row],[agua líquida]],IF(COND_INTERSTICIAL[[#This Row],[Condensa]],COND_INTERSTICIAL[[#This Row],[P límite cond]],COND_INTERSTICIAL[[#This Row],[P límite ev]]),IF(COND_INTERSTICIAL[[#This Row],[Capa]]=N_capas,COND_INTERSTICIAL[[#This Row],[Pn]],""))</f>
        <v>#N/A</v>
      </c>
      <c r="ED180" s="115" t="e">
        <f ca="1">COND_INTERSTICIAL[[#This Row],[Mes]]&amp;"-"&amp;COND_INTERSTICIAL[[#This Row],[Sección]]&amp;"-"&amp;COND_INTERSTICIAL[[#This Row],[tramo gráf]]</f>
        <v>#N/A</v>
      </c>
      <c r="EE180" s="114" t="e" cm="1">
        <f t="array" aca="1" ref="EE180" ca="1">IF(COND_INTERSTICIAL[[#This Row],[Capa]]=1,IF(COND_INTERSTICIAL[[#This Row],[agua líquida]],2,1),IF(COND_INTERSTICIAL[[#This Row],[agua líquida]],1,0)+INDIRECT(ADDRESS(ROW()-1,COLUMN(),4)))</f>
        <v>#N/A</v>
      </c>
      <c r="EF180" s="114" t="e" cm="1">
        <f t="array" aca="1" ref="EF180" ca="1">IF(COND_INTERSTICIAL[[#This Row],[tramo gráf]]=1,0,IF((COND_INTERSTICIAL[[#This Row],[tramo gráf]]&gt;INDIRECT(ADDRESS(ROW()-1,COLUMN(COND_INTERSTICIAL[[#This Row],[tramo gráf]]),4)))+COND_INTERSTICIAL[[#This Row],[agua líquida]],COND_INTERSTICIAL[[#This Row],[Capa]],INDIRECT(ADDRESS(ROW()-1,COLUMN(),4))))</f>
        <v>#N/A</v>
      </c>
      <c r="EG180" s="114" t="e" cm="1">
        <f t="array" aca="1" ref="EG180" ca="1">IF((COND_INTERSTICIAL[[#This Row],[Capa]]=N_capas)+(COND_INTERSTICIAL[[#This Row],[tramo gráf]]=COUNTIFS(COND_INTERSTICIAL[agua líquida],TRUE,COND_INTERSTICIAL[Mes],CW180,COND_INTERSTICIAL[Sección],CX180)+1),N_capas,INDEX(COND_INTERSTICIAL[capa lím inf gráf],MATCH(COND_INTERSTICIAL[[#This Row],[Mes]]&amp;"-"&amp;COND_INTERSTICIAL[[#This Row],[Sección]]&amp;"-"&amp;(COND_INTERSTICIAL[[#This Row],[tramo gráf]]+1),COND_INTERSTICIAL[llave tramo gráf],0)))</f>
        <v>#N/A</v>
      </c>
      <c r="EH180" s="114" cm="1">
        <f t="array" aca="1" ref="EH18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80" s="116" t="e" cm="1">
        <f t="array" aca="1" ref="EI18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81" spans="100:139" x14ac:dyDescent="0.45">
      <c r="CV181" s="90"/>
      <c r="CW181" s="1" cm="1">
        <f t="array" ref="CW181">ROUNDUP((ROW()-$CN$18+(Mes_inicial_de_análisis-1)*N_capas*N_secciones)/(N_capas*N_secciones),0)-12*IF(ROW()-$CN$18&gt;(12-Mes_inicial_de_análisis+1)*N_capas*N_secciones,1,0)</f>
        <v>6</v>
      </c>
      <c r="CX181" cm="1">
        <f t="array" ref="CX181">ROUNDUP((ROW()-$CN$18)/N_capas-(ROUNDUP((ROW()-$CN$18)/(N_capas*N_secciones),0)-1)*N_secciones,0)</f>
        <v>2</v>
      </c>
      <c r="CY181" cm="1">
        <f t="array" ref="CY181">(ROW()-$CN$18)-(COND_INTERSTICIAL[[#This Row],[Sección]]-1)*N_capas-(ROUNDUP((ROW()-$CN$18)/(N_capas*N_secciones),0)-1)*N_capas*N_secciones</f>
        <v>1</v>
      </c>
      <c r="CZ181" t="str">
        <f>COND_INTERSTICIAL[[#This Row],[Mes]]&amp;"-"&amp;COND_INTERSTICIAL[[#This Row],[Sección]]&amp;"-"&amp;COND_INTERSTICIAL[[#This Row],[Capa]]</f>
        <v>6-2-1</v>
      </c>
      <c r="DA181">
        <f ca="1">INDEX(SECCIONES_CAPAS[R''n],MATCH(COND_INTERSTICIAL[[#This Row],[Sección]]&amp;"-"&amp;COND_INTERSTICIAL[[#This Row],[Capa]],SECCIONES_CAPAS[llave],0))</f>
        <v>0.04</v>
      </c>
      <c r="DB181" s="172" t="e" cm="1">
        <f t="array" aca="1" ref="DB181" ca="1">INDEX(CLIMA[ϴe],COND_INTERSTICIAL[[#This Row],[Mes]])+COND_INTERSTICIAL[[#This Row],[Rn]]*(INDEX(CLIMA[ϴi],COND_INTERSTICIAL[[#This Row],[Mes]])-INDEX(CLIMA[ϴe],COND_INTERSTICIAL[[#This Row],[Mes]]))/(INDEX(SECCIONES[Rtsección_condensación],COND_INTERSTICIAL[[#This Row],[Sección]]))</f>
        <v>#N/A</v>
      </c>
      <c r="DC181">
        <f>INDEX(SECCIONES_CAPAS[Sd],MATCH(COND_INTERSTICIAL[[#This Row],[Sección]]&amp;"-"&amp;COND_INTERSTICIAL[[#This Row],[Capa]],SECCIONES_CAPAS[llave],0))</f>
        <v>0</v>
      </c>
      <c r="DD181">
        <f ca="1">INDEX(SECCIONES_CAPAS[S''d],MATCH(COND_INTERSTICIAL[[#This Row],[Sección]]&amp;"-"&amp;COND_INTERSTICIAL[[#This Row],[Capa]],SECCIONES_CAPAS[llave],0))</f>
        <v>0</v>
      </c>
      <c r="DE181" s="90" t="e">
        <f ca="1">IF(COND_INTERSTICIAL[[#This Row],[ϴn]]&gt;=0,610.5*EXP((17.269*COND_INTERSTICIAL[[#This Row],[ϴn]])/(237.3+COND_INTERSTICIAL[[#This Row],[ϴn]])),610.5*EXP((21.875*COND_INTERSTICIAL[[#This Row],[ϴn]])/(265.5+COND_INTERSTICIAL[[#This Row],[ϴn]])))</f>
        <v>#N/A</v>
      </c>
      <c r="DF181" s="90" t="e" cm="1">
        <f t="array" aca="1" ref="DF181" ca="1">COND_INTERSTICIAL[[#This Row],[S''d]]*((INDEX(CLIMA[Pi],COND_INTERSTICIAL[[#This Row],[Mes]])-INDEX(CLIMA[Pe],COND_INTERSTICIAL[[#This Row],[Mes]]))/INDEX(SECCIONES[SdT],COND_INTERSTICIAL[[#This Row],[Sección]]))+INDEX(CLIMA[Pe],COND_INTERSTICIAL[[#This Row],[Mes]])</f>
        <v>#N/A</v>
      </c>
      <c r="DG181" s="108" t="e">
        <f ca="1">IF((COND_INTERSTICIAL[[#This Row],[Pn]]&gt;=COND_INTERSTICIAL[[#This Row],[Psat]]),TRUE,FALSE)</f>
        <v>#N/A</v>
      </c>
      <c r="DH181" s="109" t="e" cm="1">
        <f t="array" aca="1" ref="DH181" ca="1">IF(COND_INTERSTICIAL[[#This Row],[Condensa]],COND_INTERSTICIAL[[#This Row],[Psat]],IF(COND_INTERSTICIAL[[#This Row],[Capa]]=N_capas,COND_INTERSTICIAL[[#This Row],[Pn]],""))</f>
        <v>#N/A</v>
      </c>
      <c r="DI181" s="109" t="e">
        <f ca="1">COND_INTERSTICIAL[[#This Row],[Mes]]&amp;"-"&amp;COND_INTERSTICIAL[[#This Row],[Sección]]&amp;"-"&amp;COND_INTERSTICIAL[[#This Row],[tramo cond]]</f>
        <v>#N/A</v>
      </c>
      <c r="DJ181" t="e" cm="1">
        <f t="array" aca="1" ref="DJ181" ca="1">IF(COND_INTERSTICIAL[[#This Row],[Capa]]=1,IF(COND_INTERSTICIAL[[#This Row],[Condensa]],2,1),IF(COND_INTERSTICIAL[[#This Row],[Condensa]],1,0)+INDIRECT(ADDRESS(ROW()-1,COLUMN(),4)))</f>
        <v>#N/A</v>
      </c>
      <c r="DK181" s="108" t="e" cm="1">
        <f t="array" aca="1" ref="DK181" ca="1">IF(COND_INTERSTICIAL[[#This Row],[tramo cond]]=1,0,IF((COND_INTERSTICIAL[[#This Row],[tramo cond]]&gt;INDIRECT(ADDRESS(ROW()-1,COLUMN(COND_INTERSTICIAL[[#This Row],[tramo cond]]),4)))+COND_INTERSTICIAL[[#This Row],[Condensa]],COND_INTERSTICIAL[[#This Row],[Capa]],INDIRECT(ADDRESS(ROW()-1,COLUMN(),4))))</f>
        <v>#N/A</v>
      </c>
      <c r="DL181" s="108" t="e" cm="1">
        <f t="array" aca="1" ref="DL181" ca="1">IF((COND_INTERSTICIAL[[#This Row],[Capa]]=N_capas)+(COND_INTERSTICIAL[[#This Row],[tramo cond]]=COUNTIFS(COND_INTERSTICIAL[Condensa],TRUE,COND_INTERSTICIAL[Mes],CW181,COND_INTERSTICIAL[Sección],CX181)+1),N_capas,INDEX(COND_INTERSTICIAL[capa lím inf cond],MATCH(COND_INTERSTICIAL[[#This Row],[Mes]]&amp;"-"&amp;COND_INTERSTICIAL[[#This Row],[Sección]]&amp;"-"&amp;(COND_INTERSTICIAL[[#This Row],[tramo cond]]+1),COND_INTERSTICIAL[llave tramo cond],0)))</f>
        <v>#N/A</v>
      </c>
      <c r="DM181" s="108" cm="1">
        <f t="array" aca="1" ref="DM18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81" s="110" t="e" cm="1">
        <f t="array" aca="1" ref="DN18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8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81" s="107" t="e">
        <f ca="1">COND_INTERSTICIAL[[#This Row],[gc]]+COND_INTERSTICIAL[[#This Row],[Ma_anterior cond]]</f>
        <v>#N/A</v>
      </c>
      <c r="DQ181" s="113" t="e">
        <f ca="1">IF((COND_INTERSTICIAL[[#This Row],[Ma_anterior cond]]&gt;0)*NOT(COND_INTERSTICIAL[[#This Row],[Condensa]]),TRUE,FALSE)</f>
        <v>#N/A</v>
      </c>
      <c r="DR181" s="112" t="e" cm="1">
        <f t="array" aca="1" ref="DR181" ca="1">IF(COND_INTERSTICIAL[[#This Row],[evapora]],COND_INTERSTICIAL[[#This Row],[Psat]],IF(COND_INTERSTICIAL[[#This Row],[Capa]]=N_capas,COND_INTERSTICIAL[[#This Row],[Pn]],""))</f>
        <v>#N/A</v>
      </c>
      <c r="DS181" s="112" t="e">
        <f ca="1">COND_INTERSTICIAL[[#This Row],[Mes]]&amp;"-"&amp;COND_INTERSTICIAL[[#This Row],[Sección]]&amp;"-"&amp;COND_INTERSTICIAL[[#This Row],[tramo ev]]</f>
        <v>#N/A</v>
      </c>
      <c r="DT181" s="111" t="e" cm="1">
        <f t="array" aca="1" ref="DT181" ca="1">IF(COND_INTERSTICIAL[[#This Row],[Capa]]=1,IF(COND_INTERSTICIAL[[#This Row],[evapora]],2,1),IF(COND_INTERSTICIAL[[#This Row],[evapora]],1,0)+INDIRECT(ADDRESS(ROW()-1,COLUMN(),4)))</f>
        <v>#N/A</v>
      </c>
      <c r="DU181" s="111" t="e" cm="1">
        <f t="array" aca="1" ref="DU181" ca="1">IF(COND_INTERSTICIAL[[#This Row],[tramo ev]]=1,0,IF((COND_INTERSTICIAL[[#This Row],[tramo ev]]&gt;INDIRECT(ADDRESS(ROW()-1,COLUMN(COND_INTERSTICIAL[[#This Row],[tramo ev]]),4)))+COND_INTERSTICIAL[[#This Row],[evapora]],COND_INTERSTICIAL[[#This Row],[Capa]],INDIRECT(ADDRESS(ROW()-1,COLUMN(),4))))</f>
        <v>#N/A</v>
      </c>
      <c r="DV181" s="111" t="e" cm="1">
        <f t="array" aca="1" ref="DV181" ca="1">IF((COND_INTERSTICIAL[[#This Row],[Capa]]=N_capas)+(COND_INTERSTICIAL[[#This Row],[tramo ev]]=COUNTIFS(COND_INTERSTICIAL[evapora],TRUE,COND_INTERSTICIAL[Mes],CW181,COND_INTERSTICIAL[Sección],CX181)+1),N_capas,INDEX(COND_INTERSTICIAL[capa lím inf ev],MATCH(COND_INTERSTICIAL[[#This Row],[Mes]]&amp;"-"&amp;COND_INTERSTICIAL[[#This Row],[Sección]]&amp;"-"&amp;(COND_INTERSTICIAL[[#This Row],[tramo ev]]+1),COND_INTERSTICIAL[llave tramo ev],0)))</f>
        <v>#N/A</v>
      </c>
      <c r="DW181" s="111" cm="1">
        <f t="array" aca="1" ref="DW18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81" s="113" t="e" cm="1">
        <f t="array" aca="1" ref="DX18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8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81" s="113" t="e">
        <f ca="1">COND_INTERSTICIAL[[#This Row],[gev]]+COND_INTERSTICIAL[[#This Row],[Ma anterior ev]]</f>
        <v>#N/A</v>
      </c>
      <c r="EA181" s="115" t="e">
        <f ca="1">IF(COND_INTERSTICIAL[[#This Row],[Ma cond]]+COND_INTERSTICIAL[[#This Row],[Ma ev]]&lt;=0,0,COND_INTERSTICIAL[[#This Row],[Ma cond]]+COND_INTERSTICIAL[[#This Row],[Ma ev]])</f>
        <v>#N/A</v>
      </c>
      <c r="EB181" s="115" t="e">
        <f ca="1">IF(COND_INTERSTICIAL[[#This Row],[Ma]]&gt;0,TRUE,FALSE)</f>
        <v>#N/A</v>
      </c>
      <c r="EC181" s="115" t="e" cm="1">
        <f t="array" aca="1" ref="EC181" ca="1">IF(COND_INTERSTICIAL[[#This Row],[agua líquida]],IF(COND_INTERSTICIAL[[#This Row],[Condensa]],COND_INTERSTICIAL[[#This Row],[P límite cond]],COND_INTERSTICIAL[[#This Row],[P límite ev]]),IF(COND_INTERSTICIAL[[#This Row],[Capa]]=N_capas,COND_INTERSTICIAL[[#This Row],[Pn]],""))</f>
        <v>#N/A</v>
      </c>
      <c r="ED181" s="115" t="e">
        <f ca="1">COND_INTERSTICIAL[[#This Row],[Mes]]&amp;"-"&amp;COND_INTERSTICIAL[[#This Row],[Sección]]&amp;"-"&amp;COND_INTERSTICIAL[[#This Row],[tramo gráf]]</f>
        <v>#N/A</v>
      </c>
      <c r="EE181" s="114" t="e" cm="1">
        <f t="array" aca="1" ref="EE181" ca="1">IF(COND_INTERSTICIAL[[#This Row],[Capa]]=1,IF(COND_INTERSTICIAL[[#This Row],[agua líquida]],2,1),IF(COND_INTERSTICIAL[[#This Row],[agua líquida]],1,0)+INDIRECT(ADDRESS(ROW()-1,COLUMN(),4)))</f>
        <v>#N/A</v>
      </c>
      <c r="EF181" s="114" t="e" cm="1">
        <f t="array" aca="1" ref="EF181" ca="1">IF(COND_INTERSTICIAL[[#This Row],[tramo gráf]]=1,0,IF((COND_INTERSTICIAL[[#This Row],[tramo gráf]]&gt;INDIRECT(ADDRESS(ROW()-1,COLUMN(COND_INTERSTICIAL[[#This Row],[tramo gráf]]),4)))+COND_INTERSTICIAL[[#This Row],[agua líquida]],COND_INTERSTICIAL[[#This Row],[Capa]],INDIRECT(ADDRESS(ROW()-1,COLUMN(),4))))</f>
        <v>#N/A</v>
      </c>
      <c r="EG181" s="114" t="e" cm="1">
        <f t="array" aca="1" ref="EG181" ca="1">IF((COND_INTERSTICIAL[[#This Row],[Capa]]=N_capas)+(COND_INTERSTICIAL[[#This Row],[tramo gráf]]=COUNTIFS(COND_INTERSTICIAL[agua líquida],TRUE,COND_INTERSTICIAL[Mes],CW181,COND_INTERSTICIAL[Sección],CX181)+1),N_capas,INDEX(COND_INTERSTICIAL[capa lím inf gráf],MATCH(COND_INTERSTICIAL[[#This Row],[Mes]]&amp;"-"&amp;COND_INTERSTICIAL[[#This Row],[Sección]]&amp;"-"&amp;(COND_INTERSTICIAL[[#This Row],[tramo gráf]]+1),COND_INTERSTICIAL[llave tramo gráf],0)))</f>
        <v>#N/A</v>
      </c>
      <c r="EH181" s="114" cm="1">
        <f t="array" aca="1" ref="EH18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81" s="116" t="e" cm="1">
        <f t="array" aca="1" ref="EI18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82" spans="100:139" x14ac:dyDescent="0.45">
      <c r="CV182" s="90"/>
      <c r="CW182" s="1" cm="1">
        <f t="array" ref="CW182">ROUNDUP((ROW()-$CN$18+(Mes_inicial_de_análisis-1)*N_capas*N_secciones)/(N_capas*N_secciones),0)-12*IF(ROW()-$CN$18&gt;(12-Mes_inicial_de_análisis+1)*N_capas*N_secciones,1,0)</f>
        <v>6</v>
      </c>
      <c r="CX182" cm="1">
        <f t="array" ref="CX182">ROUNDUP((ROW()-$CN$18)/N_capas-(ROUNDUP((ROW()-$CN$18)/(N_capas*N_secciones),0)-1)*N_secciones,0)</f>
        <v>2</v>
      </c>
      <c r="CY182" cm="1">
        <f t="array" ref="CY182">(ROW()-$CN$18)-(COND_INTERSTICIAL[[#This Row],[Sección]]-1)*N_capas-(ROUNDUP((ROW()-$CN$18)/(N_capas*N_secciones),0)-1)*N_capas*N_secciones</f>
        <v>2</v>
      </c>
      <c r="CZ182" t="str">
        <f>COND_INTERSTICIAL[[#This Row],[Mes]]&amp;"-"&amp;COND_INTERSTICIAL[[#This Row],[Sección]]&amp;"-"&amp;COND_INTERSTICIAL[[#This Row],[Capa]]</f>
        <v>6-2-2</v>
      </c>
      <c r="DA182">
        <f ca="1">INDEX(SECCIONES_CAPAS[R''n],MATCH(COND_INTERSTICIAL[[#This Row],[Sección]]&amp;"-"&amp;COND_INTERSTICIAL[[#This Row],[Capa]],SECCIONES_CAPAS[llave],0))</f>
        <v>0.04</v>
      </c>
      <c r="DB182" s="172" t="e" cm="1">
        <f t="array" aca="1" ref="DB182" ca="1">INDEX(CLIMA[ϴe],COND_INTERSTICIAL[[#This Row],[Mes]])+COND_INTERSTICIAL[[#This Row],[Rn]]*(INDEX(CLIMA[ϴi],COND_INTERSTICIAL[[#This Row],[Mes]])-INDEX(CLIMA[ϴe],COND_INTERSTICIAL[[#This Row],[Mes]]))/(INDEX(SECCIONES[Rtsección_condensación],COND_INTERSTICIAL[[#This Row],[Sección]]))</f>
        <v>#N/A</v>
      </c>
      <c r="DC182">
        <f>INDEX(SECCIONES_CAPAS[Sd],MATCH(COND_INTERSTICIAL[[#This Row],[Sección]]&amp;"-"&amp;COND_INTERSTICIAL[[#This Row],[Capa]],SECCIONES_CAPAS[llave],0))</f>
        <v>0</v>
      </c>
      <c r="DD182">
        <f ca="1">INDEX(SECCIONES_CAPAS[S''d],MATCH(COND_INTERSTICIAL[[#This Row],[Sección]]&amp;"-"&amp;COND_INTERSTICIAL[[#This Row],[Capa]],SECCIONES_CAPAS[llave],0))</f>
        <v>0</v>
      </c>
      <c r="DE182" s="90" t="e">
        <f ca="1">IF(COND_INTERSTICIAL[[#This Row],[ϴn]]&gt;=0,610.5*EXP((17.269*COND_INTERSTICIAL[[#This Row],[ϴn]])/(237.3+COND_INTERSTICIAL[[#This Row],[ϴn]])),610.5*EXP((21.875*COND_INTERSTICIAL[[#This Row],[ϴn]])/(265.5+COND_INTERSTICIAL[[#This Row],[ϴn]])))</f>
        <v>#N/A</v>
      </c>
      <c r="DF182" s="90" t="e" cm="1">
        <f t="array" aca="1" ref="DF182" ca="1">COND_INTERSTICIAL[[#This Row],[S''d]]*((INDEX(CLIMA[Pi],COND_INTERSTICIAL[[#This Row],[Mes]])-INDEX(CLIMA[Pe],COND_INTERSTICIAL[[#This Row],[Mes]]))/INDEX(SECCIONES[SdT],COND_INTERSTICIAL[[#This Row],[Sección]]))+INDEX(CLIMA[Pe],COND_INTERSTICIAL[[#This Row],[Mes]])</f>
        <v>#N/A</v>
      </c>
      <c r="DG182" s="108" t="e">
        <f ca="1">IF((COND_INTERSTICIAL[[#This Row],[Pn]]&gt;=COND_INTERSTICIAL[[#This Row],[Psat]]),TRUE,FALSE)</f>
        <v>#N/A</v>
      </c>
      <c r="DH182" s="109" t="e" cm="1">
        <f t="array" aca="1" ref="DH182" ca="1">IF(COND_INTERSTICIAL[[#This Row],[Condensa]],COND_INTERSTICIAL[[#This Row],[Psat]],IF(COND_INTERSTICIAL[[#This Row],[Capa]]=N_capas,COND_INTERSTICIAL[[#This Row],[Pn]],""))</f>
        <v>#N/A</v>
      </c>
      <c r="DI182" s="109" t="e">
        <f ca="1">COND_INTERSTICIAL[[#This Row],[Mes]]&amp;"-"&amp;COND_INTERSTICIAL[[#This Row],[Sección]]&amp;"-"&amp;COND_INTERSTICIAL[[#This Row],[tramo cond]]</f>
        <v>#N/A</v>
      </c>
      <c r="DJ182" t="e" cm="1">
        <f t="array" aca="1" ref="DJ182" ca="1">IF(COND_INTERSTICIAL[[#This Row],[Capa]]=1,IF(COND_INTERSTICIAL[[#This Row],[Condensa]],2,1),IF(COND_INTERSTICIAL[[#This Row],[Condensa]],1,0)+INDIRECT(ADDRESS(ROW()-1,COLUMN(),4)))</f>
        <v>#N/A</v>
      </c>
      <c r="DK182" s="108" t="e" cm="1">
        <f t="array" aca="1" ref="DK182" ca="1">IF(COND_INTERSTICIAL[[#This Row],[tramo cond]]=1,0,IF((COND_INTERSTICIAL[[#This Row],[tramo cond]]&gt;INDIRECT(ADDRESS(ROW()-1,COLUMN(COND_INTERSTICIAL[[#This Row],[tramo cond]]),4)))+COND_INTERSTICIAL[[#This Row],[Condensa]],COND_INTERSTICIAL[[#This Row],[Capa]],INDIRECT(ADDRESS(ROW()-1,COLUMN(),4))))</f>
        <v>#N/A</v>
      </c>
      <c r="DL182" s="108" t="e" cm="1">
        <f t="array" aca="1" ref="DL182" ca="1">IF((COND_INTERSTICIAL[[#This Row],[Capa]]=N_capas)+(COND_INTERSTICIAL[[#This Row],[tramo cond]]=COUNTIFS(COND_INTERSTICIAL[Condensa],TRUE,COND_INTERSTICIAL[Mes],CW182,COND_INTERSTICIAL[Sección],CX182)+1),N_capas,INDEX(COND_INTERSTICIAL[capa lím inf cond],MATCH(COND_INTERSTICIAL[[#This Row],[Mes]]&amp;"-"&amp;COND_INTERSTICIAL[[#This Row],[Sección]]&amp;"-"&amp;(COND_INTERSTICIAL[[#This Row],[tramo cond]]+1),COND_INTERSTICIAL[llave tramo cond],0)))</f>
        <v>#N/A</v>
      </c>
      <c r="DM182" s="108" cm="1">
        <f t="array" aca="1" ref="DM18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82" s="110" t="e" cm="1">
        <f t="array" aca="1" ref="DN18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8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82" s="107" t="e">
        <f ca="1">COND_INTERSTICIAL[[#This Row],[gc]]+COND_INTERSTICIAL[[#This Row],[Ma_anterior cond]]</f>
        <v>#N/A</v>
      </c>
      <c r="DQ182" s="113" t="e">
        <f ca="1">IF((COND_INTERSTICIAL[[#This Row],[Ma_anterior cond]]&gt;0)*NOT(COND_INTERSTICIAL[[#This Row],[Condensa]]),TRUE,FALSE)</f>
        <v>#N/A</v>
      </c>
      <c r="DR182" s="112" t="e" cm="1">
        <f t="array" aca="1" ref="DR182" ca="1">IF(COND_INTERSTICIAL[[#This Row],[evapora]],COND_INTERSTICIAL[[#This Row],[Psat]],IF(COND_INTERSTICIAL[[#This Row],[Capa]]=N_capas,COND_INTERSTICIAL[[#This Row],[Pn]],""))</f>
        <v>#N/A</v>
      </c>
      <c r="DS182" s="112" t="e">
        <f ca="1">COND_INTERSTICIAL[[#This Row],[Mes]]&amp;"-"&amp;COND_INTERSTICIAL[[#This Row],[Sección]]&amp;"-"&amp;COND_INTERSTICIAL[[#This Row],[tramo ev]]</f>
        <v>#N/A</v>
      </c>
      <c r="DT182" s="111" t="e" cm="1">
        <f t="array" aca="1" ref="DT182" ca="1">IF(COND_INTERSTICIAL[[#This Row],[Capa]]=1,IF(COND_INTERSTICIAL[[#This Row],[evapora]],2,1),IF(COND_INTERSTICIAL[[#This Row],[evapora]],1,0)+INDIRECT(ADDRESS(ROW()-1,COLUMN(),4)))</f>
        <v>#N/A</v>
      </c>
      <c r="DU182" s="111" t="e" cm="1">
        <f t="array" aca="1" ref="DU182" ca="1">IF(COND_INTERSTICIAL[[#This Row],[tramo ev]]=1,0,IF((COND_INTERSTICIAL[[#This Row],[tramo ev]]&gt;INDIRECT(ADDRESS(ROW()-1,COLUMN(COND_INTERSTICIAL[[#This Row],[tramo ev]]),4)))+COND_INTERSTICIAL[[#This Row],[evapora]],COND_INTERSTICIAL[[#This Row],[Capa]],INDIRECT(ADDRESS(ROW()-1,COLUMN(),4))))</f>
        <v>#N/A</v>
      </c>
      <c r="DV182" s="111" t="e" cm="1">
        <f t="array" aca="1" ref="DV182" ca="1">IF((COND_INTERSTICIAL[[#This Row],[Capa]]=N_capas)+(COND_INTERSTICIAL[[#This Row],[tramo ev]]=COUNTIFS(COND_INTERSTICIAL[evapora],TRUE,COND_INTERSTICIAL[Mes],CW182,COND_INTERSTICIAL[Sección],CX182)+1),N_capas,INDEX(COND_INTERSTICIAL[capa lím inf ev],MATCH(COND_INTERSTICIAL[[#This Row],[Mes]]&amp;"-"&amp;COND_INTERSTICIAL[[#This Row],[Sección]]&amp;"-"&amp;(COND_INTERSTICIAL[[#This Row],[tramo ev]]+1),COND_INTERSTICIAL[llave tramo ev],0)))</f>
        <v>#N/A</v>
      </c>
      <c r="DW182" s="111" cm="1">
        <f t="array" aca="1" ref="DW18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82" s="113" t="e" cm="1">
        <f t="array" aca="1" ref="DX18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8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82" s="113" t="e">
        <f ca="1">COND_INTERSTICIAL[[#This Row],[gev]]+COND_INTERSTICIAL[[#This Row],[Ma anterior ev]]</f>
        <v>#N/A</v>
      </c>
      <c r="EA182" s="115" t="e">
        <f ca="1">IF(COND_INTERSTICIAL[[#This Row],[Ma cond]]+COND_INTERSTICIAL[[#This Row],[Ma ev]]&lt;=0,0,COND_INTERSTICIAL[[#This Row],[Ma cond]]+COND_INTERSTICIAL[[#This Row],[Ma ev]])</f>
        <v>#N/A</v>
      </c>
      <c r="EB182" s="115" t="e">
        <f ca="1">IF(COND_INTERSTICIAL[[#This Row],[Ma]]&gt;0,TRUE,FALSE)</f>
        <v>#N/A</v>
      </c>
      <c r="EC182" s="115" t="e" cm="1">
        <f t="array" aca="1" ref="EC182" ca="1">IF(COND_INTERSTICIAL[[#This Row],[agua líquida]],IF(COND_INTERSTICIAL[[#This Row],[Condensa]],COND_INTERSTICIAL[[#This Row],[P límite cond]],COND_INTERSTICIAL[[#This Row],[P límite ev]]),IF(COND_INTERSTICIAL[[#This Row],[Capa]]=N_capas,COND_INTERSTICIAL[[#This Row],[Pn]],""))</f>
        <v>#N/A</v>
      </c>
      <c r="ED182" s="115" t="e">
        <f ca="1">COND_INTERSTICIAL[[#This Row],[Mes]]&amp;"-"&amp;COND_INTERSTICIAL[[#This Row],[Sección]]&amp;"-"&amp;COND_INTERSTICIAL[[#This Row],[tramo gráf]]</f>
        <v>#N/A</v>
      </c>
      <c r="EE182" s="114" t="e" cm="1">
        <f t="array" aca="1" ref="EE182" ca="1">IF(COND_INTERSTICIAL[[#This Row],[Capa]]=1,IF(COND_INTERSTICIAL[[#This Row],[agua líquida]],2,1),IF(COND_INTERSTICIAL[[#This Row],[agua líquida]],1,0)+INDIRECT(ADDRESS(ROW()-1,COLUMN(),4)))</f>
        <v>#N/A</v>
      </c>
      <c r="EF182" s="114" t="e" cm="1">
        <f t="array" aca="1" ref="EF182" ca="1">IF(COND_INTERSTICIAL[[#This Row],[tramo gráf]]=1,0,IF((COND_INTERSTICIAL[[#This Row],[tramo gráf]]&gt;INDIRECT(ADDRESS(ROW()-1,COLUMN(COND_INTERSTICIAL[[#This Row],[tramo gráf]]),4)))+COND_INTERSTICIAL[[#This Row],[agua líquida]],COND_INTERSTICIAL[[#This Row],[Capa]],INDIRECT(ADDRESS(ROW()-1,COLUMN(),4))))</f>
        <v>#N/A</v>
      </c>
      <c r="EG182" s="114" t="e" cm="1">
        <f t="array" aca="1" ref="EG182" ca="1">IF((COND_INTERSTICIAL[[#This Row],[Capa]]=N_capas)+(COND_INTERSTICIAL[[#This Row],[tramo gráf]]=COUNTIFS(COND_INTERSTICIAL[agua líquida],TRUE,COND_INTERSTICIAL[Mes],CW182,COND_INTERSTICIAL[Sección],CX182)+1),N_capas,INDEX(COND_INTERSTICIAL[capa lím inf gráf],MATCH(COND_INTERSTICIAL[[#This Row],[Mes]]&amp;"-"&amp;COND_INTERSTICIAL[[#This Row],[Sección]]&amp;"-"&amp;(COND_INTERSTICIAL[[#This Row],[tramo gráf]]+1),COND_INTERSTICIAL[llave tramo gráf],0)))</f>
        <v>#N/A</v>
      </c>
      <c r="EH182" s="114" cm="1">
        <f t="array" aca="1" ref="EH18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82" s="116" t="e" cm="1">
        <f t="array" aca="1" ref="EI18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83" spans="100:139" x14ac:dyDescent="0.45">
      <c r="CV183" s="90"/>
      <c r="CW183" s="1" cm="1">
        <f t="array" ref="CW183">ROUNDUP((ROW()-$CN$18+(Mes_inicial_de_análisis-1)*N_capas*N_secciones)/(N_capas*N_secciones),0)-12*IF(ROW()-$CN$18&gt;(12-Mes_inicial_de_análisis+1)*N_capas*N_secciones,1,0)</f>
        <v>6</v>
      </c>
      <c r="CX183" cm="1">
        <f t="array" ref="CX183">ROUNDUP((ROW()-$CN$18)/N_capas-(ROUNDUP((ROW()-$CN$18)/(N_capas*N_secciones),0)-1)*N_secciones,0)</f>
        <v>2</v>
      </c>
      <c r="CY183" cm="1">
        <f t="array" ref="CY183">(ROW()-$CN$18)-(COND_INTERSTICIAL[[#This Row],[Sección]]-1)*N_capas-(ROUNDUP((ROW()-$CN$18)/(N_capas*N_secciones),0)-1)*N_capas*N_secciones</f>
        <v>3</v>
      </c>
      <c r="CZ183" t="str">
        <f>COND_INTERSTICIAL[[#This Row],[Mes]]&amp;"-"&amp;COND_INTERSTICIAL[[#This Row],[Sección]]&amp;"-"&amp;COND_INTERSTICIAL[[#This Row],[Capa]]</f>
        <v>6-2-3</v>
      </c>
      <c r="DA183">
        <f ca="1">INDEX(SECCIONES_CAPAS[R''n],MATCH(COND_INTERSTICIAL[[#This Row],[Sección]]&amp;"-"&amp;COND_INTERSTICIAL[[#This Row],[Capa]],SECCIONES_CAPAS[llave],0))</f>
        <v>0.04</v>
      </c>
      <c r="DB183" s="172" t="e" cm="1">
        <f t="array" aca="1" ref="DB183" ca="1">INDEX(CLIMA[ϴe],COND_INTERSTICIAL[[#This Row],[Mes]])+COND_INTERSTICIAL[[#This Row],[Rn]]*(INDEX(CLIMA[ϴi],COND_INTERSTICIAL[[#This Row],[Mes]])-INDEX(CLIMA[ϴe],COND_INTERSTICIAL[[#This Row],[Mes]]))/(INDEX(SECCIONES[Rtsección_condensación],COND_INTERSTICIAL[[#This Row],[Sección]]))</f>
        <v>#N/A</v>
      </c>
      <c r="DC183">
        <f>INDEX(SECCIONES_CAPAS[Sd],MATCH(COND_INTERSTICIAL[[#This Row],[Sección]]&amp;"-"&amp;COND_INTERSTICIAL[[#This Row],[Capa]],SECCIONES_CAPAS[llave],0))</f>
        <v>0</v>
      </c>
      <c r="DD183">
        <f ca="1">INDEX(SECCIONES_CAPAS[S''d],MATCH(COND_INTERSTICIAL[[#This Row],[Sección]]&amp;"-"&amp;COND_INTERSTICIAL[[#This Row],[Capa]],SECCIONES_CAPAS[llave],0))</f>
        <v>0</v>
      </c>
      <c r="DE183" s="90" t="e">
        <f ca="1">IF(COND_INTERSTICIAL[[#This Row],[ϴn]]&gt;=0,610.5*EXP((17.269*COND_INTERSTICIAL[[#This Row],[ϴn]])/(237.3+COND_INTERSTICIAL[[#This Row],[ϴn]])),610.5*EXP((21.875*COND_INTERSTICIAL[[#This Row],[ϴn]])/(265.5+COND_INTERSTICIAL[[#This Row],[ϴn]])))</f>
        <v>#N/A</v>
      </c>
      <c r="DF183" s="90" t="e" cm="1">
        <f t="array" aca="1" ref="DF183" ca="1">COND_INTERSTICIAL[[#This Row],[S''d]]*((INDEX(CLIMA[Pi],COND_INTERSTICIAL[[#This Row],[Mes]])-INDEX(CLIMA[Pe],COND_INTERSTICIAL[[#This Row],[Mes]]))/INDEX(SECCIONES[SdT],COND_INTERSTICIAL[[#This Row],[Sección]]))+INDEX(CLIMA[Pe],COND_INTERSTICIAL[[#This Row],[Mes]])</f>
        <v>#N/A</v>
      </c>
      <c r="DG183" s="108" t="e">
        <f ca="1">IF((COND_INTERSTICIAL[[#This Row],[Pn]]&gt;=COND_INTERSTICIAL[[#This Row],[Psat]]),TRUE,FALSE)</f>
        <v>#N/A</v>
      </c>
      <c r="DH183" s="109" t="e" cm="1">
        <f t="array" aca="1" ref="DH183" ca="1">IF(COND_INTERSTICIAL[[#This Row],[Condensa]],COND_INTERSTICIAL[[#This Row],[Psat]],IF(COND_INTERSTICIAL[[#This Row],[Capa]]=N_capas,COND_INTERSTICIAL[[#This Row],[Pn]],""))</f>
        <v>#N/A</v>
      </c>
      <c r="DI183" s="109" t="e">
        <f ca="1">COND_INTERSTICIAL[[#This Row],[Mes]]&amp;"-"&amp;COND_INTERSTICIAL[[#This Row],[Sección]]&amp;"-"&amp;COND_INTERSTICIAL[[#This Row],[tramo cond]]</f>
        <v>#N/A</v>
      </c>
      <c r="DJ183" t="e" cm="1">
        <f t="array" aca="1" ref="DJ183" ca="1">IF(COND_INTERSTICIAL[[#This Row],[Capa]]=1,IF(COND_INTERSTICIAL[[#This Row],[Condensa]],2,1),IF(COND_INTERSTICIAL[[#This Row],[Condensa]],1,0)+INDIRECT(ADDRESS(ROW()-1,COLUMN(),4)))</f>
        <v>#N/A</v>
      </c>
      <c r="DK183" s="108" t="e" cm="1">
        <f t="array" aca="1" ref="DK183" ca="1">IF(COND_INTERSTICIAL[[#This Row],[tramo cond]]=1,0,IF((COND_INTERSTICIAL[[#This Row],[tramo cond]]&gt;INDIRECT(ADDRESS(ROW()-1,COLUMN(COND_INTERSTICIAL[[#This Row],[tramo cond]]),4)))+COND_INTERSTICIAL[[#This Row],[Condensa]],COND_INTERSTICIAL[[#This Row],[Capa]],INDIRECT(ADDRESS(ROW()-1,COLUMN(),4))))</f>
        <v>#N/A</v>
      </c>
      <c r="DL183" s="108" t="e" cm="1">
        <f t="array" aca="1" ref="DL183" ca="1">IF((COND_INTERSTICIAL[[#This Row],[Capa]]=N_capas)+(COND_INTERSTICIAL[[#This Row],[tramo cond]]=COUNTIFS(COND_INTERSTICIAL[Condensa],TRUE,COND_INTERSTICIAL[Mes],CW183,COND_INTERSTICIAL[Sección],CX183)+1),N_capas,INDEX(COND_INTERSTICIAL[capa lím inf cond],MATCH(COND_INTERSTICIAL[[#This Row],[Mes]]&amp;"-"&amp;COND_INTERSTICIAL[[#This Row],[Sección]]&amp;"-"&amp;(COND_INTERSTICIAL[[#This Row],[tramo cond]]+1),COND_INTERSTICIAL[llave tramo cond],0)))</f>
        <v>#N/A</v>
      </c>
      <c r="DM183" s="108" cm="1">
        <f t="array" aca="1" ref="DM18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83" s="110" t="e" cm="1">
        <f t="array" aca="1" ref="DN18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8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83" s="107" t="e">
        <f ca="1">COND_INTERSTICIAL[[#This Row],[gc]]+COND_INTERSTICIAL[[#This Row],[Ma_anterior cond]]</f>
        <v>#N/A</v>
      </c>
      <c r="DQ183" s="113" t="e">
        <f ca="1">IF((COND_INTERSTICIAL[[#This Row],[Ma_anterior cond]]&gt;0)*NOT(COND_INTERSTICIAL[[#This Row],[Condensa]]),TRUE,FALSE)</f>
        <v>#N/A</v>
      </c>
      <c r="DR183" s="112" t="e" cm="1">
        <f t="array" aca="1" ref="DR183" ca="1">IF(COND_INTERSTICIAL[[#This Row],[evapora]],COND_INTERSTICIAL[[#This Row],[Psat]],IF(COND_INTERSTICIAL[[#This Row],[Capa]]=N_capas,COND_INTERSTICIAL[[#This Row],[Pn]],""))</f>
        <v>#N/A</v>
      </c>
      <c r="DS183" s="112" t="e">
        <f ca="1">COND_INTERSTICIAL[[#This Row],[Mes]]&amp;"-"&amp;COND_INTERSTICIAL[[#This Row],[Sección]]&amp;"-"&amp;COND_INTERSTICIAL[[#This Row],[tramo ev]]</f>
        <v>#N/A</v>
      </c>
      <c r="DT183" s="111" t="e" cm="1">
        <f t="array" aca="1" ref="DT183" ca="1">IF(COND_INTERSTICIAL[[#This Row],[Capa]]=1,IF(COND_INTERSTICIAL[[#This Row],[evapora]],2,1),IF(COND_INTERSTICIAL[[#This Row],[evapora]],1,0)+INDIRECT(ADDRESS(ROW()-1,COLUMN(),4)))</f>
        <v>#N/A</v>
      </c>
      <c r="DU183" s="111" t="e" cm="1">
        <f t="array" aca="1" ref="DU183" ca="1">IF(COND_INTERSTICIAL[[#This Row],[tramo ev]]=1,0,IF((COND_INTERSTICIAL[[#This Row],[tramo ev]]&gt;INDIRECT(ADDRESS(ROW()-1,COLUMN(COND_INTERSTICIAL[[#This Row],[tramo ev]]),4)))+COND_INTERSTICIAL[[#This Row],[evapora]],COND_INTERSTICIAL[[#This Row],[Capa]],INDIRECT(ADDRESS(ROW()-1,COLUMN(),4))))</f>
        <v>#N/A</v>
      </c>
      <c r="DV183" s="111" t="e" cm="1">
        <f t="array" aca="1" ref="DV183" ca="1">IF((COND_INTERSTICIAL[[#This Row],[Capa]]=N_capas)+(COND_INTERSTICIAL[[#This Row],[tramo ev]]=COUNTIFS(COND_INTERSTICIAL[evapora],TRUE,COND_INTERSTICIAL[Mes],CW183,COND_INTERSTICIAL[Sección],CX183)+1),N_capas,INDEX(COND_INTERSTICIAL[capa lím inf ev],MATCH(COND_INTERSTICIAL[[#This Row],[Mes]]&amp;"-"&amp;COND_INTERSTICIAL[[#This Row],[Sección]]&amp;"-"&amp;(COND_INTERSTICIAL[[#This Row],[tramo ev]]+1),COND_INTERSTICIAL[llave tramo ev],0)))</f>
        <v>#N/A</v>
      </c>
      <c r="DW183" s="111" cm="1">
        <f t="array" aca="1" ref="DW18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83" s="113" t="e" cm="1">
        <f t="array" aca="1" ref="DX18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8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83" s="113" t="e">
        <f ca="1">COND_INTERSTICIAL[[#This Row],[gev]]+COND_INTERSTICIAL[[#This Row],[Ma anterior ev]]</f>
        <v>#N/A</v>
      </c>
      <c r="EA183" s="115" t="e">
        <f ca="1">IF(COND_INTERSTICIAL[[#This Row],[Ma cond]]+COND_INTERSTICIAL[[#This Row],[Ma ev]]&lt;=0,0,COND_INTERSTICIAL[[#This Row],[Ma cond]]+COND_INTERSTICIAL[[#This Row],[Ma ev]])</f>
        <v>#N/A</v>
      </c>
      <c r="EB183" s="115" t="e">
        <f ca="1">IF(COND_INTERSTICIAL[[#This Row],[Ma]]&gt;0,TRUE,FALSE)</f>
        <v>#N/A</v>
      </c>
      <c r="EC183" s="115" t="e" cm="1">
        <f t="array" aca="1" ref="EC183" ca="1">IF(COND_INTERSTICIAL[[#This Row],[agua líquida]],IF(COND_INTERSTICIAL[[#This Row],[Condensa]],COND_INTERSTICIAL[[#This Row],[P límite cond]],COND_INTERSTICIAL[[#This Row],[P límite ev]]),IF(COND_INTERSTICIAL[[#This Row],[Capa]]=N_capas,COND_INTERSTICIAL[[#This Row],[Pn]],""))</f>
        <v>#N/A</v>
      </c>
      <c r="ED183" s="115" t="e">
        <f ca="1">COND_INTERSTICIAL[[#This Row],[Mes]]&amp;"-"&amp;COND_INTERSTICIAL[[#This Row],[Sección]]&amp;"-"&amp;COND_INTERSTICIAL[[#This Row],[tramo gráf]]</f>
        <v>#N/A</v>
      </c>
      <c r="EE183" s="114" t="e" cm="1">
        <f t="array" aca="1" ref="EE183" ca="1">IF(COND_INTERSTICIAL[[#This Row],[Capa]]=1,IF(COND_INTERSTICIAL[[#This Row],[agua líquida]],2,1),IF(COND_INTERSTICIAL[[#This Row],[agua líquida]],1,0)+INDIRECT(ADDRESS(ROW()-1,COLUMN(),4)))</f>
        <v>#N/A</v>
      </c>
      <c r="EF183" s="114" t="e" cm="1">
        <f t="array" aca="1" ref="EF183" ca="1">IF(COND_INTERSTICIAL[[#This Row],[tramo gráf]]=1,0,IF((COND_INTERSTICIAL[[#This Row],[tramo gráf]]&gt;INDIRECT(ADDRESS(ROW()-1,COLUMN(COND_INTERSTICIAL[[#This Row],[tramo gráf]]),4)))+COND_INTERSTICIAL[[#This Row],[agua líquida]],COND_INTERSTICIAL[[#This Row],[Capa]],INDIRECT(ADDRESS(ROW()-1,COLUMN(),4))))</f>
        <v>#N/A</v>
      </c>
      <c r="EG183" s="114" t="e" cm="1">
        <f t="array" aca="1" ref="EG183" ca="1">IF((COND_INTERSTICIAL[[#This Row],[Capa]]=N_capas)+(COND_INTERSTICIAL[[#This Row],[tramo gráf]]=COUNTIFS(COND_INTERSTICIAL[agua líquida],TRUE,COND_INTERSTICIAL[Mes],CW183,COND_INTERSTICIAL[Sección],CX183)+1),N_capas,INDEX(COND_INTERSTICIAL[capa lím inf gráf],MATCH(COND_INTERSTICIAL[[#This Row],[Mes]]&amp;"-"&amp;COND_INTERSTICIAL[[#This Row],[Sección]]&amp;"-"&amp;(COND_INTERSTICIAL[[#This Row],[tramo gráf]]+1),COND_INTERSTICIAL[llave tramo gráf],0)))</f>
        <v>#N/A</v>
      </c>
      <c r="EH183" s="114" cm="1">
        <f t="array" aca="1" ref="EH18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83" s="116" t="e" cm="1">
        <f t="array" aca="1" ref="EI18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84" spans="100:139" x14ac:dyDescent="0.45">
      <c r="CV184" s="90"/>
      <c r="CW184" s="1" cm="1">
        <f t="array" ref="CW184">ROUNDUP((ROW()-$CN$18+(Mes_inicial_de_análisis-1)*N_capas*N_secciones)/(N_capas*N_secciones),0)-12*IF(ROW()-$CN$18&gt;(12-Mes_inicial_de_análisis+1)*N_capas*N_secciones,1,0)</f>
        <v>6</v>
      </c>
      <c r="CX184" cm="1">
        <f t="array" ref="CX184">ROUNDUP((ROW()-$CN$18)/N_capas-(ROUNDUP((ROW()-$CN$18)/(N_capas*N_secciones),0)-1)*N_secciones,0)</f>
        <v>2</v>
      </c>
      <c r="CY184" cm="1">
        <f t="array" ref="CY184">(ROW()-$CN$18)-(COND_INTERSTICIAL[[#This Row],[Sección]]-1)*N_capas-(ROUNDUP((ROW()-$CN$18)/(N_capas*N_secciones),0)-1)*N_capas*N_secciones</f>
        <v>4</v>
      </c>
      <c r="CZ184" t="str">
        <f>COND_INTERSTICIAL[[#This Row],[Mes]]&amp;"-"&amp;COND_INTERSTICIAL[[#This Row],[Sección]]&amp;"-"&amp;COND_INTERSTICIAL[[#This Row],[Capa]]</f>
        <v>6-2-4</v>
      </c>
      <c r="DA184">
        <f ca="1">INDEX(SECCIONES_CAPAS[R''n],MATCH(COND_INTERSTICIAL[[#This Row],[Sección]]&amp;"-"&amp;COND_INTERSTICIAL[[#This Row],[Capa]],SECCIONES_CAPAS[llave],0))</f>
        <v>0.04</v>
      </c>
      <c r="DB184" s="172" t="e" cm="1">
        <f t="array" aca="1" ref="DB184" ca="1">INDEX(CLIMA[ϴe],COND_INTERSTICIAL[[#This Row],[Mes]])+COND_INTERSTICIAL[[#This Row],[Rn]]*(INDEX(CLIMA[ϴi],COND_INTERSTICIAL[[#This Row],[Mes]])-INDEX(CLIMA[ϴe],COND_INTERSTICIAL[[#This Row],[Mes]]))/(INDEX(SECCIONES[Rtsección_condensación],COND_INTERSTICIAL[[#This Row],[Sección]]))</f>
        <v>#N/A</v>
      </c>
      <c r="DC184">
        <f>INDEX(SECCIONES_CAPAS[Sd],MATCH(COND_INTERSTICIAL[[#This Row],[Sección]]&amp;"-"&amp;COND_INTERSTICIAL[[#This Row],[Capa]],SECCIONES_CAPAS[llave],0))</f>
        <v>0</v>
      </c>
      <c r="DD184">
        <f ca="1">INDEX(SECCIONES_CAPAS[S''d],MATCH(COND_INTERSTICIAL[[#This Row],[Sección]]&amp;"-"&amp;COND_INTERSTICIAL[[#This Row],[Capa]],SECCIONES_CAPAS[llave],0))</f>
        <v>0</v>
      </c>
      <c r="DE184" s="90" t="e">
        <f ca="1">IF(COND_INTERSTICIAL[[#This Row],[ϴn]]&gt;=0,610.5*EXP((17.269*COND_INTERSTICIAL[[#This Row],[ϴn]])/(237.3+COND_INTERSTICIAL[[#This Row],[ϴn]])),610.5*EXP((21.875*COND_INTERSTICIAL[[#This Row],[ϴn]])/(265.5+COND_INTERSTICIAL[[#This Row],[ϴn]])))</f>
        <v>#N/A</v>
      </c>
      <c r="DF184" s="90" t="e" cm="1">
        <f t="array" aca="1" ref="DF184" ca="1">COND_INTERSTICIAL[[#This Row],[S''d]]*((INDEX(CLIMA[Pi],COND_INTERSTICIAL[[#This Row],[Mes]])-INDEX(CLIMA[Pe],COND_INTERSTICIAL[[#This Row],[Mes]]))/INDEX(SECCIONES[SdT],COND_INTERSTICIAL[[#This Row],[Sección]]))+INDEX(CLIMA[Pe],COND_INTERSTICIAL[[#This Row],[Mes]])</f>
        <v>#N/A</v>
      </c>
      <c r="DG184" s="108" t="e">
        <f ca="1">IF((COND_INTERSTICIAL[[#This Row],[Pn]]&gt;=COND_INTERSTICIAL[[#This Row],[Psat]]),TRUE,FALSE)</f>
        <v>#N/A</v>
      </c>
      <c r="DH184" s="109" t="e" cm="1">
        <f t="array" aca="1" ref="DH184" ca="1">IF(COND_INTERSTICIAL[[#This Row],[Condensa]],COND_INTERSTICIAL[[#This Row],[Psat]],IF(COND_INTERSTICIAL[[#This Row],[Capa]]=N_capas,COND_INTERSTICIAL[[#This Row],[Pn]],""))</f>
        <v>#N/A</v>
      </c>
      <c r="DI184" s="109" t="e">
        <f ca="1">COND_INTERSTICIAL[[#This Row],[Mes]]&amp;"-"&amp;COND_INTERSTICIAL[[#This Row],[Sección]]&amp;"-"&amp;COND_INTERSTICIAL[[#This Row],[tramo cond]]</f>
        <v>#N/A</v>
      </c>
      <c r="DJ184" t="e" cm="1">
        <f t="array" aca="1" ref="DJ184" ca="1">IF(COND_INTERSTICIAL[[#This Row],[Capa]]=1,IF(COND_INTERSTICIAL[[#This Row],[Condensa]],2,1),IF(COND_INTERSTICIAL[[#This Row],[Condensa]],1,0)+INDIRECT(ADDRESS(ROW()-1,COLUMN(),4)))</f>
        <v>#N/A</v>
      </c>
      <c r="DK184" s="108" t="e" cm="1">
        <f t="array" aca="1" ref="DK184" ca="1">IF(COND_INTERSTICIAL[[#This Row],[tramo cond]]=1,0,IF((COND_INTERSTICIAL[[#This Row],[tramo cond]]&gt;INDIRECT(ADDRESS(ROW()-1,COLUMN(COND_INTERSTICIAL[[#This Row],[tramo cond]]),4)))+COND_INTERSTICIAL[[#This Row],[Condensa]],COND_INTERSTICIAL[[#This Row],[Capa]],INDIRECT(ADDRESS(ROW()-1,COLUMN(),4))))</f>
        <v>#N/A</v>
      </c>
      <c r="DL184" s="108" t="e" cm="1">
        <f t="array" aca="1" ref="DL184" ca="1">IF((COND_INTERSTICIAL[[#This Row],[Capa]]=N_capas)+(COND_INTERSTICIAL[[#This Row],[tramo cond]]=COUNTIFS(COND_INTERSTICIAL[Condensa],TRUE,COND_INTERSTICIAL[Mes],CW184,COND_INTERSTICIAL[Sección],CX184)+1),N_capas,INDEX(COND_INTERSTICIAL[capa lím inf cond],MATCH(COND_INTERSTICIAL[[#This Row],[Mes]]&amp;"-"&amp;COND_INTERSTICIAL[[#This Row],[Sección]]&amp;"-"&amp;(COND_INTERSTICIAL[[#This Row],[tramo cond]]+1),COND_INTERSTICIAL[llave tramo cond],0)))</f>
        <v>#N/A</v>
      </c>
      <c r="DM184" s="108" cm="1">
        <f t="array" aca="1" ref="DM18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84" s="110" t="e" cm="1">
        <f t="array" aca="1" ref="DN18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8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84" s="107" t="e">
        <f ca="1">COND_INTERSTICIAL[[#This Row],[gc]]+COND_INTERSTICIAL[[#This Row],[Ma_anterior cond]]</f>
        <v>#N/A</v>
      </c>
      <c r="DQ184" s="113" t="e">
        <f ca="1">IF((COND_INTERSTICIAL[[#This Row],[Ma_anterior cond]]&gt;0)*NOT(COND_INTERSTICIAL[[#This Row],[Condensa]]),TRUE,FALSE)</f>
        <v>#N/A</v>
      </c>
      <c r="DR184" s="112" t="e" cm="1">
        <f t="array" aca="1" ref="DR184" ca="1">IF(COND_INTERSTICIAL[[#This Row],[evapora]],COND_INTERSTICIAL[[#This Row],[Psat]],IF(COND_INTERSTICIAL[[#This Row],[Capa]]=N_capas,COND_INTERSTICIAL[[#This Row],[Pn]],""))</f>
        <v>#N/A</v>
      </c>
      <c r="DS184" s="112" t="e">
        <f ca="1">COND_INTERSTICIAL[[#This Row],[Mes]]&amp;"-"&amp;COND_INTERSTICIAL[[#This Row],[Sección]]&amp;"-"&amp;COND_INTERSTICIAL[[#This Row],[tramo ev]]</f>
        <v>#N/A</v>
      </c>
      <c r="DT184" s="111" t="e" cm="1">
        <f t="array" aca="1" ref="DT184" ca="1">IF(COND_INTERSTICIAL[[#This Row],[Capa]]=1,IF(COND_INTERSTICIAL[[#This Row],[evapora]],2,1),IF(COND_INTERSTICIAL[[#This Row],[evapora]],1,0)+INDIRECT(ADDRESS(ROW()-1,COLUMN(),4)))</f>
        <v>#N/A</v>
      </c>
      <c r="DU184" s="111" t="e" cm="1">
        <f t="array" aca="1" ref="DU184" ca="1">IF(COND_INTERSTICIAL[[#This Row],[tramo ev]]=1,0,IF((COND_INTERSTICIAL[[#This Row],[tramo ev]]&gt;INDIRECT(ADDRESS(ROW()-1,COLUMN(COND_INTERSTICIAL[[#This Row],[tramo ev]]),4)))+COND_INTERSTICIAL[[#This Row],[evapora]],COND_INTERSTICIAL[[#This Row],[Capa]],INDIRECT(ADDRESS(ROW()-1,COLUMN(),4))))</f>
        <v>#N/A</v>
      </c>
      <c r="DV184" s="111" t="e" cm="1">
        <f t="array" aca="1" ref="DV184" ca="1">IF((COND_INTERSTICIAL[[#This Row],[Capa]]=N_capas)+(COND_INTERSTICIAL[[#This Row],[tramo ev]]=COUNTIFS(COND_INTERSTICIAL[evapora],TRUE,COND_INTERSTICIAL[Mes],CW184,COND_INTERSTICIAL[Sección],CX184)+1),N_capas,INDEX(COND_INTERSTICIAL[capa lím inf ev],MATCH(COND_INTERSTICIAL[[#This Row],[Mes]]&amp;"-"&amp;COND_INTERSTICIAL[[#This Row],[Sección]]&amp;"-"&amp;(COND_INTERSTICIAL[[#This Row],[tramo ev]]+1),COND_INTERSTICIAL[llave tramo ev],0)))</f>
        <v>#N/A</v>
      </c>
      <c r="DW184" s="111" cm="1">
        <f t="array" aca="1" ref="DW18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84" s="113" t="e" cm="1">
        <f t="array" aca="1" ref="DX18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8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84" s="113" t="e">
        <f ca="1">COND_INTERSTICIAL[[#This Row],[gev]]+COND_INTERSTICIAL[[#This Row],[Ma anterior ev]]</f>
        <v>#N/A</v>
      </c>
      <c r="EA184" s="115" t="e">
        <f ca="1">IF(COND_INTERSTICIAL[[#This Row],[Ma cond]]+COND_INTERSTICIAL[[#This Row],[Ma ev]]&lt;=0,0,COND_INTERSTICIAL[[#This Row],[Ma cond]]+COND_INTERSTICIAL[[#This Row],[Ma ev]])</f>
        <v>#N/A</v>
      </c>
      <c r="EB184" s="115" t="e">
        <f ca="1">IF(COND_INTERSTICIAL[[#This Row],[Ma]]&gt;0,TRUE,FALSE)</f>
        <v>#N/A</v>
      </c>
      <c r="EC184" s="115" t="e" cm="1">
        <f t="array" aca="1" ref="EC184" ca="1">IF(COND_INTERSTICIAL[[#This Row],[agua líquida]],IF(COND_INTERSTICIAL[[#This Row],[Condensa]],COND_INTERSTICIAL[[#This Row],[P límite cond]],COND_INTERSTICIAL[[#This Row],[P límite ev]]),IF(COND_INTERSTICIAL[[#This Row],[Capa]]=N_capas,COND_INTERSTICIAL[[#This Row],[Pn]],""))</f>
        <v>#N/A</v>
      </c>
      <c r="ED184" s="115" t="e">
        <f ca="1">COND_INTERSTICIAL[[#This Row],[Mes]]&amp;"-"&amp;COND_INTERSTICIAL[[#This Row],[Sección]]&amp;"-"&amp;COND_INTERSTICIAL[[#This Row],[tramo gráf]]</f>
        <v>#N/A</v>
      </c>
      <c r="EE184" s="114" t="e" cm="1">
        <f t="array" aca="1" ref="EE184" ca="1">IF(COND_INTERSTICIAL[[#This Row],[Capa]]=1,IF(COND_INTERSTICIAL[[#This Row],[agua líquida]],2,1),IF(COND_INTERSTICIAL[[#This Row],[agua líquida]],1,0)+INDIRECT(ADDRESS(ROW()-1,COLUMN(),4)))</f>
        <v>#N/A</v>
      </c>
      <c r="EF184" s="114" t="e" cm="1">
        <f t="array" aca="1" ref="EF184" ca="1">IF(COND_INTERSTICIAL[[#This Row],[tramo gráf]]=1,0,IF((COND_INTERSTICIAL[[#This Row],[tramo gráf]]&gt;INDIRECT(ADDRESS(ROW()-1,COLUMN(COND_INTERSTICIAL[[#This Row],[tramo gráf]]),4)))+COND_INTERSTICIAL[[#This Row],[agua líquida]],COND_INTERSTICIAL[[#This Row],[Capa]],INDIRECT(ADDRESS(ROW()-1,COLUMN(),4))))</f>
        <v>#N/A</v>
      </c>
      <c r="EG184" s="114" t="e" cm="1">
        <f t="array" aca="1" ref="EG184" ca="1">IF((COND_INTERSTICIAL[[#This Row],[Capa]]=N_capas)+(COND_INTERSTICIAL[[#This Row],[tramo gráf]]=COUNTIFS(COND_INTERSTICIAL[agua líquida],TRUE,COND_INTERSTICIAL[Mes],CW184,COND_INTERSTICIAL[Sección],CX184)+1),N_capas,INDEX(COND_INTERSTICIAL[capa lím inf gráf],MATCH(COND_INTERSTICIAL[[#This Row],[Mes]]&amp;"-"&amp;COND_INTERSTICIAL[[#This Row],[Sección]]&amp;"-"&amp;(COND_INTERSTICIAL[[#This Row],[tramo gráf]]+1),COND_INTERSTICIAL[llave tramo gráf],0)))</f>
        <v>#N/A</v>
      </c>
      <c r="EH184" s="114" cm="1">
        <f t="array" aca="1" ref="EH18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84" s="116" t="e" cm="1">
        <f t="array" aca="1" ref="EI18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85" spans="100:139" x14ac:dyDescent="0.45">
      <c r="CV185" s="90"/>
      <c r="CW185" s="1" cm="1">
        <f t="array" ref="CW185">ROUNDUP((ROW()-$CN$18+(Mes_inicial_de_análisis-1)*N_capas*N_secciones)/(N_capas*N_secciones),0)-12*IF(ROW()-$CN$18&gt;(12-Mes_inicial_de_análisis+1)*N_capas*N_secciones,1,0)</f>
        <v>6</v>
      </c>
      <c r="CX185" cm="1">
        <f t="array" ref="CX185">ROUNDUP((ROW()-$CN$18)/N_capas-(ROUNDUP((ROW()-$CN$18)/(N_capas*N_secciones),0)-1)*N_secciones,0)</f>
        <v>2</v>
      </c>
      <c r="CY185" cm="1">
        <f t="array" ref="CY185">(ROW()-$CN$18)-(COND_INTERSTICIAL[[#This Row],[Sección]]-1)*N_capas-(ROUNDUP((ROW()-$CN$18)/(N_capas*N_secciones),0)-1)*N_capas*N_secciones</f>
        <v>5</v>
      </c>
      <c r="CZ185" t="str">
        <f>COND_INTERSTICIAL[[#This Row],[Mes]]&amp;"-"&amp;COND_INTERSTICIAL[[#This Row],[Sección]]&amp;"-"&amp;COND_INTERSTICIAL[[#This Row],[Capa]]</f>
        <v>6-2-5</v>
      </c>
      <c r="DA185">
        <f ca="1">INDEX(SECCIONES_CAPAS[R''n],MATCH(COND_INTERSTICIAL[[#This Row],[Sección]]&amp;"-"&amp;COND_INTERSTICIAL[[#This Row],[Capa]],SECCIONES_CAPAS[llave],0))</f>
        <v>0.04</v>
      </c>
      <c r="DB185" s="172" t="e" cm="1">
        <f t="array" aca="1" ref="DB185" ca="1">INDEX(CLIMA[ϴe],COND_INTERSTICIAL[[#This Row],[Mes]])+COND_INTERSTICIAL[[#This Row],[Rn]]*(INDEX(CLIMA[ϴi],COND_INTERSTICIAL[[#This Row],[Mes]])-INDEX(CLIMA[ϴe],COND_INTERSTICIAL[[#This Row],[Mes]]))/(INDEX(SECCIONES[Rtsección_condensación],COND_INTERSTICIAL[[#This Row],[Sección]]))</f>
        <v>#N/A</v>
      </c>
      <c r="DC185">
        <f>INDEX(SECCIONES_CAPAS[Sd],MATCH(COND_INTERSTICIAL[[#This Row],[Sección]]&amp;"-"&amp;COND_INTERSTICIAL[[#This Row],[Capa]],SECCIONES_CAPAS[llave],0))</f>
        <v>0</v>
      </c>
      <c r="DD185">
        <f ca="1">INDEX(SECCIONES_CAPAS[S''d],MATCH(COND_INTERSTICIAL[[#This Row],[Sección]]&amp;"-"&amp;COND_INTERSTICIAL[[#This Row],[Capa]],SECCIONES_CAPAS[llave],0))</f>
        <v>0</v>
      </c>
      <c r="DE185" s="90" t="e">
        <f ca="1">IF(COND_INTERSTICIAL[[#This Row],[ϴn]]&gt;=0,610.5*EXP((17.269*COND_INTERSTICIAL[[#This Row],[ϴn]])/(237.3+COND_INTERSTICIAL[[#This Row],[ϴn]])),610.5*EXP((21.875*COND_INTERSTICIAL[[#This Row],[ϴn]])/(265.5+COND_INTERSTICIAL[[#This Row],[ϴn]])))</f>
        <v>#N/A</v>
      </c>
      <c r="DF185" s="90" t="e" cm="1">
        <f t="array" aca="1" ref="DF185" ca="1">COND_INTERSTICIAL[[#This Row],[S''d]]*((INDEX(CLIMA[Pi],COND_INTERSTICIAL[[#This Row],[Mes]])-INDEX(CLIMA[Pe],COND_INTERSTICIAL[[#This Row],[Mes]]))/INDEX(SECCIONES[SdT],COND_INTERSTICIAL[[#This Row],[Sección]]))+INDEX(CLIMA[Pe],COND_INTERSTICIAL[[#This Row],[Mes]])</f>
        <v>#N/A</v>
      </c>
      <c r="DG185" s="108" t="e">
        <f ca="1">IF((COND_INTERSTICIAL[[#This Row],[Pn]]&gt;=COND_INTERSTICIAL[[#This Row],[Psat]]),TRUE,FALSE)</f>
        <v>#N/A</v>
      </c>
      <c r="DH185" s="109" t="e" cm="1">
        <f t="array" aca="1" ref="DH185" ca="1">IF(COND_INTERSTICIAL[[#This Row],[Condensa]],COND_INTERSTICIAL[[#This Row],[Psat]],IF(COND_INTERSTICIAL[[#This Row],[Capa]]=N_capas,COND_INTERSTICIAL[[#This Row],[Pn]],""))</f>
        <v>#N/A</v>
      </c>
      <c r="DI185" s="109" t="e">
        <f ca="1">COND_INTERSTICIAL[[#This Row],[Mes]]&amp;"-"&amp;COND_INTERSTICIAL[[#This Row],[Sección]]&amp;"-"&amp;COND_INTERSTICIAL[[#This Row],[tramo cond]]</f>
        <v>#N/A</v>
      </c>
      <c r="DJ185" t="e" cm="1">
        <f t="array" aca="1" ref="DJ185" ca="1">IF(COND_INTERSTICIAL[[#This Row],[Capa]]=1,IF(COND_INTERSTICIAL[[#This Row],[Condensa]],2,1),IF(COND_INTERSTICIAL[[#This Row],[Condensa]],1,0)+INDIRECT(ADDRESS(ROW()-1,COLUMN(),4)))</f>
        <v>#N/A</v>
      </c>
      <c r="DK185" s="108" t="e" cm="1">
        <f t="array" aca="1" ref="DK185" ca="1">IF(COND_INTERSTICIAL[[#This Row],[tramo cond]]=1,0,IF((COND_INTERSTICIAL[[#This Row],[tramo cond]]&gt;INDIRECT(ADDRESS(ROW()-1,COLUMN(COND_INTERSTICIAL[[#This Row],[tramo cond]]),4)))+COND_INTERSTICIAL[[#This Row],[Condensa]],COND_INTERSTICIAL[[#This Row],[Capa]],INDIRECT(ADDRESS(ROW()-1,COLUMN(),4))))</f>
        <v>#N/A</v>
      </c>
      <c r="DL185" s="108" t="e" cm="1">
        <f t="array" aca="1" ref="DL185" ca="1">IF((COND_INTERSTICIAL[[#This Row],[Capa]]=N_capas)+(COND_INTERSTICIAL[[#This Row],[tramo cond]]=COUNTIFS(COND_INTERSTICIAL[Condensa],TRUE,COND_INTERSTICIAL[Mes],CW185,COND_INTERSTICIAL[Sección],CX185)+1),N_capas,INDEX(COND_INTERSTICIAL[capa lím inf cond],MATCH(COND_INTERSTICIAL[[#This Row],[Mes]]&amp;"-"&amp;COND_INTERSTICIAL[[#This Row],[Sección]]&amp;"-"&amp;(COND_INTERSTICIAL[[#This Row],[tramo cond]]+1),COND_INTERSTICIAL[llave tramo cond],0)))</f>
        <v>#N/A</v>
      </c>
      <c r="DM185" s="108" cm="1">
        <f t="array" aca="1" ref="DM18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85" s="110" t="e" cm="1">
        <f t="array" aca="1" ref="DN18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8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85" s="107" t="e">
        <f ca="1">COND_INTERSTICIAL[[#This Row],[gc]]+COND_INTERSTICIAL[[#This Row],[Ma_anterior cond]]</f>
        <v>#N/A</v>
      </c>
      <c r="DQ185" s="113" t="e">
        <f ca="1">IF((COND_INTERSTICIAL[[#This Row],[Ma_anterior cond]]&gt;0)*NOT(COND_INTERSTICIAL[[#This Row],[Condensa]]),TRUE,FALSE)</f>
        <v>#N/A</v>
      </c>
      <c r="DR185" s="112" t="e" cm="1">
        <f t="array" aca="1" ref="DR185" ca="1">IF(COND_INTERSTICIAL[[#This Row],[evapora]],COND_INTERSTICIAL[[#This Row],[Psat]],IF(COND_INTERSTICIAL[[#This Row],[Capa]]=N_capas,COND_INTERSTICIAL[[#This Row],[Pn]],""))</f>
        <v>#N/A</v>
      </c>
      <c r="DS185" s="112" t="e">
        <f ca="1">COND_INTERSTICIAL[[#This Row],[Mes]]&amp;"-"&amp;COND_INTERSTICIAL[[#This Row],[Sección]]&amp;"-"&amp;COND_INTERSTICIAL[[#This Row],[tramo ev]]</f>
        <v>#N/A</v>
      </c>
      <c r="DT185" s="111" t="e" cm="1">
        <f t="array" aca="1" ref="DT185" ca="1">IF(COND_INTERSTICIAL[[#This Row],[Capa]]=1,IF(COND_INTERSTICIAL[[#This Row],[evapora]],2,1),IF(COND_INTERSTICIAL[[#This Row],[evapora]],1,0)+INDIRECT(ADDRESS(ROW()-1,COLUMN(),4)))</f>
        <v>#N/A</v>
      </c>
      <c r="DU185" s="111" t="e" cm="1">
        <f t="array" aca="1" ref="DU185" ca="1">IF(COND_INTERSTICIAL[[#This Row],[tramo ev]]=1,0,IF((COND_INTERSTICIAL[[#This Row],[tramo ev]]&gt;INDIRECT(ADDRESS(ROW()-1,COLUMN(COND_INTERSTICIAL[[#This Row],[tramo ev]]),4)))+COND_INTERSTICIAL[[#This Row],[evapora]],COND_INTERSTICIAL[[#This Row],[Capa]],INDIRECT(ADDRESS(ROW()-1,COLUMN(),4))))</f>
        <v>#N/A</v>
      </c>
      <c r="DV185" s="111" t="e" cm="1">
        <f t="array" aca="1" ref="DV185" ca="1">IF((COND_INTERSTICIAL[[#This Row],[Capa]]=N_capas)+(COND_INTERSTICIAL[[#This Row],[tramo ev]]=COUNTIFS(COND_INTERSTICIAL[evapora],TRUE,COND_INTERSTICIAL[Mes],CW185,COND_INTERSTICIAL[Sección],CX185)+1),N_capas,INDEX(COND_INTERSTICIAL[capa lím inf ev],MATCH(COND_INTERSTICIAL[[#This Row],[Mes]]&amp;"-"&amp;COND_INTERSTICIAL[[#This Row],[Sección]]&amp;"-"&amp;(COND_INTERSTICIAL[[#This Row],[tramo ev]]+1),COND_INTERSTICIAL[llave tramo ev],0)))</f>
        <v>#N/A</v>
      </c>
      <c r="DW185" s="111" cm="1">
        <f t="array" aca="1" ref="DW18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85" s="113" t="e" cm="1">
        <f t="array" aca="1" ref="DX18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8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85" s="113" t="e">
        <f ca="1">COND_INTERSTICIAL[[#This Row],[gev]]+COND_INTERSTICIAL[[#This Row],[Ma anterior ev]]</f>
        <v>#N/A</v>
      </c>
      <c r="EA185" s="115" t="e">
        <f ca="1">IF(COND_INTERSTICIAL[[#This Row],[Ma cond]]+COND_INTERSTICIAL[[#This Row],[Ma ev]]&lt;=0,0,COND_INTERSTICIAL[[#This Row],[Ma cond]]+COND_INTERSTICIAL[[#This Row],[Ma ev]])</f>
        <v>#N/A</v>
      </c>
      <c r="EB185" s="115" t="e">
        <f ca="1">IF(COND_INTERSTICIAL[[#This Row],[Ma]]&gt;0,TRUE,FALSE)</f>
        <v>#N/A</v>
      </c>
      <c r="EC185" s="115" t="e" cm="1">
        <f t="array" aca="1" ref="EC185" ca="1">IF(COND_INTERSTICIAL[[#This Row],[agua líquida]],IF(COND_INTERSTICIAL[[#This Row],[Condensa]],COND_INTERSTICIAL[[#This Row],[P límite cond]],COND_INTERSTICIAL[[#This Row],[P límite ev]]),IF(COND_INTERSTICIAL[[#This Row],[Capa]]=N_capas,COND_INTERSTICIAL[[#This Row],[Pn]],""))</f>
        <v>#N/A</v>
      </c>
      <c r="ED185" s="115" t="e">
        <f ca="1">COND_INTERSTICIAL[[#This Row],[Mes]]&amp;"-"&amp;COND_INTERSTICIAL[[#This Row],[Sección]]&amp;"-"&amp;COND_INTERSTICIAL[[#This Row],[tramo gráf]]</f>
        <v>#N/A</v>
      </c>
      <c r="EE185" s="114" t="e" cm="1">
        <f t="array" aca="1" ref="EE185" ca="1">IF(COND_INTERSTICIAL[[#This Row],[Capa]]=1,IF(COND_INTERSTICIAL[[#This Row],[agua líquida]],2,1),IF(COND_INTERSTICIAL[[#This Row],[agua líquida]],1,0)+INDIRECT(ADDRESS(ROW()-1,COLUMN(),4)))</f>
        <v>#N/A</v>
      </c>
      <c r="EF185" s="114" t="e" cm="1">
        <f t="array" aca="1" ref="EF185" ca="1">IF(COND_INTERSTICIAL[[#This Row],[tramo gráf]]=1,0,IF((COND_INTERSTICIAL[[#This Row],[tramo gráf]]&gt;INDIRECT(ADDRESS(ROW()-1,COLUMN(COND_INTERSTICIAL[[#This Row],[tramo gráf]]),4)))+COND_INTERSTICIAL[[#This Row],[agua líquida]],COND_INTERSTICIAL[[#This Row],[Capa]],INDIRECT(ADDRESS(ROW()-1,COLUMN(),4))))</f>
        <v>#N/A</v>
      </c>
      <c r="EG185" s="114" t="e" cm="1">
        <f t="array" aca="1" ref="EG185" ca="1">IF((COND_INTERSTICIAL[[#This Row],[Capa]]=N_capas)+(COND_INTERSTICIAL[[#This Row],[tramo gráf]]=COUNTIFS(COND_INTERSTICIAL[agua líquida],TRUE,COND_INTERSTICIAL[Mes],CW185,COND_INTERSTICIAL[Sección],CX185)+1),N_capas,INDEX(COND_INTERSTICIAL[capa lím inf gráf],MATCH(COND_INTERSTICIAL[[#This Row],[Mes]]&amp;"-"&amp;COND_INTERSTICIAL[[#This Row],[Sección]]&amp;"-"&amp;(COND_INTERSTICIAL[[#This Row],[tramo gráf]]+1),COND_INTERSTICIAL[llave tramo gráf],0)))</f>
        <v>#N/A</v>
      </c>
      <c r="EH185" s="114" cm="1">
        <f t="array" aca="1" ref="EH18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85" s="116" t="e" cm="1">
        <f t="array" aca="1" ref="EI18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86" spans="100:139" x14ac:dyDescent="0.45">
      <c r="CV186" s="90"/>
      <c r="CW186" s="1" cm="1">
        <f t="array" ref="CW186">ROUNDUP((ROW()-$CN$18+(Mes_inicial_de_análisis-1)*N_capas*N_secciones)/(N_capas*N_secciones),0)-12*IF(ROW()-$CN$18&gt;(12-Mes_inicial_de_análisis+1)*N_capas*N_secciones,1,0)</f>
        <v>6</v>
      </c>
      <c r="CX186" cm="1">
        <f t="array" ref="CX186">ROUNDUP((ROW()-$CN$18)/N_capas-(ROUNDUP((ROW()-$CN$18)/(N_capas*N_secciones),0)-1)*N_secciones,0)</f>
        <v>2</v>
      </c>
      <c r="CY186" cm="1">
        <f t="array" ref="CY186">(ROW()-$CN$18)-(COND_INTERSTICIAL[[#This Row],[Sección]]-1)*N_capas-(ROUNDUP((ROW()-$CN$18)/(N_capas*N_secciones),0)-1)*N_capas*N_secciones</f>
        <v>6</v>
      </c>
      <c r="CZ186" t="str">
        <f>COND_INTERSTICIAL[[#This Row],[Mes]]&amp;"-"&amp;COND_INTERSTICIAL[[#This Row],[Sección]]&amp;"-"&amp;COND_INTERSTICIAL[[#This Row],[Capa]]</f>
        <v>6-2-6</v>
      </c>
      <c r="DA186">
        <f ca="1">INDEX(SECCIONES_CAPAS[R''n],MATCH(COND_INTERSTICIAL[[#This Row],[Sección]]&amp;"-"&amp;COND_INTERSTICIAL[[#This Row],[Capa]],SECCIONES_CAPAS[llave],0))</f>
        <v>0.04</v>
      </c>
      <c r="DB186" s="172" t="e" cm="1">
        <f t="array" aca="1" ref="DB186" ca="1">INDEX(CLIMA[ϴe],COND_INTERSTICIAL[[#This Row],[Mes]])+COND_INTERSTICIAL[[#This Row],[Rn]]*(INDEX(CLIMA[ϴi],COND_INTERSTICIAL[[#This Row],[Mes]])-INDEX(CLIMA[ϴe],COND_INTERSTICIAL[[#This Row],[Mes]]))/(INDEX(SECCIONES[Rtsección_condensación],COND_INTERSTICIAL[[#This Row],[Sección]]))</f>
        <v>#N/A</v>
      </c>
      <c r="DC186">
        <f>INDEX(SECCIONES_CAPAS[Sd],MATCH(COND_INTERSTICIAL[[#This Row],[Sección]]&amp;"-"&amp;COND_INTERSTICIAL[[#This Row],[Capa]],SECCIONES_CAPAS[llave],0))</f>
        <v>0</v>
      </c>
      <c r="DD186">
        <f ca="1">INDEX(SECCIONES_CAPAS[S''d],MATCH(COND_INTERSTICIAL[[#This Row],[Sección]]&amp;"-"&amp;COND_INTERSTICIAL[[#This Row],[Capa]],SECCIONES_CAPAS[llave],0))</f>
        <v>0</v>
      </c>
      <c r="DE186" s="90" t="e">
        <f ca="1">IF(COND_INTERSTICIAL[[#This Row],[ϴn]]&gt;=0,610.5*EXP((17.269*COND_INTERSTICIAL[[#This Row],[ϴn]])/(237.3+COND_INTERSTICIAL[[#This Row],[ϴn]])),610.5*EXP((21.875*COND_INTERSTICIAL[[#This Row],[ϴn]])/(265.5+COND_INTERSTICIAL[[#This Row],[ϴn]])))</f>
        <v>#N/A</v>
      </c>
      <c r="DF186" s="90" t="e" cm="1">
        <f t="array" aca="1" ref="DF186" ca="1">COND_INTERSTICIAL[[#This Row],[S''d]]*((INDEX(CLIMA[Pi],COND_INTERSTICIAL[[#This Row],[Mes]])-INDEX(CLIMA[Pe],COND_INTERSTICIAL[[#This Row],[Mes]]))/INDEX(SECCIONES[SdT],COND_INTERSTICIAL[[#This Row],[Sección]]))+INDEX(CLIMA[Pe],COND_INTERSTICIAL[[#This Row],[Mes]])</f>
        <v>#N/A</v>
      </c>
      <c r="DG186" s="108" t="e">
        <f ca="1">IF((COND_INTERSTICIAL[[#This Row],[Pn]]&gt;=COND_INTERSTICIAL[[#This Row],[Psat]]),TRUE,FALSE)</f>
        <v>#N/A</v>
      </c>
      <c r="DH186" s="109" t="e" cm="1">
        <f t="array" aca="1" ref="DH186" ca="1">IF(COND_INTERSTICIAL[[#This Row],[Condensa]],COND_INTERSTICIAL[[#This Row],[Psat]],IF(COND_INTERSTICIAL[[#This Row],[Capa]]=N_capas,COND_INTERSTICIAL[[#This Row],[Pn]],""))</f>
        <v>#N/A</v>
      </c>
      <c r="DI186" s="109" t="e">
        <f ca="1">COND_INTERSTICIAL[[#This Row],[Mes]]&amp;"-"&amp;COND_INTERSTICIAL[[#This Row],[Sección]]&amp;"-"&amp;COND_INTERSTICIAL[[#This Row],[tramo cond]]</f>
        <v>#N/A</v>
      </c>
      <c r="DJ186" t="e" cm="1">
        <f t="array" aca="1" ref="DJ186" ca="1">IF(COND_INTERSTICIAL[[#This Row],[Capa]]=1,IF(COND_INTERSTICIAL[[#This Row],[Condensa]],2,1),IF(COND_INTERSTICIAL[[#This Row],[Condensa]],1,0)+INDIRECT(ADDRESS(ROW()-1,COLUMN(),4)))</f>
        <v>#N/A</v>
      </c>
      <c r="DK186" s="108" t="e" cm="1">
        <f t="array" aca="1" ref="DK186" ca="1">IF(COND_INTERSTICIAL[[#This Row],[tramo cond]]=1,0,IF((COND_INTERSTICIAL[[#This Row],[tramo cond]]&gt;INDIRECT(ADDRESS(ROW()-1,COLUMN(COND_INTERSTICIAL[[#This Row],[tramo cond]]),4)))+COND_INTERSTICIAL[[#This Row],[Condensa]],COND_INTERSTICIAL[[#This Row],[Capa]],INDIRECT(ADDRESS(ROW()-1,COLUMN(),4))))</f>
        <v>#N/A</v>
      </c>
      <c r="DL186" s="108" t="e" cm="1">
        <f t="array" aca="1" ref="DL186" ca="1">IF((COND_INTERSTICIAL[[#This Row],[Capa]]=N_capas)+(COND_INTERSTICIAL[[#This Row],[tramo cond]]=COUNTIFS(COND_INTERSTICIAL[Condensa],TRUE,COND_INTERSTICIAL[Mes],CW186,COND_INTERSTICIAL[Sección],CX186)+1),N_capas,INDEX(COND_INTERSTICIAL[capa lím inf cond],MATCH(COND_INTERSTICIAL[[#This Row],[Mes]]&amp;"-"&amp;COND_INTERSTICIAL[[#This Row],[Sección]]&amp;"-"&amp;(COND_INTERSTICIAL[[#This Row],[tramo cond]]+1),COND_INTERSTICIAL[llave tramo cond],0)))</f>
        <v>#N/A</v>
      </c>
      <c r="DM186" s="108" cm="1">
        <f t="array" aca="1" ref="DM18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86" s="110" t="e" cm="1">
        <f t="array" aca="1" ref="DN18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8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86" s="107" t="e">
        <f ca="1">COND_INTERSTICIAL[[#This Row],[gc]]+COND_INTERSTICIAL[[#This Row],[Ma_anterior cond]]</f>
        <v>#N/A</v>
      </c>
      <c r="DQ186" s="113" t="e">
        <f ca="1">IF((COND_INTERSTICIAL[[#This Row],[Ma_anterior cond]]&gt;0)*NOT(COND_INTERSTICIAL[[#This Row],[Condensa]]),TRUE,FALSE)</f>
        <v>#N/A</v>
      </c>
      <c r="DR186" s="112" t="e" cm="1">
        <f t="array" aca="1" ref="DR186" ca="1">IF(COND_INTERSTICIAL[[#This Row],[evapora]],COND_INTERSTICIAL[[#This Row],[Psat]],IF(COND_INTERSTICIAL[[#This Row],[Capa]]=N_capas,COND_INTERSTICIAL[[#This Row],[Pn]],""))</f>
        <v>#N/A</v>
      </c>
      <c r="DS186" s="112" t="e">
        <f ca="1">COND_INTERSTICIAL[[#This Row],[Mes]]&amp;"-"&amp;COND_INTERSTICIAL[[#This Row],[Sección]]&amp;"-"&amp;COND_INTERSTICIAL[[#This Row],[tramo ev]]</f>
        <v>#N/A</v>
      </c>
      <c r="DT186" s="111" t="e" cm="1">
        <f t="array" aca="1" ref="DT186" ca="1">IF(COND_INTERSTICIAL[[#This Row],[Capa]]=1,IF(COND_INTERSTICIAL[[#This Row],[evapora]],2,1),IF(COND_INTERSTICIAL[[#This Row],[evapora]],1,0)+INDIRECT(ADDRESS(ROW()-1,COLUMN(),4)))</f>
        <v>#N/A</v>
      </c>
      <c r="DU186" s="111" t="e" cm="1">
        <f t="array" aca="1" ref="DU186" ca="1">IF(COND_INTERSTICIAL[[#This Row],[tramo ev]]=1,0,IF((COND_INTERSTICIAL[[#This Row],[tramo ev]]&gt;INDIRECT(ADDRESS(ROW()-1,COLUMN(COND_INTERSTICIAL[[#This Row],[tramo ev]]),4)))+COND_INTERSTICIAL[[#This Row],[evapora]],COND_INTERSTICIAL[[#This Row],[Capa]],INDIRECT(ADDRESS(ROW()-1,COLUMN(),4))))</f>
        <v>#N/A</v>
      </c>
      <c r="DV186" s="111" t="e" cm="1">
        <f t="array" aca="1" ref="DV186" ca="1">IF((COND_INTERSTICIAL[[#This Row],[Capa]]=N_capas)+(COND_INTERSTICIAL[[#This Row],[tramo ev]]=COUNTIFS(COND_INTERSTICIAL[evapora],TRUE,COND_INTERSTICIAL[Mes],CW186,COND_INTERSTICIAL[Sección],CX186)+1),N_capas,INDEX(COND_INTERSTICIAL[capa lím inf ev],MATCH(COND_INTERSTICIAL[[#This Row],[Mes]]&amp;"-"&amp;COND_INTERSTICIAL[[#This Row],[Sección]]&amp;"-"&amp;(COND_INTERSTICIAL[[#This Row],[tramo ev]]+1),COND_INTERSTICIAL[llave tramo ev],0)))</f>
        <v>#N/A</v>
      </c>
      <c r="DW186" s="111" cm="1">
        <f t="array" aca="1" ref="DW18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86" s="113" t="e" cm="1">
        <f t="array" aca="1" ref="DX18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8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86" s="113" t="e">
        <f ca="1">COND_INTERSTICIAL[[#This Row],[gev]]+COND_INTERSTICIAL[[#This Row],[Ma anterior ev]]</f>
        <v>#N/A</v>
      </c>
      <c r="EA186" s="115" t="e">
        <f ca="1">IF(COND_INTERSTICIAL[[#This Row],[Ma cond]]+COND_INTERSTICIAL[[#This Row],[Ma ev]]&lt;=0,0,COND_INTERSTICIAL[[#This Row],[Ma cond]]+COND_INTERSTICIAL[[#This Row],[Ma ev]])</f>
        <v>#N/A</v>
      </c>
      <c r="EB186" s="115" t="e">
        <f ca="1">IF(COND_INTERSTICIAL[[#This Row],[Ma]]&gt;0,TRUE,FALSE)</f>
        <v>#N/A</v>
      </c>
      <c r="EC186" s="115" t="e" cm="1">
        <f t="array" aca="1" ref="EC186" ca="1">IF(COND_INTERSTICIAL[[#This Row],[agua líquida]],IF(COND_INTERSTICIAL[[#This Row],[Condensa]],COND_INTERSTICIAL[[#This Row],[P límite cond]],COND_INTERSTICIAL[[#This Row],[P límite ev]]),IF(COND_INTERSTICIAL[[#This Row],[Capa]]=N_capas,COND_INTERSTICIAL[[#This Row],[Pn]],""))</f>
        <v>#N/A</v>
      </c>
      <c r="ED186" s="115" t="e">
        <f ca="1">COND_INTERSTICIAL[[#This Row],[Mes]]&amp;"-"&amp;COND_INTERSTICIAL[[#This Row],[Sección]]&amp;"-"&amp;COND_INTERSTICIAL[[#This Row],[tramo gráf]]</f>
        <v>#N/A</v>
      </c>
      <c r="EE186" s="114" t="e" cm="1">
        <f t="array" aca="1" ref="EE186" ca="1">IF(COND_INTERSTICIAL[[#This Row],[Capa]]=1,IF(COND_INTERSTICIAL[[#This Row],[agua líquida]],2,1),IF(COND_INTERSTICIAL[[#This Row],[agua líquida]],1,0)+INDIRECT(ADDRESS(ROW()-1,COLUMN(),4)))</f>
        <v>#N/A</v>
      </c>
      <c r="EF186" s="114" t="e" cm="1">
        <f t="array" aca="1" ref="EF186" ca="1">IF(COND_INTERSTICIAL[[#This Row],[tramo gráf]]=1,0,IF((COND_INTERSTICIAL[[#This Row],[tramo gráf]]&gt;INDIRECT(ADDRESS(ROW()-1,COLUMN(COND_INTERSTICIAL[[#This Row],[tramo gráf]]),4)))+COND_INTERSTICIAL[[#This Row],[agua líquida]],COND_INTERSTICIAL[[#This Row],[Capa]],INDIRECT(ADDRESS(ROW()-1,COLUMN(),4))))</f>
        <v>#N/A</v>
      </c>
      <c r="EG186" s="114" t="e" cm="1">
        <f t="array" aca="1" ref="EG186" ca="1">IF((COND_INTERSTICIAL[[#This Row],[Capa]]=N_capas)+(COND_INTERSTICIAL[[#This Row],[tramo gráf]]=COUNTIFS(COND_INTERSTICIAL[agua líquida],TRUE,COND_INTERSTICIAL[Mes],CW186,COND_INTERSTICIAL[Sección],CX186)+1),N_capas,INDEX(COND_INTERSTICIAL[capa lím inf gráf],MATCH(COND_INTERSTICIAL[[#This Row],[Mes]]&amp;"-"&amp;COND_INTERSTICIAL[[#This Row],[Sección]]&amp;"-"&amp;(COND_INTERSTICIAL[[#This Row],[tramo gráf]]+1),COND_INTERSTICIAL[llave tramo gráf],0)))</f>
        <v>#N/A</v>
      </c>
      <c r="EH186" s="114" cm="1">
        <f t="array" aca="1" ref="EH18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86" s="116" t="e" cm="1">
        <f t="array" aca="1" ref="EI18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87" spans="100:139" x14ac:dyDescent="0.45">
      <c r="CV187" s="90"/>
      <c r="CW187" s="1" cm="1">
        <f t="array" ref="CW187">ROUNDUP((ROW()-$CN$18+(Mes_inicial_de_análisis-1)*N_capas*N_secciones)/(N_capas*N_secciones),0)-12*IF(ROW()-$CN$18&gt;(12-Mes_inicial_de_análisis+1)*N_capas*N_secciones,1,0)</f>
        <v>6</v>
      </c>
      <c r="CX187" cm="1">
        <f t="array" ref="CX187">ROUNDUP((ROW()-$CN$18)/N_capas-(ROUNDUP((ROW()-$CN$18)/(N_capas*N_secciones),0)-1)*N_secciones,0)</f>
        <v>2</v>
      </c>
      <c r="CY187" cm="1">
        <f t="array" ref="CY187">(ROW()-$CN$18)-(COND_INTERSTICIAL[[#This Row],[Sección]]-1)*N_capas-(ROUNDUP((ROW()-$CN$18)/(N_capas*N_secciones),0)-1)*N_capas*N_secciones</f>
        <v>7</v>
      </c>
      <c r="CZ187" t="str">
        <f>COND_INTERSTICIAL[[#This Row],[Mes]]&amp;"-"&amp;COND_INTERSTICIAL[[#This Row],[Sección]]&amp;"-"&amp;COND_INTERSTICIAL[[#This Row],[Capa]]</f>
        <v>6-2-7</v>
      </c>
      <c r="DA187">
        <f ca="1">INDEX(SECCIONES_CAPAS[R''n],MATCH(COND_INTERSTICIAL[[#This Row],[Sección]]&amp;"-"&amp;COND_INTERSTICIAL[[#This Row],[Capa]],SECCIONES_CAPAS[llave],0))</f>
        <v>0.04</v>
      </c>
      <c r="DB187" s="172" t="e" cm="1">
        <f t="array" aca="1" ref="DB187" ca="1">INDEX(CLIMA[ϴe],COND_INTERSTICIAL[[#This Row],[Mes]])+COND_INTERSTICIAL[[#This Row],[Rn]]*(INDEX(CLIMA[ϴi],COND_INTERSTICIAL[[#This Row],[Mes]])-INDEX(CLIMA[ϴe],COND_INTERSTICIAL[[#This Row],[Mes]]))/(INDEX(SECCIONES[Rtsección_condensación],COND_INTERSTICIAL[[#This Row],[Sección]]))</f>
        <v>#N/A</v>
      </c>
      <c r="DC187">
        <f>INDEX(SECCIONES_CAPAS[Sd],MATCH(COND_INTERSTICIAL[[#This Row],[Sección]]&amp;"-"&amp;COND_INTERSTICIAL[[#This Row],[Capa]],SECCIONES_CAPAS[llave],0))</f>
        <v>0</v>
      </c>
      <c r="DD187">
        <f ca="1">INDEX(SECCIONES_CAPAS[S''d],MATCH(COND_INTERSTICIAL[[#This Row],[Sección]]&amp;"-"&amp;COND_INTERSTICIAL[[#This Row],[Capa]],SECCIONES_CAPAS[llave],0))</f>
        <v>0</v>
      </c>
      <c r="DE187" s="90" t="e">
        <f ca="1">IF(COND_INTERSTICIAL[[#This Row],[ϴn]]&gt;=0,610.5*EXP((17.269*COND_INTERSTICIAL[[#This Row],[ϴn]])/(237.3+COND_INTERSTICIAL[[#This Row],[ϴn]])),610.5*EXP((21.875*COND_INTERSTICIAL[[#This Row],[ϴn]])/(265.5+COND_INTERSTICIAL[[#This Row],[ϴn]])))</f>
        <v>#N/A</v>
      </c>
      <c r="DF187" s="90" t="e" cm="1">
        <f t="array" aca="1" ref="DF187" ca="1">COND_INTERSTICIAL[[#This Row],[S''d]]*((INDEX(CLIMA[Pi],COND_INTERSTICIAL[[#This Row],[Mes]])-INDEX(CLIMA[Pe],COND_INTERSTICIAL[[#This Row],[Mes]]))/INDEX(SECCIONES[SdT],COND_INTERSTICIAL[[#This Row],[Sección]]))+INDEX(CLIMA[Pe],COND_INTERSTICIAL[[#This Row],[Mes]])</f>
        <v>#N/A</v>
      </c>
      <c r="DG187" s="108" t="e">
        <f ca="1">IF((COND_INTERSTICIAL[[#This Row],[Pn]]&gt;=COND_INTERSTICIAL[[#This Row],[Psat]]),TRUE,FALSE)</f>
        <v>#N/A</v>
      </c>
      <c r="DH187" s="109" t="e" cm="1">
        <f t="array" aca="1" ref="DH187" ca="1">IF(COND_INTERSTICIAL[[#This Row],[Condensa]],COND_INTERSTICIAL[[#This Row],[Psat]],IF(COND_INTERSTICIAL[[#This Row],[Capa]]=N_capas,COND_INTERSTICIAL[[#This Row],[Pn]],""))</f>
        <v>#N/A</v>
      </c>
      <c r="DI187" s="109" t="e">
        <f ca="1">COND_INTERSTICIAL[[#This Row],[Mes]]&amp;"-"&amp;COND_INTERSTICIAL[[#This Row],[Sección]]&amp;"-"&amp;COND_INTERSTICIAL[[#This Row],[tramo cond]]</f>
        <v>#N/A</v>
      </c>
      <c r="DJ187" t="e" cm="1">
        <f t="array" aca="1" ref="DJ187" ca="1">IF(COND_INTERSTICIAL[[#This Row],[Capa]]=1,IF(COND_INTERSTICIAL[[#This Row],[Condensa]],2,1),IF(COND_INTERSTICIAL[[#This Row],[Condensa]],1,0)+INDIRECT(ADDRESS(ROW()-1,COLUMN(),4)))</f>
        <v>#N/A</v>
      </c>
      <c r="DK187" s="108" t="e" cm="1">
        <f t="array" aca="1" ref="DK187" ca="1">IF(COND_INTERSTICIAL[[#This Row],[tramo cond]]=1,0,IF((COND_INTERSTICIAL[[#This Row],[tramo cond]]&gt;INDIRECT(ADDRESS(ROW()-1,COLUMN(COND_INTERSTICIAL[[#This Row],[tramo cond]]),4)))+COND_INTERSTICIAL[[#This Row],[Condensa]],COND_INTERSTICIAL[[#This Row],[Capa]],INDIRECT(ADDRESS(ROW()-1,COLUMN(),4))))</f>
        <v>#N/A</v>
      </c>
      <c r="DL187" s="108" t="e" cm="1">
        <f t="array" aca="1" ref="DL187" ca="1">IF((COND_INTERSTICIAL[[#This Row],[Capa]]=N_capas)+(COND_INTERSTICIAL[[#This Row],[tramo cond]]=COUNTIFS(COND_INTERSTICIAL[Condensa],TRUE,COND_INTERSTICIAL[Mes],CW187,COND_INTERSTICIAL[Sección],CX187)+1),N_capas,INDEX(COND_INTERSTICIAL[capa lím inf cond],MATCH(COND_INTERSTICIAL[[#This Row],[Mes]]&amp;"-"&amp;COND_INTERSTICIAL[[#This Row],[Sección]]&amp;"-"&amp;(COND_INTERSTICIAL[[#This Row],[tramo cond]]+1),COND_INTERSTICIAL[llave tramo cond],0)))</f>
        <v>#N/A</v>
      </c>
      <c r="DM187" s="108" cm="1">
        <f t="array" aca="1" ref="DM18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87" s="110" t="e" cm="1">
        <f t="array" aca="1" ref="DN18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8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87" s="107" t="e">
        <f ca="1">COND_INTERSTICIAL[[#This Row],[gc]]+COND_INTERSTICIAL[[#This Row],[Ma_anterior cond]]</f>
        <v>#N/A</v>
      </c>
      <c r="DQ187" s="113" t="e">
        <f ca="1">IF((COND_INTERSTICIAL[[#This Row],[Ma_anterior cond]]&gt;0)*NOT(COND_INTERSTICIAL[[#This Row],[Condensa]]),TRUE,FALSE)</f>
        <v>#N/A</v>
      </c>
      <c r="DR187" s="112" t="e" cm="1">
        <f t="array" aca="1" ref="DR187" ca="1">IF(COND_INTERSTICIAL[[#This Row],[evapora]],COND_INTERSTICIAL[[#This Row],[Psat]],IF(COND_INTERSTICIAL[[#This Row],[Capa]]=N_capas,COND_INTERSTICIAL[[#This Row],[Pn]],""))</f>
        <v>#N/A</v>
      </c>
      <c r="DS187" s="112" t="e">
        <f ca="1">COND_INTERSTICIAL[[#This Row],[Mes]]&amp;"-"&amp;COND_INTERSTICIAL[[#This Row],[Sección]]&amp;"-"&amp;COND_INTERSTICIAL[[#This Row],[tramo ev]]</f>
        <v>#N/A</v>
      </c>
      <c r="DT187" s="111" t="e" cm="1">
        <f t="array" aca="1" ref="DT187" ca="1">IF(COND_INTERSTICIAL[[#This Row],[Capa]]=1,IF(COND_INTERSTICIAL[[#This Row],[evapora]],2,1),IF(COND_INTERSTICIAL[[#This Row],[evapora]],1,0)+INDIRECT(ADDRESS(ROW()-1,COLUMN(),4)))</f>
        <v>#N/A</v>
      </c>
      <c r="DU187" s="111" t="e" cm="1">
        <f t="array" aca="1" ref="DU187" ca="1">IF(COND_INTERSTICIAL[[#This Row],[tramo ev]]=1,0,IF((COND_INTERSTICIAL[[#This Row],[tramo ev]]&gt;INDIRECT(ADDRESS(ROW()-1,COLUMN(COND_INTERSTICIAL[[#This Row],[tramo ev]]),4)))+COND_INTERSTICIAL[[#This Row],[evapora]],COND_INTERSTICIAL[[#This Row],[Capa]],INDIRECT(ADDRESS(ROW()-1,COLUMN(),4))))</f>
        <v>#N/A</v>
      </c>
      <c r="DV187" s="111" t="e" cm="1">
        <f t="array" aca="1" ref="DV187" ca="1">IF((COND_INTERSTICIAL[[#This Row],[Capa]]=N_capas)+(COND_INTERSTICIAL[[#This Row],[tramo ev]]=COUNTIFS(COND_INTERSTICIAL[evapora],TRUE,COND_INTERSTICIAL[Mes],CW187,COND_INTERSTICIAL[Sección],CX187)+1),N_capas,INDEX(COND_INTERSTICIAL[capa lím inf ev],MATCH(COND_INTERSTICIAL[[#This Row],[Mes]]&amp;"-"&amp;COND_INTERSTICIAL[[#This Row],[Sección]]&amp;"-"&amp;(COND_INTERSTICIAL[[#This Row],[tramo ev]]+1),COND_INTERSTICIAL[llave tramo ev],0)))</f>
        <v>#N/A</v>
      </c>
      <c r="DW187" s="111" cm="1">
        <f t="array" aca="1" ref="DW18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87" s="113" t="e" cm="1">
        <f t="array" aca="1" ref="DX18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8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87" s="113" t="e">
        <f ca="1">COND_INTERSTICIAL[[#This Row],[gev]]+COND_INTERSTICIAL[[#This Row],[Ma anterior ev]]</f>
        <v>#N/A</v>
      </c>
      <c r="EA187" s="115" t="e">
        <f ca="1">IF(COND_INTERSTICIAL[[#This Row],[Ma cond]]+COND_INTERSTICIAL[[#This Row],[Ma ev]]&lt;=0,0,COND_INTERSTICIAL[[#This Row],[Ma cond]]+COND_INTERSTICIAL[[#This Row],[Ma ev]])</f>
        <v>#N/A</v>
      </c>
      <c r="EB187" s="115" t="e">
        <f ca="1">IF(COND_INTERSTICIAL[[#This Row],[Ma]]&gt;0,TRUE,FALSE)</f>
        <v>#N/A</v>
      </c>
      <c r="EC187" s="115" t="e" cm="1">
        <f t="array" aca="1" ref="EC187" ca="1">IF(COND_INTERSTICIAL[[#This Row],[agua líquida]],IF(COND_INTERSTICIAL[[#This Row],[Condensa]],COND_INTERSTICIAL[[#This Row],[P límite cond]],COND_INTERSTICIAL[[#This Row],[P límite ev]]),IF(COND_INTERSTICIAL[[#This Row],[Capa]]=N_capas,COND_INTERSTICIAL[[#This Row],[Pn]],""))</f>
        <v>#N/A</v>
      </c>
      <c r="ED187" s="115" t="e">
        <f ca="1">COND_INTERSTICIAL[[#This Row],[Mes]]&amp;"-"&amp;COND_INTERSTICIAL[[#This Row],[Sección]]&amp;"-"&amp;COND_INTERSTICIAL[[#This Row],[tramo gráf]]</f>
        <v>#N/A</v>
      </c>
      <c r="EE187" s="114" t="e" cm="1">
        <f t="array" aca="1" ref="EE187" ca="1">IF(COND_INTERSTICIAL[[#This Row],[Capa]]=1,IF(COND_INTERSTICIAL[[#This Row],[agua líquida]],2,1),IF(COND_INTERSTICIAL[[#This Row],[agua líquida]],1,0)+INDIRECT(ADDRESS(ROW()-1,COLUMN(),4)))</f>
        <v>#N/A</v>
      </c>
      <c r="EF187" s="114" t="e" cm="1">
        <f t="array" aca="1" ref="EF187" ca="1">IF(COND_INTERSTICIAL[[#This Row],[tramo gráf]]=1,0,IF((COND_INTERSTICIAL[[#This Row],[tramo gráf]]&gt;INDIRECT(ADDRESS(ROW()-1,COLUMN(COND_INTERSTICIAL[[#This Row],[tramo gráf]]),4)))+COND_INTERSTICIAL[[#This Row],[agua líquida]],COND_INTERSTICIAL[[#This Row],[Capa]],INDIRECT(ADDRESS(ROW()-1,COLUMN(),4))))</f>
        <v>#N/A</v>
      </c>
      <c r="EG187" s="114" t="e" cm="1">
        <f t="array" aca="1" ref="EG187" ca="1">IF((COND_INTERSTICIAL[[#This Row],[Capa]]=N_capas)+(COND_INTERSTICIAL[[#This Row],[tramo gráf]]=COUNTIFS(COND_INTERSTICIAL[agua líquida],TRUE,COND_INTERSTICIAL[Mes],CW187,COND_INTERSTICIAL[Sección],CX187)+1),N_capas,INDEX(COND_INTERSTICIAL[capa lím inf gráf],MATCH(COND_INTERSTICIAL[[#This Row],[Mes]]&amp;"-"&amp;COND_INTERSTICIAL[[#This Row],[Sección]]&amp;"-"&amp;(COND_INTERSTICIAL[[#This Row],[tramo gráf]]+1),COND_INTERSTICIAL[llave tramo gráf],0)))</f>
        <v>#N/A</v>
      </c>
      <c r="EH187" s="114" cm="1">
        <f t="array" aca="1" ref="EH18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87" s="116" t="e" cm="1">
        <f t="array" aca="1" ref="EI18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sheetData>
  <dataConsolidate/>
  <mergeCells count="6">
    <mergeCell ref="BY46:CA46"/>
    <mergeCell ref="FX2:GB2"/>
    <mergeCell ref="BY1:CA1"/>
    <mergeCell ref="BY21:CA21"/>
    <mergeCell ref="BY28:CA28"/>
    <mergeCell ref="BY40:CA40"/>
  </mergeCells>
  <phoneticPr fontId="5" type="noConversion"/>
  <conditionalFormatting sqref="AH41">
    <cfRule type="cellIs" dxfId="343" priority="1" operator="greaterThan">
      <formula>3</formula>
    </cfRule>
  </conditionalFormatting>
  <dataValidations disablePrompts="1" count="1">
    <dataValidation type="list" allowBlank="1" showInputMessage="1" showErrorMessage="1" sqref="F57:K58" xr:uid="{69D1B845-39C2-4C72-A801-84A918854653}">
      <formula1>lista_escuadrias</formula1>
    </dataValidation>
  </dataValidations>
  <pageMargins left="0.7" right="0.7" top="0.75" bottom="0.75" header="0.3" footer="0.3"/>
  <pageSetup orientation="portrait" r:id="rId1"/>
  <drawing r:id="rId2"/>
  <legacyDrawing r:id="rId3"/>
  <tableParts count="11">
    <tablePart r:id="rId4"/>
    <tablePart r:id="rId5"/>
    <tablePart r:id="rId6"/>
    <tablePart r:id="rId7"/>
    <tablePart r:id="rId8"/>
    <tablePart r:id="rId9"/>
    <tablePart r:id="rId10"/>
    <tablePart r:id="rId11"/>
    <tablePart r:id="rId12"/>
    <tablePart r:id="rId13"/>
    <tablePart r:id="rId1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B1DCB-50A1-43A4-96C9-1D7C387A2C42}">
  <sheetPr codeName="Hoja4">
    <tabColor rgb="FFFFFF00"/>
  </sheetPr>
  <dimension ref="A1:DL681"/>
  <sheetViews>
    <sheetView showOutlineSymbols="0" topLeftCell="A45" workbookViewId="0">
      <selection activeCell="I63" sqref="I63"/>
    </sheetView>
  </sheetViews>
  <sheetFormatPr defaultColWidth="11.3984375" defaultRowHeight="14.25" x14ac:dyDescent="0.45"/>
  <cols>
    <col min="2" max="2" width="40" customWidth="1"/>
    <col min="3" max="3" width="24.1328125" customWidth="1"/>
    <col min="4" max="4" width="14.73046875" customWidth="1"/>
    <col min="5" max="5" width="15.73046875" customWidth="1"/>
    <col min="8" max="8" width="35.59765625" customWidth="1"/>
    <col min="9" max="9" width="16.86328125" bestFit="1" customWidth="1"/>
    <col min="10" max="10" width="16.86328125" customWidth="1"/>
    <col min="11" max="11" width="17.265625" bestFit="1" customWidth="1"/>
    <col min="12" max="12" width="12.73046875" bestFit="1" customWidth="1"/>
    <col min="15" max="17" width="14.59765625" customWidth="1"/>
    <col min="18" max="18" width="24.73046875" bestFit="1" customWidth="1"/>
    <col min="19" max="19" width="24.73046875" customWidth="1"/>
    <col min="20" max="20" width="8.3984375" bestFit="1" customWidth="1"/>
    <col min="21" max="21" width="32.59765625" bestFit="1" customWidth="1"/>
    <col min="22" max="22" width="57.1328125" customWidth="1"/>
    <col min="23" max="23" width="26.3984375" customWidth="1"/>
    <col min="24" max="24" width="12.265625" customWidth="1"/>
    <col min="25" max="25" width="17.73046875" customWidth="1"/>
    <col min="26" max="26" width="23.73046875" customWidth="1"/>
    <col min="27" max="27" width="25.73046875" customWidth="1"/>
    <col min="28" max="28" width="20.59765625" customWidth="1"/>
    <col min="29" max="29" width="14.86328125" customWidth="1"/>
    <col min="30" max="30" width="14" customWidth="1"/>
    <col min="31" max="31" width="15.59765625" customWidth="1"/>
    <col min="32" max="41" width="14.1328125" customWidth="1"/>
    <col min="42" max="42" width="63.86328125" bestFit="1" customWidth="1"/>
    <col min="43" max="43" width="29.86328125" bestFit="1" customWidth="1"/>
    <col min="50" max="50" width="13.59765625" bestFit="1" customWidth="1"/>
    <col min="52" max="52" width="13.59765625" customWidth="1"/>
    <col min="54" max="54" width="13.1328125" customWidth="1"/>
    <col min="55" max="55" width="12.265625" customWidth="1"/>
    <col min="59" max="59" width="29.86328125" bestFit="1" customWidth="1"/>
    <col min="68" max="68" width="13.59765625" customWidth="1"/>
    <col min="70" max="70" width="13.1328125" customWidth="1"/>
    <col min="71" max="73" width="12.265625" customWidth="1"/>
    <col min="74" max="74" width="29.265625" bestFit="1" customWidth="1"/>
    <col min="76" max="76" width="11.86328125" bestFit="1" customWidth="1"/>
    <col min="79" max="79" width="24.73046875" bestFit="1" customWidth="1"/>
    <col min="80" max="90" width="0" hidden="1" customWidth="1"/>
    <col min="91" max="91" width="12.3984375" hidden="1" customWidth="1"/>
    <col min="92" max="92" width="14.265625" bestFit="1" customWidth="1"/>
  </cols>
  <sheetData>
    <row r="1" spans="2:116" x14ac:dyDescent="0.45">
      <c r="V1" s="485" t="s">
        <v>404</v>
      </c>
      <c r="W1" s="486"/>
      <c r="X1" s="486"/>
      <c r="Y1" s="486"/>
      <c r="Z1" s="486"/>
      <c r="AA1" s="486"/>
      <c r="AB1" s="486"/>
      <c r="AC1" s="486"/>
      <c r="AD1" s="486"/>
      <c r="AE1" s="486"/>
      <c r="AF1" s="486"/>
      <c r="AG1" s="486"/>
      <c r="AH1" s="486"/>
      <c r="AI1" s="486"/>
      <c r="AJ1" s="314"/>
      <c r="AK1" s="314"/>
      <c r="AL1" s="314"/>
      <c r="AM1" s="1"/>
      <c r="AN1" s="1"/>
      <c r="AO1" s="1"/>
      <c r="BG1" s="485" t="s">
        <v>1583</v>
      </c>
      <c r="BH1" s="486"/>
      <c r="BI1" s="486"/>
      <c r="BJ1" s="486"/>
      <c r="BK1" s="486"/>
      <c r="BL1" s="486"/>
      <c r="BM1" s="486"/>
      <c r="BN1" s="486"/>
      <c r="BO1" s="486"/>
      <c r="BP1" s="486"/>
      <c r="BQ1" s="486"/>
      <c r="BR1" s="486"/>
      <c r="BS1" s="486"/>
      <c r="BT1" s="486"/>
      <c r="BU1" s="486"/>
      <c r="BV1" s="486"/>
      <c r="CO1" s="47">
        <v>31</v>
      </c>
      <c r="CP1" s="47">
        <v>28</v>
      </c>
      <c r="CQ1" s="47">
        <v>31</v>
      </c>
      <c r="CR1" s="47">
        <v>30</v>
      </c>
      <c r="CS1" s="47">
        <v>31</v>
      </c>
      <c r="CT1" s="47">
        <v>30</v>
      </c>
      <c r="CU1" s="47">
        <v>31</v>
      </c>
      <c r="CV1" s="47">
        <v>31</v>
      </c>
      <c r="CW1" s="47">
        <v>30</v>
      </c>
      <c r="CX1" s="47">
        <v>31</v>
      </c>
      <c r="CY1" s="47">
        <v>30</v>
      </c>
      <c r="CZ1" s="47">
        <v>31</v>
      </c>
      <c r="DA1" s="47">
        <v>20</v>
      </c>
      <c r="DB1" s="47">
        <v>250</v>
      </c>
    </row>
    <row r="2" spans="2:116" ht="14.65" thickBot="1" x14ac:dyDescent="0.5">
      <c r="B2" t="s">
        <v>405</v>
      </c>
      <c r="G2">
        <v>1</v>
      </c>
      <c r="H2" t="s">
        <v>82</v>
      </c>
      <c r="I2">
        <v>1</v>
      </c>
      <c r="J2" t="s">
        <v>406</v>
      </c>
      <c r="L2">
        <v>1</v>
      </c>
      <c r="M2" t="s">
        <v>88</v>
      </c>
      <c r="V2" s="85" t="s">
        <v>407</v>
      </c>
      <c r="W2" s="85" t="s">
        <v>277</v>
      </c>
      <c r="X2" s="86" t="s">
        <v>408</v>
      </c>
      <c r="Y2" s="86" t="s">
        <v>409</v>
      </c>
      <c r="Z2" s="86" t="s">
        <v>410</v>
      </c>
      <c r="AA2" s="86" t="s">
        <v>411</v>
      </c>
      <c r="AB2" s="86" t="s">
        <v>412</v>
      </c>
      <c r="AC2" s="86" t="s">
        <v>413</v>
      </c>
      <c r="AD2" s="86" t="s">
        <v>126</v>
      </c>
      <c r="AE2" s="86" t="s">
        <v>414</v>
      </c>
      <c r="AF2" s="86" t="s">
        <v>415</v>
      </c>
      <c r="AG2" s="86" t="s">
        <v>416</v>
      </c>
      <c r="AH2" s="86" t="s">
        <v>417</v>
      </c>
      <c r="AI2" s="87" t="s">
        <v>418</v>
      </c>
      <c r="AJ2" s="85" t="s">
        <v>419</v>
      </c>
      <c r="AK2" s="85" t="s">
        <v>729</v>
      </c>
      <c r="AL2" s="85" t="s">
        <v>728</v>
      </c>
      <c r="AM2" s="85" t="s">
        <v>1771</v>
      </c>
      <c r="AN2" s="85" t="s">
        <v>1777</v>
      </c>
      <c r="AP2" s="117" t="s">
        <v>420</v>
      </c>
      <c r="AQ2" t="s">
        <v>421</v>
      </c>
      <c r="AR2" t="s">
        <v>408</v>
      </c>
      <c r="AS2" t="s">
        <v>409</v>
      </c>
      <c r="AT2" t="s">
        <v>410</v>
      </c>
      <c r="AU2" t="s">
        <v>411</v>
      </c>
      <c r="AV2" t="s">
        <v>412</v>
      </c>
      <c r="AW2" t="s">
        <v>413</v>
      </c>
      <c r="AX2" t="s">
        <v>126</v>
      </c>
      <c r="AY2" t="s">
        <v>414</v>
      </c>
      <c r="AZ2" t="s">
        <v>415</v>
      </c>
      <c r="BA2" t="s">
        <v>416</v>
      </c>
      <c r="BB2" t="s">
        <v>417</v>
      </c>
      <c r="BC2" t="s">
        <v>418</v>
      </c>
      <c r="BD2" s="1" t="s">
        <v>1469</v>
      </c>
      <c r="BG2" s="85" t="s">
        <v>407</v>
      </c>
      <c r="BH2" s="122" t="s">
        <v>408</v>
      </c>
      <c r="BI2" s="122" t="s">
        <v>409</v>
      </c>
      <c r="BJ2" s="122" t="s">
        <v>410</v>
      </c>
      <c r="BK2" s="122" t="s">
        <v>411</v>
      </c>
      <c r="BL2" s="122" t="s">
        <v>412</v>
      </c>
      <c r="BM2" s="122" t="s">
        <v>413</v>
      </c>
      <c r="BN2" s="122" t="s">
        <v>126</v>
      </c>
      <c r="BO2" s="122" t="s">
        <v>414</v>
      </c>
      <c r="BP2" s="122" t="s">
        <v>415</v>
      </c>
      <c r="BQ2" s="122" t="s">
        <v>416</v>
      </c>
      <c r="BR2" s="122" t="s">
        <v>417</v>
      </c>
      <c r="BS2" s="122" t="s">
        <v>418</v>
      </c>
      <c r="BT2" s="1" t="s">
        <v>1579</v>
      </c>
      <c r="BU2" s="1" t="s">
        <v>1580</v>
      </c>
      <c r="BV2" s="1" t="s">
        <v>1581</v>
      </c>
      <c r="CA2" s="85" t="s">
        <v>407</v>
      </c>
      <c r="CB2" s="86" t="s">
        <v>408</v>
      </c>
      <c r="CC2" s="86" t="s">
        <v>409</v>
      </c>
      <c r="CD2" s="86" t="s">
        <v>410</v>
      </c>
      <c r="CE2" s="86" t="s">
        <v>411</v>
      </c>
      <c r="CF2" s="86" t="s">
        <v>412</v>
      </c>
      <c r="CG2" s="86" t="s">
        <v>413</v>
      </c>
      <c r="CH2" s="86" t="s">
        <v>126</v>
      </c>
      <c r="CI2" s="86" t="s">
        <v>414</v>
      </c>
      <c r="CJ2" s="86" t="s">
        <v>415</v>
      </c>
      <c r="CK2" s="86" t="s">
        <v>416</v>
      </c>
      <c r="CL2" s="86" t="s">
        <v>417</v>
      </c>
      <c r="CM2" s="87" t="s">
        <v>418</v>
      </c>
      <c r="CN2" s="85" t="s">
        <v>419</v>
      </c>
      <c r="CO2" s="316" t="s">
        <v>1616</v>
      </c>
      <c r="CP2" s="316" t="s">
        <v>1617</v>
      </c>
      <c r="CQ2" s="316" t="s">
        <v>1618</v>
      </c>
      <c r="CR2" s="316" t="s">
        <v>1619</v>
      </c>
      <c r="CS2" s="316" t="s">
        <v>1620</v>
      </c>
      <c r="CT2" s="316" t="s">
        <v>1621</v>
      </c>
      <c r="CU2" s="316" t="s">
        <v>1622</v>
      </c>
      <c r="CV2" s="316" t="s">
        <v>1623</v>
      </c>
      <c r="CW2" s="316" t="s">
        <v>1624</v>
      </c>
      <c r="CX2" s="316" t="s">
        <v>1625</v>
      </c>
      <c r="CY2" s="316" t="s">
        <v>1626</v>
      </c>
      <c r="CZ2" s="316" t="s">
        <v>1627</v>
      </c>
      <c r="DA2" s="316" t="s">
        <v>1628</v>
      </c>
      <c r="DJ2" t="s">
        <v>729</v>
      </c>
      <c r="DK2" t="s">
        <v>728</v>
      </c>
    </row>
    <row r="3" spans="2:116" x14ac:dyDescent="0.45">
      <c r="B3" t="s">
        <v>422</v>
      </c>
      <c r="C3" t="s">
        <v>423</v>
      </c>
      <c r="D3" t="s">
        <v>424</v>
      </c>
      <c r="E3" t="s">
        <v>425</v>
      </c>
      <c r="G3">
        <v>2</v>
      </c>
      <c r="H3" t="s">
        <v>426</v>
      </c>
      <c r="I3">
        <v>2</v>
      </c>
      <c r="J3" t="s">
        <v>427</v>
      </c>
      <c r="L3">
        <v>2</v>
      </c>
      <c r="M3" t="s">
        <v>428</v>
      </c>
      <c r="P3">
        <v>1</v>
      </c>
      <c r="Q3" t="s">
        <v>1738</v>
      </c>
      <c r="R3" t="s">
        <v>1701</v>
      </c>
      <c r="U3">
        <v>1</v>
      </c>
      <c r="V3" s="50" t="s">
        <v>429</v>
      </c>
      <c r="W3" t="s">
        <v>125</v>
      </c>
      <c r="X3" s="88">
        <v>22</v>
      </c>
      <c r="Y3" s="88">
        <v>22.3</v>
      </c>
      <c r="Z3" s="88">
        <v>21.4</v>
      </c>
      <c r="AA3" s="88">
        <v>19.5</v>
      </c>
      <c r="AB3" s="88">
        <v>17.600000000000001</v>
      </c>
      <c r="AC3" s="88">
        <v>16.399999999999999</v>
      </c>
      <c r="AD3" s="88">
        <v>15.6</v>
      </c>
      <c r="AE3" s="88">
        <v>15.7</v>
      </c>
      <c r="AF3" s="88">
        <v>16.3</v>
      </c>
      <c r="AG3" s="88">
        <v>17.5</v>
      </c>
      <c r="AH3" s="88">
        <v>19.100000000000001</v>
      </c>
      <c r="AI3" s="88">
        <v>20.6</v>
      </c>
      <c r="AJ3" s="88">
        <v>18.7</v>
      </c>
      <c r="AK3" s="88">
        <v>-18.333333333333332</v>
      </c>
      <c r="AL3" s="88">
        <v>-70.316666666666663</v>
      </c>
      <c r="AM3" s="88">
        <v>100</v>
      </c>
      <c r="AN3" s="88">
        <f>MAX(DATOS_TEMPERATURA_MEDIA[[#This Row],[Enero]:[Diciembre]])-MIN(DATOS_TEMPERATURA_MEDIA[[#This Row],[Enero]:[Diciembre]])</f>
        <v>6.7000000000000011</v>
      </c>
      <c r="AP3" s="7" t="s">
        <v>430</v>
      </c>
      <c r="AQ3" t="s">
        <v>430</v>
      </c>
      <c r="AX3" s="120">
        <v>13.6</v>
      </c>
      <c r="BD3">
        <f>Temperatura_interior_fija-DATOS_TEMPERATURA_MEDIA_MÍNIMA[[#This Row],[Julio]]</f>
        <v>5.4</v>
      </c>
      <c r="BG3" t="s">
        <v>495</v>
      </c>
      <c r="BH3" s="47">
        <v>28.7</v>
      </c>
      <c r="BI3" s="47">
        <v>32.9</v>
      </c>
      <c r="BJ3" s="47">
        <v>66.3</v>
      </c>
      <c r="BK3" s="47">
        <v>85.8</v>
      </c>
      <c r="BL3" s="47">
        <v>157.9</v>
      </c>
      <c r="BM3" s="47">
        <v>173.4</v>
      </c>
      <c r="BN3" s="47">
        <v>170.6</v>
      </c>
      <c r="BO3" s="47">
        <v>117.9</v>
      </c>
      <c r="BP3" s="47">
        <v>87.1</v>
      </c>
      <c r="BQ3" s="47">
        <v>54.5</v>
      </c>
      <c r="BR3" s="47">
        <v>35.200000000000003</v>
      </c>
      <c r="BS3" s="47">
        <v>31.2</v>
      </c>
      <c r="BT3" s="47">
        <v>1041.5</v>
      </c>
      <c r="BU3" s="47">
        <v>290.3</v>
      </c>
      <c r="BV3" s="88">
        <f>AVERAGE(Tabla32[[#This Row],[Mayo]:[Septiembre]])/30</f>
        <v>4.7126666666666663</v>
      </c>
      <c r="CA3" s="50" t="s">
        <v>445</v>
      </c>
      <c r="CB3" s="88">
        <v>23.3</v>
      </c>
      <c r="CC3" s="88">
        <v>23.6</v>
      </c>
      <c r="CD3" s="88">
        <v>23.1</v>
      </c>
      <c r="CE3" s="88">
        <v>21.8</v>
      </c>
      <c r="CF3" s="88">
        <v>20.2</v>
      </c>
      <c r="CG3" s="88">
        <v>18.8</v>
      </c>
      <c r="CH3" s="88">
        <v>18.2</v>
      </c>
      <c r="CI3" s="88">
        <v>18</v>
      </c>
      <c r="CJ3" s="88">
        <v>18.3</v>
      </c>
      <c r="CK3" s="88">
        <v>19.100000000000001</v>
      </c>
      <c r="CL3" s="88">
        <v>20.399999999999999</v>
      </c>
      <c r="CM3" s="88">
        <v>21.8</v>
      </c>
      <c r="CN3" s="88">
        <v>20.5</v>
      </c>
      <c r="CO3" s="88">
        <f>IF(DATOS_TEMPERATURA_MEDIA45[[#This Row],[Enero]]&gt;$DA$1,0,20-DATOS_TEMPERATURA_MEDIA45[[#This Row],[Enero]])*CO$1</f>
        <v>0</v>
      </c>
      <c r="CP3" s="88">
        <f>IF(DATOS_TEMPERATURA_MEDIA45[[#This Row],[Febrero]]&gt;$DA$1,0,20-DATOS_TEMPERATURA_MEDIA45[[#This Row],[Febrero]])*CP$1</f>
        <v>0</v>
      </c>
      <c r="CQ3" s="88">
        <f>IF(DATOS_TEMPERATURA_MEDIA45[[#This Row],[Marzo]]&gt;$DA$1,0,20-DATOS_TEMPERATURA_MEDIA45[[#This Row],[Marzo]])*CQ$1</f>
        <v>0</v>
      </c>
      <c r="CR3" s="88">
        <f>IF(DATOS_TEMPERATURA_MEDIA45[[#This Row],[Abril]]&gt;$DA$1,0,20-DATOS_TEMPERATURA_MEDIA45[[#This Row],[Abril]])*CR$1</f>
        <v>0</v>
      </c>
      <c r="CS3" s="88">
        <f>IF(DATOS_TEMPERATURA_MEDIA45[[#This Row],[Mayo]]&gt;$DA$1,0,20-DATOS_TEMPERATURA_MEDIA45[[#This Row],[Mayo]])*CS$1</f>
        <v>0</v>
      </c>
      <c r="CT3" s="88">
        <f>IF(DATOS_TEMPERATURA_MEDIA45[[#This Row],[Junio]]&gt;$DA$1,0,20-DATOS_TEMPERATURA_MEDIA45[[#This Row],[Junio]])*CT$1</f>
        <v>35.999999999999979</v>
      </c>
      <c r="CU3" s="88">
        <f>IF(DATOS_TEMPERATURA_MEDIA45[[#This Row],[Julio]]&gt;$DA$1,0,20-DATOS_TEMPERATURA_MEDIA45[[#This Row],[Julio]])*CU$1</f>
        <v>55.800000000000026</v>
      </c>
      <c r="CV3" s="88">
        <f>IF(DATOS_TEMPERATURA_MEDIA45[[#This Row],[Agosto]]&gt;$DA$1,0,20-DATOS_TEMPERATURA_MEDIA45[[#This Row],[Agosto]])*CV$1</f>
        <v>62</v>
      </c>
      <c r="CW3" s="88">
        <f>IF(DATOS_TEMPERATURA_MEDIA45[[#This Row],[Septiembre]]&gt;$DA$1,0,20-DATOS_TEMPERATURA_MEDIA45[[#This Row],[Septiembre]])*CW$1</f>
        <v>50.999999999999979</v>
      </c>
      <c r="CX3" s="88">
        <f>IF(DATOS_TEMPERATURA_MEDIA45[[#This Row],[Octubre]]&gt;$DA$1,0,20-DATOS_TEMPERATURA_MEDIA45[[#This Row],[Octubre]])*CX$1</f>
        <v>27.899999999999956</v>
      </c>
      <c r="CY3" s="88">
        <f>IF(DATOS_TEMPERATURA_MEDIA45[[#This Row],[Noviembre]]&gt;$DA$1,0,20-DATOS_TEMPERATURA_MEDIA45[[#This Row],[Noviembre]])*CY$1</f>
        <v>0</v>
      </c>
      <c r="CZ3" s="88">
        <f>IF(DATOS_TEMPERATURA_MEDIA45[[#This Row],[Diciembre]]&gt;$DA$1,0,20-DATOS_TEMPERATURA_MEDIA45[[#This Row],[Diciembre]])*CZ$1</f>
        <v>0</v>
      </c>
      <c r="DA3" s="88">
        <f>SUM(DATOS_TEMPERATURA_MEDIA45[[#This Row],[GDC 1]:[GDC 12]])</f>
        <v>232.69999999999993</v>
      </c>
      <c r="DD3" t="s">
        <v>429</v>
      </c>
      <c r="DF3">
        <v>18</v>
      </c>
      <c r="DG3">
        <v>20</v>
      </c>
      <c r="DH3">
        <v>70</v>
      </c>
      <c r="DI3">
        <v>19</v>
      </c>
      <c r="DJ3">
        <f>-(DF3+DG3/60)</f>
        <v>-18.333333333333332</v>
      </c>
      <c r="DK3">
        <f>-(DH3+DI3/60)</f>
        <v>-70.316666666666663</v>
      </c>
      <c r="DL3">
        <v>100</v>
      </c>
    </row>
    <row r="4" spans="2:116" x14ac:dyDescent="0.45">
      <c r="B4" t="s">
        <v>431</v>
      </c>
      <c r="C4">
        <v>0.1</v>
      </c>
      <c r="D4">
        <v>0.13</v>
      </c>
      <c r="E4">
        <v>0.17</v>
      </c>
      <c r="G4">
        <v>3</v>
      </c>
      <c r="H4" t="s">
        <v>432</v>
      </c>
      <c r="L4">
        <v>3</v>
      </c>
      <c r="M4" t="s">
        <v>433</v>
      </c>
      <c r="P4">
        <v>2</v>
      </c>
      <c r="Q4" t="s">
        <v>1739</v>
      </c>
      <c r="R4" t="s">
        <v>1702</v>
      </c>
      <c r="U4">
        <v>2</v>
      </c>
      <c r="V4" t="s">
        <v>434</v>
      </c>
      <c r="W4" t="s">
        <v>125</v>
      </c>
      <c r="X4" s="88">
        <v>21.1</v>
      </c>
      <c r="Y4" s="88">
        <v>21.1</v>
      </c>
      <c r="Z4" s="88">
        <v>20.100000000000001</v>
      </c>
      <c r="AA4" s="88">
        <v>18.3</v>
      </c>
      <c r="AB4" s="88">
        <v>16.899999999999999</v>
      </c>
      <c r="AC4" s="88">
        <v>15.9</v>
      </c>
      <c r="AD4" s="88">
        <v>15.2</v>
      </c>
      <c r="AE4" s="88">
        <v>15.3</v>
      </c>
      <c r="AF4" s="88">
        <v>15.9</v>
      </c>
      <c r="AG4" s="88">
        <v>16.899999999999999</v>
      </c>
      <c r="AH4" s="88">
        <v>18.399999999999999</v>
      </c>
      <c r="AI4" s="88">
        <v>20</v>
      </c>
      <c r="AJ4" s="88">
        <v>18</v>
      </c>
      <c r="AK4" s="88">
        <v>-20.533333333333335</v>
      </c>
      <c r="AL4" s="88">
        <v>-70.183333333333337</v>
      </c>
      <c r="AM4" s="88">
        <v>52</v>
      </c>
      <c r="AN4" s="88">
        <f>MAX(DATOS_TEMPERATURA_MEDIA[[#This Row],[Enero]:[Diciembre]])-MIN(DATOS_TEMPERATURA_MEDIA[[#This Row],[Enero]:[Diciembre]])</f>
        <v>5.9000000000000021</v>
      </c>
      <c r="AP4" s="7" t="s">
        <v>435</v>
      </c>
      <c r="AQ4" t="s">
        <v>435</v>
      </c>
      <c r="AX4" s="120">
        <v>13.6</v>
      </c>
      <c r="BD4">
        <f>Temperatura_interior_fija-DATOS_TEMPERATURA_MEDIA_MÍNIMA[[#This Row],[Julio]]</f>
        <v>5.4</v>
      </c>
      <c r="BG4" t="s">
        <v>1550</v>
      </c>
      <c r="BH4" s="47">
        <v>1.8</v>
      </c>
      <c r="BI4" s="47">
        <v>2.2999999999999998</v>
      </c>
      <c r="BJ4" s="47">
        <v>9.8000000000000007</v>
      </c>
      <c r="BK4" s="47">
        <v>31.8</v>
      </c>
      <c r="BL4" s="47">
        <v>119.8</v>
      </c>
      <c r="BM4" s="47">
        <v>174</v>
      </c>
      <c r="BN4" s="47">
        <v>157.4</v>
      </c>
      <c r="BO4" s="47">
        <v>105.8</v>
      </c>
      <c r="BP4" s="47">
        <v>53.9</v>
      </c>
      <c r="BQ4" s="47">
        <v>34.9</v>
      </c>
      <c r="BR4" s="47">
        <v>20.3</v>
      </c>
      <c r="BS4" s="47">
        <v>7.8</v>
      </c>
      <c r="BT4" s="47">
        <v>719.6</v>
      </c>
      <c r="BU4" s="47">
        <v>157</v>
      </c>
      <c r="BV4" s="88">
        <f>AVERAGE(Tabla32[[#This Row],[Mayo]:[Septiembre]])/30</f>
        <v>4.0726666666666667</v>
      </c>
      <c r="CA4" t="s">
        <v>429</v>
      </c>
      <c r="CB4" s="88">
        <v>22</v>
      </c>
      <c r="CC4" s="88">
        <v>22.3</v>
      </c>
      <c r="CD4" s="88">
        <v>21.4</v>
      </c>
      <c r="CE4" s="88">
        <v>19.5</v>
      </c>
      <c r="CF4" s="88">
        <v>17.600000000000001</v>
      </c>
      <c r="CG4" s="88">
        <v>16.399999999999999</v>
      </c>
      <c r="CH4" s="88">
        <v>15.6</v>
      </c>
      <c r="CI4" s="88">
        <v>15.7</v>
      </c>
      <c r="CJ4" s="88">
        <v>16.3</v>
      </c>
      <c r="CK4" s="88">
        <v>17.5</v>
      </c>
      <c r="CL4" s="88">
        <v>19.100000000000001</v>
      </c>
      <c r="CM4" s="88">
        <v>20.6</v>
      </c>
      <c r="CN4" s="88">
        <v>18.7</v>
      </c>
      <c r="CO4" s="88">
        <f>IF(DATOS_TEMPERATURA_MEDIA45[[#This Row],[Enero]]&gt;$DA$1,0,20-DATOS_TEMPERATURA_MEDIA45[[#This Row],[Enero]])*CO$1</f>
        <v>0</v>
      </c>
      <c r="CP4" s="88">
        <f>IF(DATOS_TEMPERATURA_MEDIA45[[#This Row],[Febrero]]&gt;$DA$1,0,20-DATOS_TEMPERATURA_MEDIA45[[#This Row],[Febrero]])*CP$1</f>
        <v>0</v>
      </c>
      <c r="CQ4" s="88">
        <f>IF(DATOS_TEMPERATURA_MEDIA45[[#This Row],[Marzo]]&gt;$DA$1,0,20-DATOS_TEMPERATURA_MEDIA45[[#This Row],[Marzo]])*CQ$1</f>
        <v>0</v>
      </c>
      <c r="CR4" s="88">
        <f>IF(DATOS_TEMPERATURA_MEDIA45[[#This Row],[Abril]]&gt;$DA$1,0,20-DATOS_TEMPERATURA_MEDIA45[[#This Row],[Abril]])*CR$1</f>
        <v>15</v>
      </c>
      <c r="CS4" s="88">
        <f>IF(DATOS_TEMPERATURA_MEDIA45[[#This Row],[Mayo]]&gt;$DA$1,0,20-DATOS_TEMPERATURA_MEDIA45[[#This Row],[Mayo]])*CS$1</f>
        <v>74.399999999999949</v>
      </c>
      <c r="CT4" s="88">
        <f>IF(DATOS_TEMPERATURA_MEDIA45[[#This Row],[Junio]]&gt;$DA$1,0,20-DATOS_TEMPERATURA_MEDIA45[[#This Row],[Junio]])*CT$1</f>
        <v>108.00000000000004</v>
      </c>
      <c r="CU4" s="88">
        <f>IF(DATOS_TEMPERATURA_MEDIA45[[#This Row],[Julio]]&gt;$DA$1,0,20-DATOS_TEMPERATURA_MEDIA45[[#This Row],[Julio]])*CU$1</f>
        <v>136.4</v>
      </c>
      <c r="CV4" s="88">
        <f>IF(DATOS_TEMPERATURA_MEDIA45[[#This Row],[Agosto]]&gt;$DA$1,0,20-DATOS_TEMPERATURA_MEDIA45[[#This Row],[Agosto]])*CV$1</f>
        <v>133.30000000000001</v>
      </c>
      <c r="CW4" s="88">
        <f>IF(DATOS_TEMPERATURA_MEDIA45[[#This Row],[Septiembre]]&gt;$DA$1,0,20-DATOS_TEMPERATURA_MEDIA45[[#This Row],[Septiembre]])*CW$1</f>
        <v>110.99999999999997</v>
      </c>
      <c r="CX4" s="88">
        <f>IF(DATOS_TEMPERATURA_MEDIA45[[#This Row],[Octubre]]&gt;$DA$1,0,20-DATOS_TEMPERATURA_MEDIA45[[#This Row],[Octubre]])*CX$1</f>
        <v>77.5</v>
      </c>
      <c r="CY4" s="88">
        <f>IF(DATOS_TEMPERATURA_MEDIA45[[#This Row],[Noviembre]]&gt;$DA$1,0,20-DATOS_TEMPERATURA_MEDIA45[[#This Row],[Noviembre]])*CY$1</f>
        <v>26.999999999999957</v>
      </c>
      <c r="CZ4" s="88">
        <f>IF(DATOS_TEMPERATURA_MEDIA45[[#This Row],[Diciembre]]&gt;$DA$1,0,20-DATOS_TEMPERATURA_MEDIA45[[#This Row],[Diciembre]])*CZ$1</f>
        <v>0</v>
      </c>
      <c r="DA4" s="88">
        <f>SUM(DATOS_TEMPERATURA_MEDIA45[[#This Row],[GDC 1]:[GDC 12]])</f>
        <v>682.59999999999991</v>
      </c>
      <c r="DD4" t="s">
        <v>434</v>
      </c>
      <c r="DF4">
        <v>20</v>
      </c>
      <c r="DG4">
        <v>32</v>
      </c>
      <c r="DH4">
        <v>70</v>
      </c>
      <c r="DI4">
        <v>11</v>
      </c>
      <c r="DJ4">
        <f t="shared" ref="DJ4:DJ56" si="0">-(DF4+DG4/60)</f>
        <v>-20.533333333333335</v>
      </c>
      <c r="DK4">
        <f t="shared" ref="DK4:DK56" si="1">-(DH4+DI4/60)</f>
        <v>-70.183333333333337</v>
      </c>
      <c r="DL4">
        <v>52</v>
      </c>
    </row>
    <row r="5" spans="2:116" x14ac:dyDescent="0.45">
      <c r="B5" t="s">
        <v>436</v>
      </c>
      <c r="C5">
        <v>0.04</v>
      </c>
      <c r="D5">
        <v>0.04</v>
      </c>
      <c r="E5">
        <v>0.04</v>
      </c>
      <c r="G5">
        <v>4</v>
      </c>
      <c r="H5" t="s">
        <v>437</v>
      </c>
      <c r="P5">
        <v>3</v>
      </c>
      <c r="Q5" t="s">
        <v>1740</v>
      </c>
      <c r="R5" t="s">
        <v>1703</v>
      </c>
      <c r="U5">
        <v>3</v>
      </c>
      <c r="V5" s="49" t="s">
        <v>441</v>
      </c>
      <c r="W5" t="s">
        <v>125</v>
      </c>
      <c r="X5" s="88">
        <v>20</v>
      </c>
      <c r="Y5" s="88">
        <v>19.899999999999999</v>
      </c>
      <c r="Z5" s="88">
        <v>18.7</v>
      </c>
      <c r="AA5" s="88">
        <v>16.8</v>
      </c>
      <c r="AB5" s="88">
        <v>15.2</v>
      </c>
      <c r="AC5" s="88">
        <v>14</v>
      </c>
      <c r="AD5" s="88">
        <v>13.4</v>
      </c>
      <c r="AE5" s="88">
        <v>13.7</v>
      </c>
      <c r="AF5" s="88">
        <v>14.3</v>
      </c>
      <c r="AG5" s="88">
        <v>15.5</v>
      </c>
      <c r="AH5" s="88">
        <v>16.899999999999999</v>
      </c>
      <c r="AI5" s="88">
        <v>18.7</v>
      </c>
      <c r="AJ5" s="88">
        <v>16.399999999999999</v>
      </c>
      <c r="AK5" s="88">
        <v>-23.433333333333334</v>
      </c>
      <c r="AL5" s="88">
        <v>-70.466666666666669</v>
      </c>
      <c r="AM5" s="88">
        <v>119</v>
      </c>
      <c r="AN5" s="88">
        <f>MAX(DATOS_TEMPERATURA_MEDIA[[#This Row],[Enero]:[Diciembre]])-MIN(DATOS_TEMPERATURA_MEDIA[[#This Row],[Enero]:[Diciembre]])</f>
        <v>6.6</v>
      </c>
      <c r="AP5" s="118" t="s">
        <v>438</v>
      </c>
      <c r="AQ5" s="49" t="s">
        <v>439</v>
      </c>
      <c r="AX5" s="120">
        <v>12.4</v>
      </c>
      <c r="BD5">
        <f>Temperatura_interior_fija-DATOS_TEMPERATURA_MEDIA_MÍNIMA[[#This Row],[Julio]]</f>
        <v>6.6</v>
      </c>
      <c r="BG5" t="s">
        <v>1551</v>
      </c>
      <c r="BH5" s="47" t="s">
        <v>1248</v>
      </c>
      <c r="BI5" s="47">
        <v>0.2</v>
      </c>
      <c r="BJ5" s="47">
        <v>4.8</v>
      </c>
      <c r="BK5" s="47">
        <v>15.7</v>
      </c>
      <c r="BL5" s="47">
        <v>59.2</v>
      </c>
      <c r="BM5" s="47">
        <v>101.5</v>
      </c>
      <c r="BN5" s="47">
        <v>121.1</v>
      </c>
      <c r="BO5" s="47">
        <v>62.2</v>
      </c>
      <c r="BP5" s="47">
        <v>24.4</v>
      </c>
      <c r="BQ5" s="47">
        <v>15.1</v>
      </c>
      <c r="BR5" s="47">
        <v>9.6</v>
      </c>
      <c r="BS5" s="47">
        <v>3.8</v>
      </c>
      <c r="BT5" s="47">
        <v>417.6</v>
      </c>
      <c r="BU5" s="47">
        <v>100</v>
      </c>
      <c r="BV5" s="88">
        <f>AVERAGE(Tabla32[[#This Row],[Mayo]:[Septiembre]])/30</f>
        <v>2.4559999999999991</v>
      </c>
      <c r="CA5" t="s">
        <v>434</v>
      </c>
      <c r="CB5" s="88">
        <v>21.1</v>
      </c>
      <c r="CC5" s="88">
        <v>21.1</v>
      </c>
      <c r="CD5" s="88">
        <v>20.100000000000001</v>
      </c>
      <c r="CE5" s="88">
        <v>18.3</v>
      </c>
      <c r="CF5" s="88">
        <v>16.899999999999999</v>
      </c>
      <c r="CG5" s="88">
        <v>15.9</v>
      </c>
      <c r="CH5" s="88">
        <v>15.2</v>
      </c>
      <c r="CI5" s="88">
        <v>15.3</v>
      </c>
      <c r="CJ5" s="88">
        <v>15.9</v>
      </c>
      <c r="CK5" s="88">
        <v>16.899999999999999</v>
      </c>
      <c r="CL5" s="88">
        <v>18.399999999999999</v>
      </c>
      <c r="CM5" s="88">
        <v>20</v>
      </c>
      <c r="CN5" s="88">
        <v>18</v>
      </c>
      <c r="CO5" s="88">
        <f>IF(DATOS_TEMPERATURA_MEDIA45[[#This Row],[Enero]]&gt;$DA$1,0,20-DATOS_TEMPERATURA_MEDIA45[[#This Row],[Enero]])*CO$1</f>
        <v>0</v>
      </c>
      <c r="CP5" s="88">
        <f>IF(DATOS_TEMPERATURA_MEDIA45[[#This Row],[Febrero]]&gt;$DA$1,0,20-DATOS_TEMPERATURA_MEDIA45[[#This Row],[Febrero]])*CP$1</f>
        <v>0</v>
      </c>
      <c r="CQ5" s="88">
        <f>IF(DATOS_TEMPERATURA_MEDIA45[[#This Row],[Marzo]]&gt;$DA$1,0,20-DATOS_TEMPERATURA_MEDIA45[[#This Row],[Marzo]])*CQ$1</f>
        <v>0</v>
      </c>
      <c r="CR5" s="88">
        <f>IF(DATOS_TEMPERATURA_MEDIA45[[#This Row],[Abril]]&gt;$DA$1,0,20-DATOS_TEMPERATURA_MEDIA45[[#This Row],[Abril]])*CR$1</f>
        <v>50.999999999999979</v>
      </c>
      <c r="CS5" s="88">
        <f>IF(DATOS_TEMPERATURA_MEDIA45[[#This Row],[Mayo]]&gt;$DA$1,0,20-DATOS_TEMPERATURA_MEDIA45[[#This Row],[Mayo]])*CS$1</f>
        <v>96.100000000000051</v>
      </c>
      <c r="CT5" s="88">
        <f>IF(DATOS_TEMPERATURA_MEDIA45[[#This Row],[Junio]]&gt;$DA$1,0,20-DATOS_TEMPERATURA_MEDIA45[[#This Row],[Junio]])*CT$1</f>
        <v>122.99999999999999</v>
      </c>
      <c r="CU5" s="88">
        <f>IF(DATOS_TEMPERATURA_MEDIA45[[#This Row],[Julio]]&gt;$DA$1,0,20-DATOS_TEMPERATURA_MEDIA45[[#This Row],[Julio]])*CU$1</f>
        <v>148.80000000000001</v>
      </c>
      <c r="CV5" s="88">
        <f>IF(DATOS_TEMPERATURA_MEDIA45[[#This Row],[Agosto]]&gt;$DA$1,0,20-DATOS_TEMPERATURA_MEDIA45[[#This Row],[Agosto]])*CV$1</f>
        <v>145.69999999999999</v>
      </c>
      <c r="CW5" s="88">
        <f>IF(DATOS_TEMPERATURA_MEDIA45[[#This Row],[Septiembre]]&gt;$DA$1,0,20-DATOS_TEMPERATURA_MEDIA45[[#This Row],[Septiembre]])*CW$1</f>
        <v>122.99999999999999</v>
      </c>
      <c r="CX5" s="88">
        <f>IF(DATOS_TEMPERATURA_MEDIA45[[#This Row],[Octubre]]&gt;$DA$1,0,20-DATOS_TEMPERATURA_MEDIA45[[#This Row],[Octubre]])*CX$1</f>
        <v>96.100000000000051</v>
      </c>
      <c r="CY5" s="88">
        <f>IF(DATOS_TEMPERATURA_MEDIA45[[#This Row],[Noviembre]]&gt;$DA$1,0,20-DATOS_TEMPERATURA_MEDIA45[[#This Row],[Noviembre]])*CY$1</f>
        <v>48.000000000000043</v>
      </c>
      <c r="CZ5" s="88">
        <f>IF(DATOS_TEMPERATURA_MEDIA45[[#This Row],[Diciembre]]&gt;$DA$1,0,20-DATOS_TEMPERATURA_MEDIA45[[#This Row],[Diciembre]])*CZ$1</f>
        <v>0</v>
      </c>
      <c r="DA5" s="88">
        <f>SUM(DATOS_TEMPERATURA_MEDIA45[[#This Row],[GDC 1]:[GDC 12]])</f>
        <v>831.7</v>
      </c>
      <c r="DD5" t="s">
        <v>1772</v>
      </c>
      <c r="DF5">
        <v>21</v>
      </c>
      <c r="DG5">
        <v>38</v>
      </c>
      <c r="DH5">
        <v>69</v>
      </c>
      <c r="DI5">
        <v>33</v>
      </c>
      <c r="DJ5">
        <f t="shared" si="0"/>
        <v>-21.633333333333333</v>
      </c>
      <c r="DK5">
        <f t="shared" si="1"/>
        <v>-69.55</v>
      </c>
      <c r="DL5">
        <v>802</v>
      </c>
    </row>
    <row r="6" spans="2:116" x14ac:dyDescent="0.45">
      <c r="I6">
        <v>1</v>
      </c>
      <c r="J6" t="s">
        <v>440</v>
      </c>
      <c r="L6">
        <v>1</v>
      </c>
      <c r="M6" t="s">
        <v>277</v>
      </c>
      <c r="N6" t="s">
        <v>1533</v>
      </c>
      <c r="P6">
        <v>4</v>
      </c>
      <c r="Q6" t="s">
        <v>1741</v>
      </c>
      <c r="R6" t="s">
        <v>1704</v>
      </c>
      <c r="U6">
        <v>4</v>
      </c>
      <c r="V6" t="s">
        <v>445</v>
      </c>
      <c r="W6" t="s">
        <v>125</v>
      </c>
      <c r="X6" s="88">
        <v>23.3</v>
      </c>
      <c r="Y6" s="88">
        <v>23.6</v>
      </c>
      <c r="Z6" s="88">
        <v>23.1</v>
      </c>
      <c r="AA6" s="88">
        <v>21.8</v>
      </c>
      <c r="AB6" s="88">
        <v>20.2</v>
      </c>
      <c r="AC6" s="88">
        <v>18.8</v>
      </c>
      <c r="AD6" s="88">
        <v>18.2</v>
      </c>
      <c r="AE6" s="88">
        <v>18</v>
      </c>
      <c r="AF6" s="88">
        <v>18.3</v>
      </c>
      <c r="AG6" s="88">
        <v>19.100000000000001</v>
      </c>
      <c r="AH6" s="88">
        <v>20.399999999999999</v>
      </c>
      <c r="AI6" s="88">
        <v>21.8</v>
      </c>
      <c r="AJ6" s="88">
        <v>20.5</v>
      </c>
      <c r="AK6" s="88">
        <v>-27.133333333333333</v>
      </c>
      <c r="AL6" s="88">
        <v>-109.36666666666666</v>
      </c>
      <c r="AM6" s="88">
        <v>51</v>
      </c>
      <c r="AN6" s="88">
        <f>MAX(DATOS_TEMPERATURA_MEDIA[[#This Row],[Enero]:[Diciembre]])-MIN(DATOS_TEMPERATURA_MEDIA[[#This Row],[Enero]:[Diciembre]])</f>
        <v>5.6000000000000014</v>
      </c>
      <c r="AP6" s="119" t="s">
        <v>442</v>
      </c>
      <c r="AQ6" s="49" t="s">
        <v>443</v>
      </c>
      <c r="AX6" s="120">
        <v>12.4</v>
      </c>
      <c r="BD6">
        <f>Temperatura_interior_fija-DATOS_TEMPERATURA_MEDIA_MÍNIMA[[#This Row],[Julio]]</f>
        <v>6.6</v>
      </c>
      <c r="BG6" t="s">
        <v>1552</v>
      </c>
      <c r="BH6" s="47">
        <v>1.3</v>
      </c>
      <c r="BI6" s="47">
        <v>1.9</v>
      </c>
      <c r="BJ6" s="47">
        <v>5.9</v>
      </c>
      <c r="BK6" s="47">
        <v>20.399999999999999</v>
      </c>
      <c r="BL6" s="47">
        <v>76</v>
      </c>
      <c r="BM6" s="47">
        <v>117.5</v>
      </c>
      <c r="BN6" s="47">
        <v>147.19999999999999</v>
      </c>
      <c r="BO6" s="47">
        <v>59</v>
      </c>
      <c r="BP6" s="47">
        <v>36.799999999999997</v>
      </c>
      <c r="BQ6" s="47">
        <v>18.8</v>
      </c>
      <c r="BR6" s="47">
        <v>13.9</v>
      </c>
      <c r="BS6" s="47">
        <v>6.8</v>
      </c>
      <c r="BT6" s="47">
        <v>505.5</v>
      </c>
      <c r="BU6" s="47">
        <v>137.4</v>
      </c>
      <c r="BV6" s="88">
        <f>AVERAGE(Tabla32[[#This Row],[Mayo]:[Septiembre]])/30</f>
        <v>2.9099999999999997</v>
      </c>
      <c r="CA6" s="49" t="s">
        <v>441</v>
      </c>
      <c r="CB6" s="88">
        <v>20</v>
      </c>
      <c r="CC6" s="88">
        <v>19.899999999999999</v>
      </c>
      <c r="CD6" s="88">
        <v>18.7</v>
      </c>
      <c r="CE6" s="88">
        <v>16.8</v>
      </c>
      <c r="CF6" s="88">
        <v>15.2</v>
      </c>
      <c r="CG6" s="88">
        <v>14</v>
      </c>
      <c r="CH6" s="88">
        <v>13.4</v>
      </c>
      <c r="CI6" s="88">
        <v>13.7</v>
      </c>
      <c r="CJ6" s="88">
        <v>14.3</v>
      </c>
      <c r="CK6" s="88">
        <v>15.5</v>
      </c>
      <c r="CL6" s="88">
        <v>16.899999999999999</v>
      </c>
      <c r="CM6" s="88">
        <v>18.7</v>
      </c>
      <c r="CN6" s="88">
        <v>16.399999999999999</v>
      </c>
      <c r="CO6" s="88">
        <f>IF(DATOS_TEMPERATURA_MEDIA45[[#This Row],[Enero]]&gt;$DA$1,0,20-DATOS_TEMPERATURA_MEDIA45[[#This Row],[Enero]])*CO$1</f>
        <v>0</v>
      </c>
      <c r="CP6" s="88">
        <f>IF(DATOS_TEMPERATURA_MEDIA45[[#This Row],[Febrero]]&gt;$DA$1,0,20-DATOS_TEMPERATURA_MEDIA45[[#This Row],[Febrero]])*CP$1</f>
        <v>2.8000000000000398</v>
      </c>
      <c r="CQ6" s="88">
        <f>IF(DATOS_TEMPERATURA_MEDIA45[[#This Row],[Marzo]]&gt;$DA$1,0,20-DATOS_TEMPERATURA_MEDIA45[[#This Row],[Marzo]])*CQ$1</f>
        <v>40.300000000000026</v>
      </c>
      <c r="CR6" s="88">
        <f>IF(DATOS_TEMPERATURA_MEDIA45[[#This Row],[Abril]]&gt;$DA$1,0,20-DATOS_TEMPERATURA_MEDIA45[[#This Row],[Abril]])*CR$1</f>
        <v>95.999999999999972</v>
      </c>
      <c r="CS6" s="88">
        <f>IF(DATOS_TEMPERATURA_MEDIA45[[#This Row],[Mayo]]&gt;$DA$1,0,20-DATOS_TEMPERATURA_MEDIA45[[#This Row],[Mayo]])*CS$1</f>
        <v>148.80000000000001</v>
      </c>
      <c r="CT6" s="88">
        <f>IF(DATOS_TEMPERATURA_MEDIA45[[#This Row],[Junio]]&gt;$DA$1,0,20-DATOS_TEMPERATURA_MEDIA45[[#This Row],[Junio]])*CT$1</f>
        <v>180</v>
      </c>
      <c r="CU6" s="88">
        <f>IF(DATOS_TEMPERATURA_MEDIA45[[#This Row],[Julio]]&gt;$DA$1,0,20-DATOS_TEMPERATURA_MEDIA45[[#This Row],[Julio]])*CU$1</f>
        <v>204.6</v>
      </c>
      <c r="CV6" s="88">
        <f>IF(DATOS_TEMPERATURA_MEDIA45[[#This Row],[Agosto]]&gt;$DA$1,0,20-DATOS_TEMPERATURA_MEDIA45[[#This Row],[Agosto]])*CV$1</f>
        <v>195.3</v>
      </c>
      <c r="CW6" s="88">
        <f>IF(DATOS_TEMPERATURA_MEDIA45[[#This Row],[Septiembre]]&gt;$DA$1,0,20-DATOS_TEMPERATURA_MEDIA45[[#This Row],[Septiembre]])*CW$1</f>
        <v>170.99999999999997</v>
      </c>
      <c r="CX6" s="88">
        <f>IF(DATOS_TEMPERATURA_MEDIA45[[#This Row],[Octubre]]&gt;$DA$1,0,20-DATOS_TEMPERATURA_MEDIA45[[#This Row],[Octubre]])*CX$1</f>
        <v>139.5</v>
      </c>
      <c r="CY6" s="88">
        <f>IF(DATOS_TEMPERATURA_MEDIA45[[#This Row],[Noviembre]]&gt;$DA$1,0,20-DATOS_TEMPERATURA_MEDIA45[[#This Row],[Noviembre]])*CY$1</f>
        <v>93.000000000000043</v>
      </c>
      <c r="CZ6" s="88">
        <f>IF(DATOS_TEMPERATURA_MEDIA45[[#This Row],[Diciembre]]&gt;$DA$1,0,20-DATOS_TEMPERATURA_MEDIA45[[#This Row],[Diciembre]])*CZ$1</f>
        <v>40.300000000000026</v>
      </c>
      <c r="DA6" s="88">
        <f>SUM(DATOS_TEMPERATURA_MEDIA45[[#This Row],[GDC 1]:[GDC 12]])</f>
        <v>1311.6</v>
      </c>
      <c r="DD6" t="s">
        <v>87</v>
      </c>
      <c r="DF6">
        <v>22</v>
      </c>
      <c r="DG6">
        <v>29</v>
      </c>
      <c r="DH6">
        <v>68</v>
      </c>
      <c r="DI6">
        <v>54</v>
      </c>
      <c r="DJ6">
        <f t="shared" si="0"/>
        <v>-22.483333333333334</v>
      </c>
      <c r="DK6">
        <f t="shared" si="1"/>
        <v>-68.900000000000006</v>
      </c>
      <c r="DL6">
        <v>2270</v>
      </c>
    </row>
    <row r="7" spans="2:116" x14ac:dyDescent="0.45">
      <c r="C7" t="s">
        <v>444</v>
      </c>
      <c r="I7">
        <v>2</v>
      </c>
      <c r="J7" t="s">
        <v>37</v>
      </c>
      <c r="L7">
        <v>2</v>
      </c>
      <c r="M7" t="s">
        <v>1649</v>
      </c>
      <c r="N7" t="s">
        <v>1650</v>
      </c>
      <c r="P7">
        <v>5</v>
      </c>
      <c r="Q7" t="s">
        <v>1742</v>
      </c>
      <c r="R7" t="s">
        <v>1705</v>
      </c>
      <c r="U7">
        <v>5</v>
      </c>
      <c r="V7" s="49" t="s">
        <v>87</v>
      </c>
      <c r="W7" t="s">
        <v>573</v>
      </c>
      <c r="X7" s="88">
        <v>15.1</v>
      </c>
      <c r="Y7" s="88">
        <v>14.9</v>
      </c>
      <c r="Z7" s="88">
        <v>13.9</v>
      </c>
      <c r="AA7" s="88">
        <v>12.1</v>
      </c>
      <c r="AB7" s="88">
        <v>10.3</v>
      </c>
      <c r="AC7" s="88">
        <v>8.6999999999999993</v>
      </c>
      <c r="AD7" s="88">
        <v>8.6</v>
      </c>
      <c r="AE7" s="88">
        <v>9.4</v>
      </c>
      <c r="AF7" s="88">
        <v>11.2</v>
      </c>
      <c r="AG7" s="88">
        <v>12.7</v>
      </c>
      <c r="AH7" s="88">
        <v>14.1</v>
      </c>
      <c r="AI7" s="88">
        <v>14.8</v>
      </c>
      <c r="AJ7" s="88">
        <v>12.1</v>
      </c>
      <c r="AK7" s="88">
        <v>-22.483333333333334</v>
      </c>
      <c r="AL7" s="88">
        <v>-68.900000000000006</v>
      </c>
      <c r="AM7" s="88">
        <v>2270</v>
      </c>
      <c r="AN7" s="88">
        <f>MAX(DATOS_TEMPERATURA_MEDIA[[#This Row],[Enero]:[Diciembre]])-MIN(DATOS_TEMPERATURA_MEDIA[[#This Row],[Enero]:[Diciembre]])</f>
        <v>6.5</v>
      </c>
      <c r="AP7" s="7" t="s">
        <v>439</v>
      </c>
      <c r="AQ7" t="s">
        <v>446</v>
      </c>
      <c r="AX7" s="120">
        <v>10.3</v>
      </c>
      <c r="BD7">
        <f>Temperatura_interior_fija-DATOS_TEMPERATURA_MEDIA_MÍNIMA[[#This Row],[Julio]]</f>
        <v>8.6999999999999993</v>
      </c>
      <c r="BG7" t="s">
        <v>515</v>
      </c>
      <c r="BH7" s="47">
        <v>3.8</v>
      </c>
      <c r="BI7" s="47">
        <v>5.2</v>
      </c>
      <c r="BJ7" s="47">
        <v>12.7</v>
      </c>
      <c r="BK7" s="47">
        <v>40.299999999999997</v>
      </c>
      <c r="BL7" s="47">
        <v>127.6</v>
      </c>
      <c r="BM7" s="47">
        <v>172.2</v>
      </c>
      <c r="BN7" s="47">
        <v>225.7</v>
      </c>
      <c r="BO7" s="47">
        <v>139</v>
      </c>
      <c r="BP7" s="47">
        <v>82.4</v>
      </c>
      <c r="BQ7" s="47">
        <v>48.9</v>
      </c>
      <c r="BR7" s="47">
        <v>23.9</v>
      </c>
      <c r="BS7" s="47">
        <v>9.6999999999999993</v>
      </c>
      <c r="BT7" s="47">
        <v>891.4</v>
      </c>
      <c r="BU7" s="47">
        <v>148.30000000000001</v>
      </c>
      <c r="BV7" s="88">
        <f>AVERAGE(Tabla32[[#This Row],[Mayo]:[Septiembre]])/30</f>
        <v>4.9793333333333329</v>
      </c>
      <c r="CA7" t="s">
        <v>448</v>
      </c>
      <c r="CB7" s="88">
        <v>19.600000000000001</v>
      </c>
      <c r="CC7" s="88">
        <v>19.399999999999999</v>
      </c>
      <c r="CD7" s="88">
        <v>17.899999999999999</v>
      </c>
      <c r="CE7" s="88">
        <v>15.4</v>
      </c>
      <c r="CF7" s="88">
        <v>13.2</v>
      </c>
      <c r="CG7" s="88">
        <v>11.4</v>
      </c>
      <c r="CH7" s="88">
        <v>11.3</v>
      </c>
      <c r="CI7" s="88">
        <v>12</v>
      </c>
      <c r="CJ7" s="88">
        <v>13.2</v>
      </c>
      <c r="CK7" s="88">
        <v>14.8</v>
      </c>
      <c r="CL7" s="88">
        <v>16.399999999999999</v>
      </c>
      <c r="CM7" s="88">
        <v>18.3</v>
      </c>
      <c r="CN7" s="88">
        <v>15.2</v>
      </c>
      <c r="CO7" s="88">
        <f>IF(DATOS_TEMPERATURA_MEDIA45[[#This Row],[Enero]]&gt;$DA$1,0,20-DATOS_TEMPERATURA_MEDIA45[[#This Row],[Enero]])*CO$1</f>
        <v>12.399999999999956</v>
      </c>
      <c r="CP7" s="88">
        <f>IF(DATOS_TEMPERATURA_MEDIA45[[#This Row],[Febrero]]&gt;$DA$1,0,20-DATOS_TEMPERATURA_MEDIA45[[#This Row],[Febrero]])*CP$1</f>
        <v>16.80000000000004</v>
      </c>
      <c r="CQ7" s="88">
        <f>IF(DATOS_TEMPERATURA_MEDIA45[[#This Row],[Marzo]]&gt;$DA$1,0,20-DATOS_TEMPERATURA_MEDIA45[[#This Row],[Marzo]])*CQ$1</f>
        <v>65.100000000000051</v>
      </c>
      <c r="CR7" s="88">
        <f>IF(DATOS_TEMPERATURA_MEDIA45[[#This Row],[Abril]]&gt;$DA$1,0,20-DATOS_TEMPERATURA_MEDIA45[[#This Row],[Abril]])*CR$1</f>
        <v>138</v>
      </c>
      <c r="CS7" s="88">
        <f>IF(DATOS_TEMPERATURA_MEDIA45[[#This Row],[Mayo]]&gt;$DA$1,0,20-DATOS_TEMPERATURA_MEDIA45[[#This Row],[Mayo]])*CS$1</f>
        <v>210.8</v>
      </c>
      <c r="CT7" s="88">
        <f>IF(DATOS_TEMPERATURA_MEDIA45[[#This Row],[Junio]]&gt;$DA$1,0,20-DATOS_TEMPERATURA_MEDIA45[[#This Row],[Junio]])*CT$1</f>
        <v>258</v>
      </c>
      <c r="CU7" s="88">
        <f>IF(DATOS_TEMPERATURA_MEDIA45[[#This Row],[Julio]]&gt;$DA$1,0,20-DATOS_TEMPERATURA_MEDIA45[[#This Row],[Julio]])*CU$1</f>
        <v>269.7</v>
      </c>
      <c r="CV7" s="88">
        <f>IF(DATOS_TEMPERATURA_MEDIA45[[#This Row],[Agosto]]&gt;$DA$1,0,20-DATOS_TEMPERATURA_MEDIA45[[#This Row],[Agosto]])*CV$1</f>
        <v>248</v>
      </c>
      <c r="CW7" s="88">
        <f>IF(DATOS_TEMPERATURA_MEDIA45[[#This Row],[Septiembre]]&gt;$DA$1,0,20-DATOS_TEMPERATURA_MEDIA45[[#This Row],[Septiembre]])*CW$1</f>
        <v>204.00000000000003</v>
      </c>
      <c r="CX7" s="88">
        <f>IF(DATOS_TEMPERATURA_MEDIA45[[#This Row],[Octubre]]&gt;$DA$1,0,20-DATOS_TEMPERATURA_MEDIA45[[#This Row],[Octubre]])*CX$1</f>
        <v>161.19999999999999</v>
      </c>
      <c r="CY7" s="88">
        <f>IF(DATOS_TEMPERATURA_MEDIA45[[#This Row],[Noviembre]]&gt;$DA$1,0,20-DATOS_TEMPERATURA_MEDIA45[[#This Row],[Noviembre]])*CY$1</f>
        <v>108.00000000000004</v>
      </c>
      <c r="CZ7" s="88">
        <f>IF(DATOS_TEMPERATURA_MEDIA45[[#This Row],[Diciembre]]&gt;$DA$1,0,20-DATOS_TEMPERATURA_MEDIA45[[#This Row],[Diciembre]])*CZ$1</f>
        <v>52.699999999999974</v>
      </c>
      <c r="DA7" s="88">
        <f>SUM(DATOS_TEMPERATURA_MEDIA45[[#This Row],[GDC 1]:[GDC 12]])</f>
        <v>1744.7</v>
      </c>
      <c r="DD7" t="s">
        <v>441</v>
      </c>
      <c r="DF7">
        <v>23</v>
      </c>
      <c r="DG7">
        <v>26</v>
      </c>
      <c r="DH7">
        <v>70</v>
      </c>
      <c r="DI7">
        <v>28</v>
      </c>
      <c r="DJ7">
        <f t="shared" si="0"/>
        <v>-23.433333333333334</v>
      </c>
      <c r="DK7">
        <f t="shared" si="1"/>
        <v>-70.466666666666669</v>
      </c>
      <c r="DL7">
        <v>119</v>
      </c>
    </row>
    <row r="8" spans="2:116" x14ac:dyDescent="0.45">
      <c r="B8" t="s">
        <v>447</v>
      </c>
      <c r="C8" t="s">
        <v>423</v>
      </c>
      <c r="D8" t="s">
        <v>424</v>
      </c>
      <c r="E8" t="s">
        <v>425</v>
      </c>
      <c r="G8">
        <v>1</v>
      </c>
      <c r="H8" t="s">
        <v>423</v>
      </c>
      <c r="I8">
        <v>3</v>
      </c>
      <c r="J8" t="s">
        <v>49</v>
      </c>
      <c r="P8">
        <v>6</v>
      </c>
      <c r="Q8" t="s">
        <v>1743</v>
      </c>
      <c r="R8" t="s">
        <v>1706</v>
      </c>
      <c r="U8">
        <v>6</v>
      </c>
      <c r="V8" t="s">
        <v>448</v>
      </c>
      <c r="W8" t="s">
        <v>573</v>
      </c>
      <c r="X8" s="88">
        <v>19.600000000000001</v>
      </c>
      <c r="Y8" s="88">
        <v>19.399999999999999</v>
      </c>
      <c r="Z8" s="88">
        <v>17.899999999999999</v>
      </c>
      <c r="AA8" s="88">
        <v>15.4</v>
      </c>
      <c r="AB8" s="88">
        <v>13.2</v>
      </c>
      <c r="AC8" s="88">
        <v>11.4</v>
      </c>
      <c r="AD8" s="88">
        <v>11.3</v>
      </c>
      <c r="AE8" s="88">
        <v>12</v>
      </c>
      <c r="AF8" s="88">
        <v>13.2</v>
      </c>
      <c r="AG8" s="88">
        <v>14.8</v>
      </c>
      <c r="AH8" s="88">
        <v>16.399999999999999</v>
      </c>
      <c r="AI8" s="88">
        <v>18.3</v>
      </c>
      <c r="AJ8" s="88">
        <v>15.2</v>
      </c>
      <c r="AK8" s="88">
        <v>-27.3</v>
      </c>
      <c r="AL8" s="88">
        <v>-70.416666666666671</v>
      </c>
      <c r="AM8" s="88">
        <v>291</v>
      </c>
      <c r="AN8" s="88">
        <f>MAX(DATOS_TEMPERATURA_MEDIA[[#This Row],[Enero]:[Diciembre]])-MIN(DATOS_TEMPERATURA_MEDIA[[#This Row],[Enero]:[Diciembre]])</f>
        <v>8.3000000000000007</v>
      </c>
      <c r="AP8" s="7" t="s">
        <v>443</v>
      </c>
      <c r="AQ8" t="s">
        <v>449</v>
      </c>
      <c r="AX8" s="120">
        <v>0.4</v>
      </c>
      <c r="BD8">
        <f>Temperatura_interior_fija-DATOS_TEMPERATURA_MEDIA_MÍNIMA[[#This Row],[Julio]]</f>
        <v>18.600000000000001</v>
      </c>
      <c r="BG8" t="s">
        <v>1548</v>
      </c>
      <c r="BH8" s="47">
        <v>1.9</v>
      </c>
      <c r="BI8" s="47">
        <v>2.2999999999999998</v>
      </c>
      <c r="BJ8" s="47">
        <v>9.6</v>
      </c>
      <c r="BK8" s="47">
        <v>43.4</v>
      </c>
      <c r="BL8" s="47">
        <v>115.8</v>
      </c>
      <c r="BM8" s="47">
        <v>206.7</v>
      </c>
      <c r="BN8" s="47">
        <v>225.3</v>
      </c>
      <c r="BO8" s="47">
        <v>131.6</v>
      </c>
      <c r="BP8" s="47">
        <v>66.8</v>
      </c>
      <c r="BQ8" s="47">
        <v>46.9</v>
      </c>
      <c r="BR8" s="47">
        <v>22.5</v>
      </c>
      <c r="BS8" s="47">
        <v>9.1999999999999993</v>
      </c>
      <c r="BT8" s="47">
        <v>882</v>
      </c>
      <c r="BU8" s="47">
        <v>199.7</v>
      </c>
      <c r="BV8" s="88">
        <f>AVERAGE(Tabla32[[#This Row],[Mayo]:[Septiembre]])/30</f>
        <v>4.9746666666666659</v>
      </c>
      <c r="CA8" s="49" t="s">
        <v>495</v>
      </c>
      <c r="CB8" s="88">
        <v>18.5</v>
      </c>
      <c r="CC8" s="88">
        <v>18.7</v>
      </c>
      <c r="CD8" s="88">
        <v>17.899999999999999</v>
      </c>
      <c r="CE8" s="88">
        <v>16.600000000000001</v>
      </c>
      <c r="CF8" s="88">
        <v>15.3</v>
      </c>
      <c r="CG8" s="88">
        <v>13.7</v>
      </c>
      <c r="CH8" s="88">
        <v>12.7</v>
      </c>
      <c r="CI8" s="88">
        <v>12.3</v>
      </c>
      <c r="CJ8" s="88">
        <v>12.4</v>
      </c>
      <c r="CK8" s="88">
        <v>13.4</v>
      </c>
      <c r="CL8" s="88">
        <v>14.9</v>
      </c>
      <c r="CM8" s="88">
        <v>17</v>
      </c>
      <c r="CN8" s="88">
        <v>15.3</v>
      </c>
      <c r="CO8" s="88">
        <f>IF(DATOS_TEMPERATURA_MEDIA45[[#This Row],[Enero]]&gt;$DA$1,0,20-DATOS_TEMPERATURA_MEDIA45[[#This Row],[Enero]])*CO$1</f>
        <v>46.5</v>
      </c>
      <c r="CP8" s="88">
        <f>IF(DATOS_TEMPERATURA_MEDIA45[[#This Row],[Febrero]]&gt;$DA$1,0,20-DATOS_TEMPERATURA_MEDIA45[[#This Row],[Febrero]])*CP$1</f>
        <v>36.40000000000002</v>
      </c>
      <c r="CQ8" s="88">
        <f>IF(DATOS_TEMPERATURA_MEDIA45[[#This Row],[Marzo]]&gt;$DA$1,0,20-DATOS_TEMPERATURA_MEDIA45[[#This Row],[Marzo]])*CQ$1</f>
        <v>65.100000000000051</v>
      </c>
      <c r="CR8" s="88">
        <f>IF(DATOS_TEMPERATURA_MEDIA45[[#This Row],[Abril]]&gt;$DA$1,0,20-DATOS_TEMPERATURA_MEDIA45[[#This Row],[Abril]])*CR$1</f>
        <v>101.99999999999996</v>
      </c>
      <c r="CS8" s="88">
        <f>IF(DATOS_TEMPERATURA_MEDIA45[[#This Row],[Mayo]]&gt;$DA$1,0,20-DATOS_TEMPERATURA_MEDIA45[[#This Row],[Mayo]])*CS$1</f>
        <v>145.69999999999999</v>
      </c>
      <c r="CT8" s="88">
        <f>IF(DATOS_TEMPERATURA_MEDIA45[[#This Row],[Junio]]&gt;$DA$1,0,20-DATOS_TEMPERATURA_MEDIA45[[#This Row],[Junio]])*CT$1</f>
        <v>189.00000000000003</v>
      </c>
      <c r="CU8" s="88">
        <f>IF(DATOS_TEMPERATURA_MEDIA45[[#This Row],[Julio]]&gt;$DA$1,0,20-DATOS_TEMPERATURA_MEDIA45[[#This Row],[Julio]])*CU$1</f>
        <v>226.3</v>
      </c>
      <c r="CV8" s="88">
        <f>IF(DATOS_TEMPERATURA_MEDIA45[[#This Row],[Agosto]]&gt;$DA$1,0,20-DATOS_TEMPERATURA_MEDIA45[[#This Row],[Agosto]])*CV$1</f>
        <v>238.7</v>
      </c>
      <c r="CW8" s="88">
        <f>IF(DATOS_TEMPERATURA_MEDIA45[[#This Row],[Septiembre]]&gt;$DA$1,0,20-DATOS_TEMPERATURA_MEDIA45[[#This Row],[Septiembre]])*CW$1</f>
        <v>228</v>
      </c>
      <c r="CX8" s="88">
        <f>IF(DATOS_TEMPERATURA_MEDIA45[[#This Row],[Octubre]]&gt;$DA$1,0,20-DATOS_TEMPERATURA_MEDIA45[[#This Row],[Octubre]])*CX$1</f>
        <v>204.6</v>
      </c>
      <c r="CY8" s="88">
        <f>IF(DATOS_TEMPERATURA_MEDIA45[[#This Row],[Noviembre]]&gt;$DA$1,0,20-DATOS_TEMPERATURA_MEDIA45[[#This Row],[Noviembre]])*CY$1</f>
        <v>153</v>
      </c>
      <c r="CZ8" s="88">
        <f>IF(DATOS_TEMPERATURA_MEDIA45[[#This Row],[Diciembre]]&gt;$DA$1,0,20-DATOS_TEMPERATURA_MEDIA45[[#This Row],[Diciembre]])*CZ$1</f>
        <v>93</v>
      </c>
      <c r="DA8" s="88">
        <f>SUM(DATOS_TEMPERATURA_MEDIA45[[#This Row],[GDC 1]:[GDC 12]])</f>
        <v>1728.3</v>
      </c>
      <c r="DD8" t="s">
        <v>783</v>
      </c>
      <c r="DF8">
        <v>26</v>
      </c>
      <c r="DG8">
        <v>20</v>
      </c>
      <c r="DH8">
        <v>70</v>
      </c>
      <c r="DI8">
        <v>37</v>
      </c>
      <c r="DJ8">
        <f t="shared" si="0"/>
        <v>-26.333333333333332</v>
      </c>
      <c r="DK8">
        <f t="shared" si="1"/>
        <v>-70.61666666666666</v>
      </c>
      <c r="DL8">
        <v>9</v>
      </c>
    </row>
    <row r="9" spans="2:116" x14ac:dyDescent="0.45">
      <c r="B9">
        <v>0</v>
      </c>
      <c r="C9">
        <v>0</v>
      </c>
      <c r="D9">
        <v>0</v>
      </c>
      <c r="E9">
        <v>0</v>
      </c>
      <c r="G9">
        <v>2</v>
      </c>
      <c r="H9" t="s">
        <v>424</v>
      </c>
      <c r="I9">
        <v>4</v>
      </c>
      <c r="J9" t="s">
        <v>74</v>
      </c>
      <c r="P9">
        <v>7</v>
      </c>
      <c r="Q9" t="s">
        <v>1744</v>
      </c>
      <c r="R9" t="s">
        <v>1707</v>
      </c>
      <c r="U9">
        <v>7</v>
      </c>
      <c r="V9" t="s">
        <v>450</v>
      </c>
      <c r="W9" t="s">
        <v>573</v>
      </c>
      <c r="X9" s="88">
        <v>18.600000000000001</v>
      </c>
      <c r="Y9" s="88">
        <v>18.600000000000001</v>
      </c>
      <c r="Z9" s="88">
        <v>17.100000000000001</v>
      </c>
      <c r="AA9" s="88">
        <v>14.9</v>
      </c>
      <c r="AB9" s="88">
        <v>13.1</v>
      </c>
      <c r="AC9" s="88">
        <v>11.7</v>
      </c>
      <c r="AD9" s="88">
        <v>11.4</v>
      </c>
      <c r="AE9" s="88">
        <v>12.2</v>
      </c>
      <c r="AF9" s="88">
        <v>13</v>
      </c>
      <c r="AG9" s="88">
        <v>14.5</v>
      </c>
      <c r="AH9" s="88">
        <v>15.6</v>
      </c>
      <c r="AI9" s="88">
        <v>17.5</v>
      </c>
      <c r="AJ9" s="88">
        <v>14.9</v>
      </c>
      <c r="AK9" s="88">
        <v>-28.583333333333332</v>
      </c>
      <c r="AL9" s="88">
        <v>-70.766666666666666</v>
      </c>
      <c r="AM9" s="88">
        <v>496</v>
      </c>
      <c r="AN9" s="88">
        <f>MAX(DATOS_TEMPERATURA_MEDIA[[#This Row],[Enero]:[Diciembre]])-MIN(DATOS_TEMPERATURA_MEDIA[[#This Row],[Enero]:[Diciembre]])</f>
        <v>7.2000000000000011</v>
      </c>
      <c r="AP9" s="118" t="s">
        <v>451</v>
      </c>
      <c r="AQ9" t="s">
        <v>452</v>
      </c>
      <c r="AX9" s="120">
        <v>10.6</v>
      </c>
      <c r="BD9">
        <f>Temperatura_interior_fija-DATOS_TEMPERATURA_MEDIA_MÍNIMA[[#This Row],[Julio]]</f>
        <v>8.4</v>
      </c>
      <c r="BG9" t="s">
        <v>1549</v>
      </c>
      <c r="BH9" s="47">
        <v>2.2000000000000002</v>
      </c>
      <c r="BI9" s="47">
        <v>1.6</v>
      </c>
      <c r="BJ9" s="47">
        <v>8.4</v>
      </c>
      <c r="BK9" s="47">
        <v>33.4</v>
      </c>
      <c r="BL9" s="47">
        <v>108.1</v>
      </c>
      <c r="BM9" s="47">
        <v>136.1</v>
      </c>
      <c r="BN9" s="47">
        <v>181.1</v>
      </c>
      <c r="BO9" s="47">
        <v>108.2</v>
      </c>
      <c r="BP9" s="47">
        <v>55.3</v>
      </c>
      <c r="BQ9" s="47">
        <v>34.200000000000003</v>
      </c>
      <c r="BR9" s="47">
        <v>22.4</v>
      </c>
      <c r="BS9" s="47">
        <v>9.1999999999999993</v>
      </c>
      <c r="BT9" s="47">
        <v>700.2</v>
      </c>
      <c r="BU9" s="47">
        <v>156.69999999999999</v>
      </c>
      <c r="BV9" s="88">
        <f>AVERAGE(Tabla32[[#This Row],[Mayo]:[Septiembre]])/30</f>
        <v>3.9253333333333331</v>
      </c>
      <c r="CA9" s="49" t="s">
        <v>457</v>
      </c>
      <c r="CB9" s="88">
        <v>18.5</v>
      </c>
      <c r="CC9" s="88">
        <v>19.5</v>
      </c>
      <c r="CD9" s="88">
        <v>17.899999999999999</v>
      </c>
      <c r="CE9" s="88">
        <v>14.8</v>
      </c>
      <c r="CF9" s="88">
        <v>11.9</v>
      </c>
      <c r="CG9" s="88">
        <v>11</v>
      </c>
      <c r="CH9" s="88">
        <v>10.5</v>
      </c>
      <c r="CI9" s="88">
        <v>12.4</v>
      </c>
      <c r="CJ9" s="88">
        <v>13.6</v>
      </c>
      <c r="CK9" s="88">
        <v>15.5</v>
      </c>
      <c r="CL9" s="88">
        <v>17.399999999999999</v>
      </c>
      <c r="CM9" s="88">
        <v>17.600000000000001</v>
      </c>
      <c r="CN9" s="88">
        <v>15.1</v>
      </c>
      <c r="CO9" s="88">
        <f>IF(DATOS_TEMPERATURA_MEDIA45[[#This Row],[Enero]]&gt;$DA$1,0,20-DATOS_TEMPERATURA_MEDIA45[[#This Row],[Enero]])*CO$1</f>
        <v>46.5</v>
      </c>
      <c r="CP9" s="88">
        <f>IF(DATOS_TEMPERATURA_MEDIA45[[#This Row],[Febrero]]&gt;$DA$1,0,20-DATOS_TEMPERATURA_MEDIA45[[#This Row],[Febrero]])*CP$1</f>
        <v>14</v>
      </c>
      <c r="CQ9" s="88">
        <f>IF(DATOS_TEMPERATURA_MEDIA45[[#This Row],[Marzo]]&gt;$DA$1,0,20-DATOS_TEMPERATURA_MEDIA45[[#This Row],[Marzo]])*CQ$1</f>
        <v>65.100000000000051</v>
      </c>
      <c r="CR9" s="88">
        <f>IF(DATOS_TEMPERATURA_MEDIA45[[#This Row],[Abril]]&gt;$DA$1,0,20-DATOS_TEMPERATURA_MEDIA45[[#This Row],[Abril]])*CR$1</f>
        <v>155.99999999999997</v>
      </c>
      <c r="CS9" s="88">
        <f>IF(DATOS_TEMPERATURA_MEDIA45[[#This Row],[Mayo]]&gt;$DA$1,0,20-DATOS_TEMPERATURA_MEDIA45[[#This Row],[Mayo]])*CS$1</f>
        <v>251.1</v>
      </c>
      <c r="CT9" s="88">
        <f>IF(DATOS_TEMPERATURA_MEDIA45[[#This Row],[Junio]]&gt;$DA$1,0,20-DATOS_TEMPERATURA_MEDIA45[[#This Row],[Junio]])*CT$1</f>
        <v>270</v>
      </c>
      <c r="CU9" s="88">
        <f>IF(DATOS_TEMPERATURA_MEDIA45[[#This Row],[Julio]]&gt;$DA$1,0,20-DATOS_TEMPERATURA_MEDIA45[[#This Row],[Julio]])*CU$1</f>
        <v>294.5</v>
      </c>
      <c r="CV9" s="88">
        <f>IF(DATOS_TEMPERATURA_MEDIA45[[#This Row],[Agosto]]&gt;$DA$1,0,20-DATOS_TEMPERATURA_MEDIA45[[#This Row],[Agosto]])*CV$1</f>
        <v>235.6</v>
      </c>
      <c r="CW9" s="88">
        <f>IF(DATOS_TEMPERATURA_MEDIA45[[#This Row],[Septiembre]]&gt;$DA$1,0,20-DATOS_TEMPERATURA_MEDIA45[[#This Row],[Septiembre]])*CW$1</f>
        <v>192</v>
      </c>
      <c r="CX9" s="88">
        <f>IF(DATOS_TEMPERATURA_MEDIA45[[#This Row],[Octubre]]&gt;$DA$1,0,20-DATOS_TEMPERATURA_MEDIA45[[#This Row],[Octubre]])*CX$1</f>
        <v>139.5</v>
      </c>
      <c r="CY9" s="88">
        <f>IF(DATOS_TEMPERATURA_MEDIA45[[#This Row],[Noviembre]]&gt;$DA$1,0,20-DATOS_TEMPERATURA_MEDIA45[[#This Row],[Noviembre]])*CY$1</f>
        <v>78.000000000000043</v>
      </c>
      <c r="CZ9" s="88">
        <f>IF(DATOS_TEMPERATURA_MEDIA45[[#This Row],[Diciembre]]&gt;$DA$1,0,20-DATOS_TEMPERATURA_MEDIA45[[#This Row],[Diciembre]])*CZ$1</f>
        <v>74.399999999999949</v>
      </c>
      <c r="DA9" s="88">
        <f>SUM(DATOS_TEMPERATURA_MEDIA45[[#This Row],[GDC 1]:[GDC 12]])</f>
        <v>1816.6999999999998</v>
      </c>
      <c r="DD9" t="s">
        <v>1773</v>
      </c>
      <c r="DF9">
        <v>26</v>
      </c>
      <c r="DG9">
        <v>26</v>
      </c>
      <c r="DH9">
        <v>69</v>
      </c>
      <c r="DI9">
        <v>27</v>
      </c>
      <c r="DJ9">
        <f t="shared" si="0"/>
        <v>-26.433333333333334</v>
      </c>
      <c r="DK9">
        <f t="shared" si="1"/>
        <v>-69.45</v>
      </c>
      <c r="DL9">
        <v>2850</v>
      </c>
    </row>
    <row r="10" spans="2:116" x14ac:dyDescent="0.45">
      <c r="B10">
        <v>5</v>
      </c>
      <c r="C10">
        <v>0.11</v>
      </c>
      <c r="D10">
        <v>0.11</v>
      </c>
      <c r="E10">
        <v>0.11</v>
      </c>
      <c r="G10">
        <v>3</v>
      </c>
      <c r="H10" t="s">
        <v>425</v>
      </c>
      <c r="I10">
        <v>5</v>
      </c>
      <c r="J10" t="s">
        <v>453</v>
      </c>
      <c r="L10" t="s">
        <v>1762</v>
      </c>
      <c r="P10">
        <v>8</v>
      </c>
      <c r="Q10" t="s">
        <v>1745</v>
      </c>
      <c r="R10" t="s">
        <v>1708</v>
      </c>
      <c r="U10">
        <v>8</v>
      </c>
      <c r="V10" s="49" t="s">
        <v>457</v>
      </c>
      <c r="W10" t="s">
        <v>573</v>
      </c>
      <c r="X10" s="88">
        <v>18.5</v>
      </c>
      <c r="Y10" s="88">
        <v>19.5</v>
      </c>
      <c r="Z10" s="88">
        <v>17.899999999999999</v>
      </c>
      <c r="AA10" s="88">
        <v>14.8</v>
      </c>
      <c r="AB10" s="88">
        <v>11.9</v>
      </c>
      <c r="AC10" s="88">
        <v>11</v>
      </c>
      <c r="AD10" s="88">
        <v>10.5</v>
      </c>
      <c r="AE10" s="88">
        <v>12.4</v>
      </c>
      <c r="AF10" s="88">
        <v>13.6</v>
      </c>
      <c r="AG10" s="88">
        <v>15.5</v>
      </c>
      <c r="AH10" s="88">
        <v>17.399999999999999</v>
      </c>
      <c r="AI10" s="88">
        <v>17.600000000000001</v>
      </c>
      <c r="AJ10" s="88">
        <v>15.1</v>
      </c>
      <c r="AK10" s="88">
        <v>-30.033333333333335</v>
      </c>
      <c r="AL10" s="88">
        <v>-70.716666666666669</v>
      </c>
      <c r="AM10" s="88">
        <v>610</v>
      </c>
      <c r="AN10" s="88">
        <f>MAX(DATOS_TEMPERATURA_MEDIA[[#This Row],[Enero]:[Diciembre]])-MIN(DATOS_TEMPERATURA_MEDIA[[#This Row],[Enero]:[Diciembre]])</f>
        <v>9</v>
      </c>
      <c r="AP10" s="119" t="s">
        <v>455</v>
      </c>
      <c r="AQ10" t="s">
        <v>456</v>
      </c>
      <c r="AX10" s="120">
        <v>7.8</v>
      </c>
      <c r="BD10">
        <f>Temperatura_interior_fija-DATOS_TEMPERATURA_MEDIA_MÍNIMA[[#This Row],[Julio]]</f>
        <v>11.2</v>
      </c>
      <c r="BG10" t="s">
        <v>524</v>
      </c>
      <c r="BH10" s="47">
        <v>1.1000000000000001</v>
      </c>
      <c r="BI10" s="47">
        <v>1.1000000000000001</v>
      </c>
      <c r="BJ10" s="47">
        <v>9.5</v>
      </c>
      <c r="BK10" s="47">
        <v>26.2</v>
      </c>
      <c r="BL10" s="47">
        <v>87.6</v>
      </c>
      <c r="BM10" s="47">
        <v>154</v>
      </c>
      <c r="BN10" s="47">
        <v>180.3</v>
      </c>
      <c r="BO10" s="47">
        <v>100.5</v>
      </c>
      <c r="BP10" s="47">
        <v>54.1</v>
      </c>
      <c r="BQ10" s="47">
        <v>33.299999999999997</v>
      </c>
      <c r="BR10" s="47">
        <v>19</v>
      </c>
      <c r="BS10" s="47">
        <v>7.9</v>
      </c>
      <c r="BT10" s="47">
        <v>674.6</v>
      </c>
      <c r="BU10" s="47">
        <v>185</v>
      </c>
      <c r="BV10" s="88">
        <f>AVERAGE(Tabla32[[#This Row],[Mayo]:[Septiembre]])/30</f>
        <v>3.8433333333333333</v>
      </c>
      <c r="CA10" t="s">
        <v>450</v>
      </c>
      <c r="CB10" s="88">
        <v>18.600000000000001</v>
      </c>
      <c r="CC10" s="88">
        <v>18.600000000000001</v>
      </c>
      <c r="CD10" s="88">
        <v>17.100000000000001</v>
      </c>
      <c r="CE10" s="88">
        <v>14.9</v>
      </c>
      <c r="CF10" s="88">
        <v>13.1</v>
      </c>
      <c r="CG10" s="88">
        <v>11.7</v>
      </c>
      <c r="CH10" s="88">
        <v>11.4</v>
      </c>
      <c r="CI10" s="88">
        <v>12.2</v>
      </c>
      <c r="CJ10" s="88">
        <v>13</v>
      </c>
      <c r="CK10" s="88">
        <v>14.5</v>
      </c>
      <c r="CL10" s="88">
        <v>15.6</v>
      </c>
      <c r="CM10" s="88">
        <v>17.5</v>
      </c>
      <c r="CN10" s="88">
        <v>14.9</v>
      </c>
      <c r="CO10" s="88">
        <f>IF(DATOS_TEMPERATURA_MEDIA45[[#This Row],[Enero]]&gt;$DA$1,0,20-DATOS_TEMPERATURA_MEDIA45[[#This Row],[Enero]])*CO$1</f>
        <v>43.399999999999956</v>
      </c>
      <c r="CP10" s="88">
        <f>IF(DATOS_TEMPERATURA_MEDIA45[[#This Row],[Febrero]]&gt;$DA$1,0,20-DATOS_TEMPERATURA_MEDIA45[[#This Row],[Febrero]])*CP$1</f>
        <v>39.19999999999996</v>
      </c>
      <c r="CQ10" s="88">
        <f>IF(DATOS_TEMPERATURA_MEDIA45[[#This Row],[Marzo]]&gt;$DA$1,0,20-DATOS_TEMPERATURA_MEDIA45[[#This Row],[Marzo]])*CQ$1</f>
        <v>89.899999999999949</v>
      </c>
      <c r="CR10" s="88">
        <f>IF(DATOS_TEMPERATURA_MEDIA45[[#This Row],[Abril]]&gt;$DA$1,0,20-DATOS_TEMPERATURA_MEDIA45[[#This Row],[Abril]])*CR$1</f>
        <v>153</v>
      </c>
      <c r="CS10" s="88">
        <f>IF(DATOS_TEMPERATURA_MEDIA45[[#This Row],[Mayo]]&gt;$DA$1,0,20-DATOS_TEMPERATURA_MEDIA45[[#This Row],[Mayo]])*CS$1</f>
        <v>213.9</v>
      </c>
      <c r="CT10" s="88">
        <f>IF(DATOS_TEMPERATURA_MEDIA45[[#This Row],[Junio]]&gt;$DA$1,0,20-DATOS_TEMPERATURA_MEDIA45[[#This Row],[Junio]])*CT$1</f>
        <v>249.00000000000003</v>
      </c>
      <c r="CU10" s="88">
        <f>IF(DATOS_TEMPERATURA_MEDIA45[[#This Row],[Julio]]&gt;$DA$1,0,20-DATOS_TEMPERATURA_MEDIA45[[#This Row],[Julio]])*CU$1</f>
        <v>266.59999999999997</v>
      </c>
      <c r="CV10" s="88">
        <f>IF(DATOS_TEMPERATURA_MEDIA45[[#This Row],[Agosto]]&gt;$DA$1,0,20-DATOS_TEMPERATURA_MEDIA45[[#This Row],[Agosto]])*CV$1</f>
        <v>241.8</v>
      </c>
      <c r="CW10" s="88">
        <f>IF(DATOS_TEMPERATURA_MEDIA45[[#This Row],[Septiembre]]&gt;$DA$1,0,20-DATOS_TEMPERATURA_MEDIA45[[#This Row],[Septiembre]])*CW$1</f>
        <v>210</v>
      </c>
      <c r="CX10" s="88">
        <f>IF(DATOS_TEMPERATURA_MEDIA45[[#This Row],[Octubre]]&gt;$DA$1,0,20-DATOS_TEMPERATURA_MEDIA45[[#This Row],[Octubre]])*CX$1</f>
        <v>170.5</v>
      </c>
      <c r="CY10" s="88">
        <f>IF(DATOS_TEMPERATURA_MEDIA45[[#This Row],[Noviembre]]&gt;$DA$1,0,20-DATOS_TEMPERATURA_MEDIA45[[#This Row],[Noviembre]])*CY$1</f>
        <v>132</v>
      </c>
      <c r="CZ10" s="88">
        <f>IF(DATOS_TEMPERATURA_MEDIA45[[#This Row],[Diciembre]]&gt;$DA$1,0,20-DATOS_TEMPERATURA_MEDIA45[[#This Row],[Diciembre]])*CZ$1</f>
        <v>77.5</v>
      </c>
      <c r="DA10" s="88">
        <f>SUM(DATOS_TEMPERATURA_MEDIA45[[#This Row],[GDC 1]:[GDC 12]])</f>
        <v>1886.7999999999997</v>
      </c>
      <c r="DD10" t="s">
        <v>788</v>
      </c>
      <c r="DF10">
        <v>27</v>
      </c>
      <c r="DG10">
        <v>3</v>
      </c>
      <c r="DH10">
        <v>70</v>
      </c>
      <c r="DI10">
        <v>53</v>
      </c>
      <c r="DJ10">
        <f t="shared" si="0"/>
        <v>-27.05</v>
      </c>
      <c r="DK10">
        <f t="shared" si="1"/>
        <v>-70.88333333333334</v>
      </c>
      <c r="DL10">
        <v>28</v>
      </c>
    </row>
    <row r="11" spans="2:116" x14ac:dyDescent="0.45">
      <c r="B11">
        <v>7</v>
      </c>
      <c r="C11">
        <v>0.13</v>
      </c>
      <c r="D11">
        <v>0.13</v>
      </c>
      <c r="E11">
        <v>0.13</v>
      </c>
      <c r="L11" t="s">
        <v>1793</v>
      </c>
      <c r="P11">
        <v>9</v>
      </c>
      <c r="Q11" t="s">
        <v>1746</v>
      </c>
      <c r="R11" t="s">
        <v>1709</v>
      </c>
      <c r="U11">
        <v>9</v>
      </c>
      <c r="V11" t="s">
        <v>454</v>
      </c>
      <c r="W11" t="s">
        <v>578</v>
      </c>
      <c r="X11" s="88">
        <v>17.100000000000001</v>
      </c>
      <c r="Y11" s="88">
        <v>16.899999999999999</v>
      </c>
      <c r="Z11" s="88">
        <v>15.6</v>
      </c>
      <c r="AA11" s="88">
        <v>13.7</v>
      </c>
      <c r="AB11" s="88">
        <v>12.3</v>
      </c>
      <c r="AC11" s="88">
        <v>10.9</v>
      </c>
      <c r="AD11" s="88">
        <v>10.7</v>
      </c>
      <c r="AE11" s="88">
        <v>10.9</v>
      </c>
      <c r="AF11" s="88">
        <v>11.6</v>
      </c>
      <c r="AG11" s="88">
        <v>12.9</v>
      </c>
      <c r="AH11" s="88">
        <v>14.3</v>
      </c>
      <c r="AI11" s="88">
        <v>16.100000000000001</v>
      </c>
      <c r="AJ11" s="88">
        <v>13.6</v>
      </c>
      <c r="AK11" s="88">
        <v>-29.9</v>
      </c>
      <c r="AL11" s="88">
        <v>-71.2</v>
      </c>
      <c r="AM11" s="88">
        <v>142</v>
      </c>
      <c r="AN11" s="88">
        <f>MAX(DATOS_TEMPERATURA_MEDIA[[#This Row],[Enero]:[Diciembre]])-MIN(DATOS_TEMPERATURA_MEDIA[[#This Row],[Enero]:[Diciembre]])</f>
        <v>6.4000000000000021</v>
      </c>
      <c r="AP11" s="7" t="s">
        <v>446</v>
      </c>
      <c r="AQ11" t="s">
        <v>458</v>
      </c>
      <c r="AX11" s="120">
        <v>7.8</v>
      </c>
      <c r="BD11">
        <f>Temperatura_interior_fija-DATOS_TEMPERATURA_MEDIA_MÍNIMA[[#This Row],[Julio]]</f>
        <v>11.2</v>
      </c>
      <c r="BG11" t="s">
        <v>1553</v>
      </c>
      <c r="BH11" s="47">
        <v>0.2</v>
      </c>
      <c r="BI11" s="47">
        <v>0.4</v>
      </c>
      <c r="BJ11" s="47">
        <v>5.8</v>
      </c>
      <c r="BK11" s="47">
        <v>22.2</v>
      </c>
      <c r="BL11" s="47">
        <v>75.099999999999994</v>
      </c>
      <c r="BM11" s="47">
        <v>106.3</v>
      </c>
      <c r="BN11" s="47">
        <v>118</v>
      </c>
      <c r="BO11" s="47">
        <v>66.8</v>
      </c>
      <c r="BP11" s="47">
        <v>34.6</v>
      </c>
      <c r="BQ11" s="47">
        <v>17.3</v>
      </c>
      <c r="BR11" s="47">
        <v>13.5</v>
      </c>
      <c r="BS11" s="47">
        <v>5.2</v>
      </c>
      <c r="BT11" s="47">
        <v>465.4</v>
      </c>
      <c r="BU11" s="47">
        <v>118.7</v>
      </c>
      <c r="BV11" s="88">
        <f>AVERAGE(Tabla32[[#This Row],[Mayo]:[Septiembre]])/30</f>
        <v>2.6719999999999997</v>
      </c>
      <c r="CA11" s="49" t="s">
        <v>459</v>
      </c>
      <c r="CB11" s="88">
        <v>18.600000000000001</v>
      </c>
      <c r="CC11" s="88">
        <v>18</v>
      </c>
      <c r="CD11" s="88">
        <v>16.899999999999999</v>
      </c>
      <c r="CE11" s="88">
        <v>14.5</v>
      </c>
      <c r="CF11" s="88">
        <v>12.5</v>
      </c>
      <c r="CG11" s="88">
        <v>11.1</v>
      </c>
      <c r="CH11" s="88">
        <v>10.5</v>
      </c>
      <c r="CI11" s="88">
        <v>11.1</v>
      </c>
      <c r="CJ11" s="88">
        <v>12.5</v>
      </c>
      <c r="CK11" s="88">
        <v>14</v>
      </c>
      <c r="CL11" s="88">
        <v>15.9</v>
      </c>
      <c r="CM11" s="88">
        <v>17.600000000000001</v>
      </c>
      <c r="CN11" s="88">
        <v>14.4</v>
      </c>
      <c r="CO11" s="88">
        <f>IF(DATOS_TEMPERATURA_MEDIA45[[#This Row],[Enero]]&gt;$DA$1,0,20-DATOS_TEMPERATURA_MEDIA45[[#This Row],[Enero]])*CO$1</f>
        <v>43.399999999999956</v>
      </c>
      <c r="CP11" s="88">
        <f>IF(DATOS_TEMPERATURA_MEDIA45[[#This Row],[Febrero]]&gt;$DA$1,0,20-DATOS_TEMPERATURA_MEDIA45[[#This Row],[Febrero]])*CP$1</f>
        <v>56</v>
      </c>
      <c r="CQ11" s="88">
        <f>IF(DATOS_TEMPERATURA_MEDIA45[[#This Row],[Marzo]]&gt;$DA$1,0,20-DATOS_TEMPERATURA_MEDIA45[[#This Row],[Marzo]])*CQ$1</f>
        <v>96.100000000000051</v>
      </c>
      <c r="CR11" s="88">
        <f>IF(DATOS_TEMPERATURA_MEDIA45[[#This Row],[Abril]]&gt;$DA$1,0,20-DATOS_TEMPERATURA_MEDIA45[[#This Row],[Abril]])*CR$1</f>
        <v>165</v>
      </c>
      <c r="CS11" s="88">
        <f>IF(DATOS_TEMPERATURA_MEDIA45[[#This Row],[Mayo]]&gt;$DA$1,0,20-DATOS_TEMPERATURA_MEDIA45[[#This Row],[Mayo]])*CS$1</f>
        <v>232.5</v>
      </c>
      <c r="CT11" s="88">
        <f>IF(DATOS_TEMPERATURA_MEDIA45[[#This Row],[Junio]]&gt;$DA$1,0,20-DATOS_TEMPERATURA_MEDIA45[[#This Row],[Junio]])*CT$1</f>
        <v>267</v>
      </c>
      <c r="CU11" s="88">
        <f>IF(DATOS_TEMPERATURA_MEDIA45[[#This Row],[Julio]]&gt;$DA$1,0,20-DATOS_TEMPERATURA_MEDIA45[[#This Row],[Julio]])*CU$1</f>
        <v>294.5</v>
      </c>
      <c r="CV11" s="88">
        <f>IF(DATOS_TEMPERATURA_MEDIA45[[#This Row],[Agosto]]&gt;$DA$1,0,20-DATOS_TEMPERATURA_MEDIA45[[#This Row],[Agosto]])*CV$1</f>
        <v>275.90000000000003</v>
      </c>
      <c r="CW11" s="88">
        <f>IF(DATOS_TEMPERATURA_MEDIA45[[#This Row],[Septiembre]]&gt;$DA$1,0,20-DATOS_TEMPERATURA_MEDIA45[[#This Row],[Septiembre]])*CW$1</f>
        <v>225</v>
      </c>
      <c r="CX11" s="88">
        <f>IF(DATOS_TEMPERATURA_MEDIA45[[#This Row],[Octubre]]&gt;$DA$1,0,20-DATOS_TEMPERATURA_MEDIA45[[#This Row],[Octubre]])*CX$1</f>
        <v>186</v>
      </c>
      <c r="CY11" s="88">
        <f>IF(DATOS_TEMPERATURA_MEDIA45[[#This Row],[Noviembre]]&gt;$DA$1,0,20-DATOS_TEMPERATURA_MEDIA45[[#This Row],[Noviembre]])*CY$1</f>
        <v>122.99999999999999</v>
      </c>
      <c r="CZ11" s="88">
        <f>IF(DATOS_TEMPERATURA_MEDIA45[[#This Row],[Diciembre]]&gt;$DA$1,0,20-DATOS_TEMPERATURA_MEDIA45[[#This Row],[Diciembre]])*CZ$1</f>
        <v>74.399999999999949</v>
      </c>
      <c r="DA11" s="88">
        <f>SUM(DATOS_TEMPERATURA_MEDIA45[[#This Row],[GDC 1]:[GDC 12]])</f>
        <v>2038.8</v>
      </c>
      <c r="DD11" t="s">
        <v>1774</v>
      </c>
      <c r="DF11">
        <v>27</v>
      </c>
      <c r="DG11">
        <v>8</v>
      </c>
      <c r="DH11">
        <v>109</v>
      </c>
      <c r="DI11">
        <v>22</v>
      </c>
      <c r="DJ11">
        <f t="shared" si="0"/>
        <v>-27.133333333333333</v>
      </c>
      <c r="DK11">
        <f t="shared" si="1"/>
        <v>-109.36666666666666</v>
      </c>
      <c r="DL11">
        <v>51</v>
      </c>
    </row>
    <row r="12" spans="2:116" x14ac:dyDescent="0.45">
      <c r="B12">
        <v>10</v>
      </c>
      <c r="C12">
        <v>0.15</v>
      </c>
      <c r="D12">
        <v>0.15</v>
      </c>
      <c r="E12">
        <v>0.15</v>
      </c>
      <c r="L12" t="s">
        <v>1857</v>
      </c>
      <c r="P12">
        <v>10</v>
      </c>
      <c r="Q12" t="s">
        <v>1747</v>
      </c>
      <c r="R12" t="s">
        <v>1710</v>
      </c>
      <c r="U12">
        <v>10</v>
      </c>
      <c r="V12" s="49" t="s">
        <v>459</v>
      </c>
      <c r="W12" t="s">
        <v>578</v>
      </c>
      <c r="X12" s="88">
        <v>18.600000000000001</v>
      </c>
      <c r="Y12" s="88">
        <v>18</v>
      </c>
      <c r="Z12" s="88">
        <v>16.899999999999999</v>
      </c>
      <c r="AA12" s="88">
        <v>14.5</v>
      </c>
      <c r="AB12" s="88">
        <v>12.5</v>
      </c>
      <c r="AC12" s="88">
        <v>11.1</v>
      </c>
      <c r="AD12" s="88">
        <v>10.5</v>
      </c>
      <c r="AE12" s="88">
        <v>11.1</v>
      </c>
      <c r="AF12" s="88">
        <v>12.5</v>
      </c>
      <c r="AG12" s="88">
        <v>14</v>
      </c>
      <c r="AH12" s="88">
        <v>15.9</v>
      </c>
      <c r="AI12" s="88">
        <v>17.600000000000001</v>
      </c>
      <c r="AJ12" s="88">
        <v>14.4</v>
      </c>
      <c r="AK12" s="88">
        <v>-30.583333333333332</v>
      </c>
      <c r="AL12" s="88">
        <v>-71.2</v>
      </c>
      <c r="AM12" s="88">
        <v>200</v>
      </c>
      <c r="AN12" s="88">
        <f>MAX(DATOS_TEMPERATURA_MEDIA[[#This Row],[Enero]:[Diciembre]])-MIN(DATOS_TEMPERATURA_MEDIA[[#This Row],[Enero]:[Diciembre]])</f>
        <v>8.1000000000000014</v>
      </c>
      <c r="AP12" s="7" t="s">
        <v>449</v>
      </c>
      <c r="AQ12" t="s">
        <v>460</v>
      </c>
      <c r="AX12" s="120">
        <v>7.8</v>
      </c>
      <c r="BD12">
        <f>Temperatura_interior_fija-DATOS_TEMPERATURA_MEDIA_MÍNIMA[[#This Row],[Julio]]</f>
        <v>11.2</v>
      </c>
      <c r="BG12" t="s">
        <v>1554</v>
      </c>
      <c r="BH12" s="47">
        <v>0.8</v>
      </c>
      <c r="BI12" s="47">
        <v>0.1</v>
      </c>
      <c r="BJ12" s="47">
        <v>9.1999999999999993</v>
      </c>
      <c r="BK12" s="47">
        <v>21.7</v>
      </c>
      <c r="BL12" s="47">
        <v>92.1</v>
      </c>
      <c r="BM12" s="47">
        <v>135.6</v>
      </c>
      <c r="BN12" s="47">
        <v>141.30000000000001</v>
      </c>
      <c r="BO12" s="47">
        <v>79.8</v>
      </c>
      <c r="BP12" s="47">
        <v>37.6</v>
      </c>
      <c r="BQ12" s="47">
        <v>22.2</v>
      </c>
      <c r="BR12" s="47">
        <v>13.7</v>
      </c>
      <c r="BS12" s="47">
        <v>6.2</v>
      </c>
      <c r="BT12" s="47">
        <v>560.29999999999995</v>
      </c>
      <c r="BU12" s="47">
        <v>126</v>
      </c>
      <c r="BV12" s="88">
        <f>AVERAGE(Tabla32[[#This Row],[Mayo]:[Septiembre]])/30</f>
        <v>3.2426666666666666</v>
      </c>
      <c r="CA12" s="49" t="s">
        <v>465</v>
      </c>
      <c r="CB12" s="88">
        <v>20.9</v>
      </c>
      <c r="CC12" s="88">
        <v>20</v>
      </c>
      <c r="CD12" s="88">
        <v>17.899999999999999</v>
      </c>
      <c r="CE12" s="88">
        <v>14.3</v>
      </c>
      <c r="CF12" s="88">
        <v>10.9</v>
      </c>
      <c r="CG12" s="88">
        <v>9.1</v>
      </c>
      <c r="CH12" s="88">
        <v>8.3000000000000007</v>
      </c>
      <c r="CI12" s="88">
        <v>9.8000000000000007</v>
      </c>
      <c r="CJ12" s="88">
        <v>12.4</v>
      </c>
      <c r="CK12" s="88">
        <v>15.1</v>
      </c>
      <c r="CL12" s="88">
        <v>18</v>
      </c>
      <c r="CM12" s="88">
        <v>17.3</v>
      </c>
      <c r="CN12" s="88">
        <v>14.5</v>
      </c>
      <c r="CO12" s="88">
        <f>IF(DATOS_TEMPERATURA_MEDIA45[[#This Row],[Enero]]&gt;$DA$1,0,20-DATOS_TEMPERATURA_MEDIA45[[#This Row],[Enero]])*CO$1</f>
        <v>0</v>
      </c>
      <c r="CP12" s="88">
        <f>IF(DATOS_TEMPERATURA_MEDIA45[[#This Row],[Febrero]]&gt;$DA$1,0,20-DATOS_TEMPERATURA_MEDIA45[[#This Row],[Febrero]])*CP$1</f>
        <v>0</v>
      </c>
      <c r="CQ12" s="88">
        <f>IF(DATOS_TEMPERATURA_MEDIA45[[#This Row],[Marzo]]&gt;$DA$1,0,20-DATOS_TEMPERATURA_MEDIA45[[#This Row],[Marzo]])*CQ$1</f>
        <v>65.100000000000051</v>
      </c>
      <c r="CR12" s="88">
        <f>IF(DATOS_TEMPERATURA_MEDIA45[[#This Row],[Abril]]&gt;$DA$1,0,20-DATOS_TEMPERATURA_MEDIA45[[#This Row],[Abril]])*CR$1</f>
        <v>170.99999999999997</v>
      </c>
      <c r="CS12" s="88">
        <f>IF(DATOS_TEMPERATURA_MEDIA45[[#This Row],[Mayo]]&gt;$DA$1,0,20-DATOS_TEMPERATURA_MEDIA45[[#This Row],[Mayo]])*CS$1</f>
        <v>282.09999999999997</v>
      </c>
      <c r="CT12" s="88">
        <f>IF(DATOS_TEMPERATURA_MEDIA45[[#This Row],[Junio]]&gt;$DA$1,0,20-DATOS_TEMPERATURA_MEDIA45[[#This Row],[Junio]])*CT$1</f>
        <v>327</v>
      </c>
      <c r="CU12" s="88">
        <f>IF(DATOS_TEMPERATURA_MEDIA45[[#This Row],[Julio]]&gt;$DA$1,0,20-DATOS_TEMPERATURA_MEDIA45[[#This Row],[Julio]])*CU$1</f>
        <v>362.7</v>
      </c>
      <c r="CV12" s="88">
        <f>IF(DATOS_TEMPERATURA_MEDIA45[[#This Row],[Agosto]]&gt;$DA$1,0,20-DATOS_TEMPERATURA_MEDIA45[[#This Row],[Agosto]])*CV$1</f>
        <v>316.2</v>
      </c>
      <c r="CW12" s="88">
        <f>IF(DATOS_TEMPERATURA_MEDIA45[[#This Row],[Septiembre]]&gt;$DA$1,0,20-DATOS_TEMPERATURA_MEDIA45[[#This Row],[Septiembre]])*CW$1</f>
        <v>228</v>
      </c>
      <c r="CX12" s="88">
        <f>IF(DATOS_TEMPERATURA_MEDIA45[[#This Row],[Octubre]]&gt;$DA$1,0,20-DATOS_TEMPERATURA_MEDIA45[[#This Row],[Octubre]])*CX$1</f>
        <v>151.9</v>
      </c>
      <c r="CY12" s="88">
        <f>IF(DATOS_TEMPERATURA_MEDIA45[[#This Row],[Noviembre]]&gt;$DA$1,0,20-DATOS_TEMPERATURA_MEDIA45[[#This Row],[Noviembre]])*CY$1</f>
        <v>60</v>
      </c>
      <c r="CZ12" s="88">
        <f>IF(DATOS_TEMPERATURA_MEDIA45[[#This Row],[Diciembre]]&gt;$DA$1,0,20-DATOS_TEMPERATURA_MEDIA45[[#This Row],[Diciembre]])*CZ$1</f>
        <v>83.699999999999974</v>
      </c>
      <c r="DA12" s="88">
        <f>SUM(DATOS_TEMPERATURA_MEDIA45[[#This Row],[GDC 1]:[GDC 12]])</f>
        <v>2047.7000000000003</v>
      </c>
      <c r="DD12" t="s">
        <v>448</v>
      </c>
      <c r="DF12">
        <v>27</v>
      </c>
      <c r="DG12">
        <v>18</v>
      </c>
      <c r="DH12">
        <v>70</v>
      </c>
      <c r="DI12">
        <v>25</v>
      </c>
      <c r="DJ12">
        <f t="shared" si="0"/>
        <v>-27.3</v>
      </c>
      <c r="DK12">
        <f t="shared" si="1"/>
        <v>-70.416666666666671</v>
      </c>
      <c r="DL12">
        <v>291</v>
      </c>
    </row>
    <row r="13" spans="2:116" x14ac:dyDescent="0.45">
      <c r="B13">
        <v>15</v>
      </c>
      <c r="C13">
        <v>0.16</v>
      </c>
      <c r="D13">
        <v>0.17</v>
      </c>
      <c r="E13">
        <v>0.17</v>
      </c>
      <c r="G13">
        <v>1</v>
      </c>
      <c r="H13" t="s">
        <v>461</v>
      </c>
      <c r="L13" t="s">
        <v>1858</v>
      </c>
      <c r="P13">
        <v>11</v>
      </c>
      <c r="Q13" t="s">
        <v>1808</v>
      </c>
      <c r="R13" t="s">
        <v>1794</v>
      </c>
      <c r="U13">
        <v>11</v>
      </c>
      <c r="V13" s="49" t="s">
        <v>469</v>
      </c>
      <c r="W13" t="s">
        <v>578</v>
      </c>
      <c r="X13" s="88">
        <v>17.5</v>
      </c>
      <c r="Y13" s="88">
        <v>16.399999999999999</v>
      </c>
      <c r="Z13" s="88">
        <v>15.6</v>
      </c>
      <c r="AA13" s="88">
        <v>13.3</v>
      </c>
      <c r="AB13" s="88">
        <v>11.1</v>
      </c>
      <c r="AC13" s="88">
        <v>9.6</v>
      </c>
      <c r="AD13" s="88">
        <v>8.5</v>
      </c>
      <c r="AE13" s="88">
        <v>9.4</v>
      </c>
      <c r="AF13" s="88">
        <v>11.6</v>
      </c>
      <c r="AG13" s="88">
        <v>13.2</v>
      </c>
      <c r="AH13" s="88">
        <v>15.2</v>
      </c>
      <c r="AI13" s="88">
        <v>16.899999999999999</v>
      </c>
      <c r="AJ13" s="88">
        <v>13.2</v>
      </c>
      <c r="AK13" s="88">
        <v>-33.033333333333331</v>
      </c>
      <c r="AL13" s="88">
        <v>-71.483333333333334</v>
      </c>
      <c r="AM13" s="88">
        <v>174</v>
      </c>
      <c r="AN13" s="88">
        <f>MAX(DATOS_TEMPERATURA_MEDIA[[#This Row],[Enero]:[Diciembre]])-MIN(DATOS_TEMPERATURA_MEDIA[[#This Row],[Enero]:[Diciembre]])</f>
        <v>9</v>
      </c>
      <c r="AP13" s="7" t="s">
        <v>452</v>
      </c>
      <c r="AQ13" t="s">
        <v>463</v>
      </c>
      <c r="AX13" s="120">
        <v>6.9</v>
      </c>
      <c r="BD13">
        <f>Temperatura_interior_fija-DATOS_TEMPERATURA_MEDIA_MÍNIMA[[#This Row],[Julio]]</f>
        <v>12.1</v>
      </c>
      <c r="BG13" t="s">
        <v>1558</v>
      </c>
      <c r="BH13" s="47">
        <v>1</v>
      </c>
      <c r="BI13" s="47" t="s">
        <v>1248</v>
      </c>
      <c r="BJ13" s="47">
        <v>9.4</v>
      </c>
      <c r="BK13" s="47">
        <v>34.5</v>
      </c>
      <c r="BL13" s="47">
        <v>91.9</v>
      </c>
      <c r="BM13" s="47">
        <v>170.2</v>
      </c>
      <c r="BN13" s="47">
        <v>190.2</v>
      </c>
      <c r="BO13" s="47">
        <v>106.5</v>
      </c>
      <c r="BP13" s="47">
        <v>51.6</v>
      </c>
      <c r="BQ13" s="47">
        <v>27.5</v>
      </c>
      <c r="BR13" s="47">
        <v>19.100000000000001</v>
      </c>
      <c r="BS13" s="47">
        <v>5.6</v>
      </c>
      <c r="BT13" s="47">
        <v>707.5</v>
      </c>
      <c r="BU13" s="47" t="s">
        <v>1248</v>
      </c>
      <c r="BV13" s="88">
        <f>AVERAGE(Tabla32[[#This Row],[Mayo]:[Septiembre]])/30</f>
        <v>4.0693333333333337</v>
      </c>
      <c r="CA13" s="49" t="s">
        <v>462</v>
      </c>
      <c r="CB13" s="88">
        <v>21.4</v>
      </c>
      <c r="CC13" s="88">
        <v>20.399999999999999</v>
      </c>
      <c r="CD13" s="88">
        <v>18.3</v>
      </c>
      <c r="CE13" s="88">
        <v>14.6</v>
      </c>
      <c r="CF13" s="88">
        <v>11.7</v>
      </c>
      <c r="CG13" s="88">
        <v>9.3000000000000007</v>
      </c>
      <c r="CH13" s="88">
        <v>9.9</v>
      </c>
      <c r="CI13" s="88">
        <v>9.6999999999999993</v>
      </c>
      <c r="CJ13" s="88">
        <v>12.6</v>
      </c>
      <c r="CK13" s="88">
        <v>15.4</v>
      </c>
      <c r="CL13" s="88">
        <v>14.9</v>
      </c>
      <c r="CM13" s="88">
        <v>16.600000000000001</v>
      </c>
      <c r="CN13" s="88">
        <v>14.6</v>
      </c>
      <c r="CO13" s="88">
        <f>IF(DATOS_TEMPERATURA_MEDIA45[[#This Row],[Enero]]&gt;$DA$1,0,20-DATOS_TEMPERATURA_MEDIA45[[#This Row],[Enero]])*CO$1</f>
        <v>0</v>
      </c>
      <c r="CP13" s="88">
        <f>IF(DATOS_TEMPERATURA_MEDIA45[[#This Row],[Febrero]]&gt;$DA$1,0,20-DATOS_TEMPERATURA_MEDIA45[[#This Row],[Febrero]])*CP$1</f>
        <v>0</v>
      </c>
      <c r="CQ13" s="88">
        <f>IF(DATOS_TEMPERATURA_MEDIA45[[#This Row],[Marzo]]&gt;$DA$1,0,20-DATOS_TEMPERATURA_MEDIA45[[#This Row],[Marzo]])*CQ$1</f>
        <v>52.699999999999974</v>
      </c>
      <c r="CR13" s="88">
        <f>IF(DATOS_TEMPERATURA_MEDIA45[[#This Row],[Abril]]&gt;$DA$1,0,20-DATOS_TEMPERATURA_MEDIA45[[#This Row],[Abril]])*CR$1</f>
        <v>162</v>
      </c>
      <c r="CS13" s="88">
        <f>IF(DATOS_TEMPERATURA_MEDIA45[[#This Row],[Mayo]]&gt;$DA$1,0,20-DATOS_TEMPERATURA_MEDIA45[[#This Row],[Mayo]])*CS$1</f>
        <v>257.3</v>
      </c>
      <c r="CT13" s="88">
        <f>IF(DATOS_TEMPERATURA_MEDIA45[[#This Row],[Junio]]&gt;$DA$1,0,20-DATOS_TEMPERATURA_MEDIA45[[#This Row],[Junio]])*CT$1</f>
        <v>321</v>
      </c>
      <c r="CU13" s="88">
        <f>IF(DATOS_TEMPERATURA_MEDIA45[[#This Row],[Julio]]&gt;$DA$1,0,20-DATOS_TEMPERATURA_MEDIA45[[#This Row],[Julio]])*CU$1</f>
        <v>313.09999999999997</v>
      </c>
      <c r="CV13" s="88">
        <f>IF(DATOS_TEMPERATURA_MEDIA45[[#This Row],[Agosto]]&gt;$DA$1,0,20-DATOS_TEMPERATURA_MEDIA45[[#This Row],[Agosto]])*CV$1</f>
        <v>319.3</v>
      </c>
      <c r="CW13" s="88">
        <f>IF(DATOS_TEMPERATURA_MEDIA45[[#This Row],[Septiembre]]&gt;$DA$1,0,20-DATOS_TEMPERATURA_MEDIA45[[#This Row],[Septiembre]])*CW$1</f>
        <v>222</v>
      </c>
      <c r="CX13" s="88">
        <f>IF(DATOS_TEMPERATURA_MEDIA45[[#This Row],[Octubre]]&gt;$DA$1,0,20-DATOS_TEMPERATURA_MEDIA45[[#This Row],[Octubre]])*CX$1</f>
        <v>142.6</v>
      </c>
      <c r="CY13" s="88">
        <f>IF(DATOS_TEMPERATURA_MEDIA45[[#This Row],[Noviembre]]&gt;$DA$1,0,20-DATOS_TEMPERATURA_MEDIA45[[#This Row],[Noviembre]])*CY$1</f>
        <v>153</v>
      </c>
      <c r="CZ13" s="88">
        <f>IF(DATOS_TEMPERATURA_MEDIA45[[#This Row],[Diciembre]]&gt;$DA$1,0,20-DATOS_TEMPERATURA_MEDIA45[[#This Row],[Diciembre]])*CZ$1</f>
        <v>105.39999999999995</v>
      </c>
      <c r="DA13" s="88">
        <f>SUM(DATOS_TEMPERATURA_MEDIA45[[#This Row],[GDC 1]:[GDC 12]])</f>
        <v>2048.3999999999996</v>
      </c>
      <c r="DD13" t="s">
        <v>450</v>
      </c>
      <c r="DF13">
        <v>28</v>
      </c>
      <c r="DG13">
        <v>35</v>
      </c>
      <c r="DH13">
        <v>70</v>
      </c>
      <c r="DI13">
        <v>46</v>
      </c>
      <c r="DJ13">
        <f t="shared" si="0"/>
        <v>-28.583333333333332</v>
      </c>
      <c r="DK13">
        <f t="shared" si="1"/>
        <v>-70.766666666666666</v>
      </c>
      <c r="DL13">
        <v>496</v>
      </c>
    </row>
    <row r="14" spans="2:116" x14ac:dyDescent="0.45">
      <c r="B14">
        <v>25</v>
      </c>
      <c r="C14">
        <v>0.16</v>
      </c>
      <c r="D14">
        <v>0.18</v>
      </c>
      <c r="E14">
        <v>0.19</v>
      </c>
      <c r="G14">
        <v>2</v>
      </c>
      <c r="H14" t="s">
        <v>464</v>
      </c>
      <c r="P14">
        <v>12</v>
      </c>
      <c r="Q14" t="s">
        <v>1809</v>
      </c>
      <c r="R14" t="s">
        <v>1795</v>
      </c>
      <c r="U14">
        <v>12</v>
      </c>
      <c r="V14" s="49" t="s">
        <v>472</v>
      </c>
      <c r="W14" t="s">
        <v>578</v>
      </c>
      <c r="X14" s="88">
        <v>15.6</v>
      </c>
      <c r="Y14" s="88">
        <v>15.6</v>
      </c>
      <c r="Z14" s="88">
        <v>14.3</v>
      </c>
      <c r="AA14" s="88">
        <v>12.7</v>
      </c>
      <c r="AB14" s="88">
        <v>11.6</v>
      </c>
      <c r="AC14" s="88">
        <v>10.3</v>
      </c>
      <c r="AD14" s="88">
        <v>10</v>
      </c>
      <c r="AE14" s="88">
        <v>10.4</v>
      </c>
      <c r="AF14" s="88">
        <v>11</v>
      </c>
      <c r="AG14" s="88">
        <v>12.3</v>
      </c>
      <c r="AH14" s="88">
        <v>13.8</v>
      </c>
      <c r="AI14" s="88">
        <v>15.1</v>
      </c>
      <c r="AJ14" s="88">
        <v>12.8</v>
      </c>
      <c r="AK14" s="88">
        <v>-32.783333333333331</v>
      </c>
      <c r="AL14" s="88">
        <v>-71.533333333333331</v>
      </c>
      <c r="AM14" s="88">
        <v>8</v>
      </c>
      <c r="AN14" s="88">
        <f>MAX(DATOS_TEMPERATURA_MEDIA[[#This Row],[Enero]:[Diciembre]])-MIN(DATOS_TEMPERATURA_MEDIA[[#This Row],[Enero]:[Diciembre]])</f>
        <v>5.6</v>
      </c>
      <c r="AP14" s="118" t="s">
        <v>466</v>
      </c>
      <c r="AQ14" t="s">
        <v>467</v>
      </c>
      <c r="AX14" s="120">
        <v>6.9</v>
      </c>
      <c r="BD14">
        <f>Temperatura_interior_fija-DATOS_TEMPERATURA_MEDIA_MÍNIMA[[#This Row],[Julio]]</f>
        <v>12.1</v>
      </c>
      <c r="BG14" t="s">
        <v>1555</v>
      </c>
      <c r="BH14" s="47">
        <v>1.9</v>
      </c>
      <c r="BI14" s="47">
        <v>0.7</v>
      </c>
      <c r="BJ14" s="47">
        <v>12.1</v>
      </c>
      <c r="BK14" s="47">
        <v>28.7</v>
      </c>
      <c r="BL14" s="47">
        <v>104.4</v>
      </c>
      <c r="BM14" s="47">
        <v>140.6</v>
      </c>
      <c r="BN14" s="47">
        <v>145.69999999999999</v>
      </c>
      <c r="BO14" s="47">
        <v>88.1</v>
      </c>
      <c r="BP14" s="47">
        <v>51.7</v>
      </c>
      <c r="BQ14" s="47">
        <v>28.6</v>
      </c>
      <c r="BR14" s="47">
        <v>18.2</v>
      </c>
      <c r="BS14" s="47">
        <v>5.9</v>
      </c>
      <c r="BT14" s="47">
        <v>626.6</v>
      </c>
      <c r="BU14" s="47">
        <v>125</v>
      </c>
      <c r="BV14" s="88">
        <f>AVERAGE(Tabla32[[#This Row],[Mayo]:[Septiembre]])/30</f>
        <v>3.5366666666666666</v>
      </c>
      <c r="CA14" s="49" t="s">
        <v>481</v>
      </c>
      <c r="CB14" s="88">
        <v>20.9</v>
      </c>
      <c r="CC14" s="88">
        <v>19.899999999999999</v>
      </c>
      <c r="CD14" s="88">
        <v>17.600000000000001</v>
      </c>
      <c r="CE14" s="88">
        <v>14.2</v>
      </c>
      <c r="CF14" s="88">
        <v>11.1</v>
      </c>
      <c r="CG14" s="88">
        <v>8.5</v>
      </c>
      <c r="CH14" s="88">
        <v>8.1</v>
      </c>
      <c r="CI14" s="88">
        <v>9.5</v>
      </c>
      <c r="CJ14" s="88">
        <v>11.5</v>
      </c>
      <c r="CK14" s="88">
        <v>14.5</v>
      </c>
      <c r="CL14" s="88">
        <v>17.3</v>
      </c>
      <c r="CM14" s="88">
        <v>19.899999999999999</v>
      </c>
      <c r="CN14" s="88">
        <v>14.4</v>
      </c>
      <c r="CO14" s="88">
        <f>IF(DATOS_TEMPERATURA_MEDIA45[[#This Row],[Enero]]&gt;$DA$1,0,20-DATOS_TEMPERATURA_MEDIA45[[#This Row],[Enero]])*CO$1</f>
        <v>0</v>
      </c>
      <c r="CP14" s="88">
        <f>IF(DATOS_TEMPERATURA_MEDIA45[[#This Row],[Febrero]]&gt;$DA$1,0,20-DATOS_TEMPERATURA_MEDIA45[[#This Row],[Febrero]])*CP$1</f>
        <v>2.8000000000000398</v>
      </c>
      <c r="CQ14" s="88">
        <f>IF(DATOS_TEMPERATURA_MEDIA45[[#This Row],[Marzo]]&gt;$DA$1,0,20-DATOS_TEMPERATURA_MEDIA45[[#This Row],[Marzo]])*CQ$1</f>
        <v>74.399999999999949</v>
      </c>
      <c r="CR14" s="88">
        <f>IF(DATOS_TEMPERATURA_MEDIA45[[#This Row],[Abril]]&gt;$DA$1,0,20-DATOS_TEMPERATURA_MEDIA45[[#This Row],[Abril]])*CR$1</f>
        <v>174.00000000000003</v>
      </c>
      <c r="CS14" s="88">
        <f>IF(DATOS_TEMPERATURA_MEDIA45[[#This Row],[Mayo]]&gt;$DA$1,0,20-DATOS_TEMPERATURA_MEDIA45[[#This Row],[Mayo]])*CS$1</f>
        <v>275.90000000000003</v>
      </c>
      <c r="CT14" s="88">
        <f>IF(DATOS_TEMPERATURA_MEDIA45[[#This Row],[Junio]]&gt;$DA$1,0,20-DATOS_TEMPERATURA_MEDIA45[[#This Row],[Junio]])*CT$1</f>
        <v>345</v>
      </c>
      <c r="CU14" s="88">
        <f>IF(DATOS_TEMPERATURA_MEDIA45[[#This Row],[Julio]]&gt;$DA$1,0,20-DATOS_TEMPERATURA_MEDIA45[[#This Row],[Julio]])*CU$1</f>
        <v>368.90000000000003</v>
      </c>
      <c r="CV14" s="88">
        <f>IF(DATOS_TEMPERATURA_MEDIA45[[#This Row],[Agosto]]&gt;$DA$1,0,20-DATOS_TEMPERATURA_MEDIA45[[#This Row],[Agosto]])*CV$1</f>
        <v>325.5</v>
      </c>
      <c r="CW14" s="88">
        <f>IF(DATOS_TEMPERATURA_MEDIA45[[#This Row],[Septiembre]]&gt;$DA$1,0,20-DATOS_TEMPERATURA_MEDIA45[[#This Row],[Septiembre]])*CW$1</f>
        <v>255</v>
      </c>
      <c r="CX14" s="88">
        <f>IF(DATOS_TEMPERATURA_MEDIA45[[#This Row],[Octubre]]&gt;$DA$1,0,20-DATOS_TEMPERATURA_MEDIA45[[#This Row],[Octubre]])*CX$1</f>
        <v>170.5</v>
      </c>
      <c r="CY14" s="88">
        <f>IF(DATOS_TEMPERATURA_MEDIA45[[#This Row],[Noviembre]]&gt;$DA$1,0,20-DATOS_TEMPERATURA_MEDIA45[[#This Row],[Noviembre]])*CY$1</f>
        <v>80.999999999999972</v>
      </c>
      <c r="CZ14" s="88">
        <f>IF(DATOS_TEMPERATURA_MEDIA45[[#This Row],[Diciembre]]&gt;$DA$1,0,20-DATOS_TEMPERATURA_MEDIA45[[#This Row],[Diciembre]])*CZ$1</f>
        <v>3.1000000000000441</v>
      </c>
      <c r="DA14" s="88">
        <f>SUM(DATOS_TEMPERATURA_MEDIA45[[#This Row],[GDC 1]:[GDC 12]])</f>
        <v>2076.1</v>
      </c>
      <c r="DD14" t="s">
        <v>454</v>
      </c>
      <c r="DF14">
        <v>29</v>
      </c>
      <c r="DG14">
        <v>54</v>
      </c>
      <c r="DH14">
        <v>71</v>
      </c>
      <c r="DI14">
        <v>12</v>
      </c>
      <c r="DJ14">
        <f t="shared" si="0"/>
        <v>-29.9</v>
      </c>
      <c r="DK14">
        <f t="shared" si="1"/>
        <v>-71.2</v>
      </c>
      <c r="DL14">
        <v>142</v>
      </c>
    </row>
    <row r="15" spans="2:116" x14ac:dyDescent="0.45">
      <c r="B15">
        <v>50</v>
      </c>
      <c r="C15">
        <v>0.16</v>
      </c>
      <c r="D15">
        <v>0.18</v>
      </c>
      <c r="E15">
        <v>0.21</v>
      </c>
      <c r="G15">
        <v>3</v>
      </c>
      <c r="H15" t="s">
        <v>468</v>
      </c>
      <c r="P15">
        <v>13</v>
      </c>
      <c r="Q15" t="s">
        <v>1810</v>
      </c>
      <c r="R15" t="s">
        <v>1796</v>
      </c>
      <c r="U15">
        <v>13</v>
      </c>
      <c r="V15" s="49" t="s">
        <v>474</v>
      </c>
      <c r="W15" t="s">
        <v>578</v>
      </c>
      <c r="X15" s="88">
        <v>17</v>
      </c>
      <c r="Y15" s="88">
        <v>16.8</v>
      </c>
      <c r="Z15" s="88">
        <v>15.6</v>
      </c>
      <c r="AA15" s="88">
        <v>14.2</v>
      </c>
      <c r="AB15" s="88">
        <v>13.3</v>
      </c>
      <c r="AC15" s="88">
        <v>12</v>
      </c>
      <c r="AD15" s="88">
        <v>11.4</v>
      </c>
      <c r="AE15" s="88">
        <v>11.7</v>
      </c>
      <c r="AF15" s="88">
        <v>12.1</v>
      </c>
      <c r="AG15" s="88">
        <v>13.2</v>
      </c>
      <c r="AH15" s="88">
        <v>14.7</v>
      </c>
      <c r="AI15" s="88">
        <v>16.2</v>
      </c>
      <c r="AJ15" s="88">
        <v>14</v>
      </c>
      <c r="AK15" s="88">
        <v>-33.033333333333331</v>
      </c>
      <c r="AL15" s="88">
        <v>-71.63333333333334</v>
      </c>
      <c r="AM15" s="88">
        <v>41</v>
      </c>
      <c r="AN15" s="88">
        <f>MAX(DATOS_TEMPERATURA_MEDIA[[#This Row],[Enero]:[Diciembre]])-MIN(DATOS_TEMPERATURA_MEDIA[[#This Row],[Enero]:[Diciembre]])</f>
        <v>5.6</v>
      </c>
      <c r="AP15" s="119" t="s">
        <v>470</v>
      </c>
      <c r="AQ15" t="s">
        <v>471</v>
      </c>
      <c r="AX15" s="120">
        <v>6.9</v>
      </c>
      <c r="BD15">
        <f>Temperatura_interior_fija-DATOS_TEMPERATURA_MEDIA_MÍNIMA[[#This Row],[Julio]]</f>
        <v>12.1</v>
      </c>
      <c r="BG15" t="s">
        <v>1556</v>
      </c>
      <c r="BH15" s="47">
        <v>1.6</v>
      </c>
      <c r="BI15" s="47">
        <v>2.8</v>
      </c>
      <c r="BJ15" s="47">
        <v>12.6</v>
      </c>
      <c r="BK15" s="47">
        <v>30</v>
      </c>
      <c r="BL15" s="47">
        <v>92.2</v>
      </c>
      <c r="BM15" s="47">
        <v>143</v>
      </c>
      <c r="BN15" s="47">
        <v>157.4</v>
      </c>
      <c r="BO15" s="47">
        <v>95.1</v>
      </c>
      <c r="BP15" s="47">
        <v>49.4</v>
      </c>
      <c r="BQ15" s="47">
        <v>28.3</v>
      </c>
      <c r="BR15" s="47">
        <v>18.5</v>
      </c>
      <c r="BS15" s="47">
        <v>7.4</v>
      </c>
      <c r="BT15" s="47">
        <v>638.29999999999995</v>
      </c>
      <c r="BU15" s="47" t="s">
        <v>1248</v>
      </c>
      <c r="BV15" s="88">
        <f>AVERAGE(Tabla32[[#This Row],[Mayo]:[Septiembre]])/30</f>
        <v>3.5806666666666667</v>
      </c>
      <c r="CA15" s="49" t="s">
        <v>486</v>
      </c>
      <c r="CB15" s="88">
        <v>20.5</v>
      </c>
      <c r="CC15" s="88">
        <v>19.600000000000001</v>
      </c>
      <c r="CD15" s="88">
        <v>17.399999999999999</v>
      </c>
      <c r="CE15" s="88">
        <v>14.2</v>
      </c>
      <c r="CF15" s="88">
        <v>11.1</v>
      </c>
      <c r="CG15" s="88">
        <v>8.5</v>
      </c>
      <c r="CH15" s="88">
        <v>8.1999999999999993</v>
      </c>
      <c r="CI15" s="88">
        <v>9.4</v>
      </c>
      <c r="CJ15" s="88">
        <v>11.3</v>
      </c>
      <c r="CK15" s="88">
        <v>14.1</v>
      </c>
      <c r="CL15" s="88">
        <v>17</v>
      </c>
      <c r="CM15" s="88">
        <v>19.399999999999999</v>
      </c>
      <c r="CN15" s="88">
        <v>14.2</v>
      </c>
      <c r="CO15" s="88">
        <f>IF(DATOS_TEMPERATURA_MEDIA45[[#This Row],[Enero]]&gt;$DA$1,0,20-DATOS_TEMPERATURA_MEDIA45[[#This Row],[Enero]])*CO$1</f>
        <v>0</v>
      </c>
      <c r="CP15" s="88">
        <f>IF(DATOS_TEMPERATURA_MEDIA45[[#This Row],[Febrero]]&gt;$DA$1,0,20-DATOS_TEMPERATURA_MEDIA45[[#This Row],[Febrero]])*CP$1</f>
        <v>11.19999999999996</v>
      </c>
      <c r="CQ15" s="88">
        <f>IF(DATOS_TEMPERATURA_MEDIA45[[#This Row],[Marzo]]&gt;$DA$1,0,20-DATOS_TEMPERATURA_MEDIA45[[#This Row],[Marzo]])*CQ$1</f>
        <v>80.600000000000051</v>
      </c>
      <c r="CR15" s="88">
        <f>IF(DATOS_TEMPERATURA_MEDIA45[[#This Row],[Abril]]&gt;$DA$1,0,20-DATOS_TEMPERATURA_MEDIA45[[#This Row],[Abril]])*CR$1</f>
        <v>174.00000000000003</v>
      </c>
      <c r="CS15" s="88">
        <f>IF(DATOS_TEMPERATURA_MEDIA45[[#This Row],[Mayo]]&gt;$DA$1,0,20-DATOS_TEMPERATURA_MEDIA45[[#This Row],[Mayo]])*CS$1</f>
        <v>275.90000000000003</v>
      </c>
      <c r="CT15" s="88">
        <f>IF(DATOS_TEMPERATURA_MEDIA45[[#This Row],[Junio]]&gt;$DA$1,0,20-DATOS_TEMPERATURA_MEDIA45[[#This Row],[Junio]])*CT$1</f>
        <v>345</v>
      </c>
      <c r="CU15" s="88">
        <f>IF(DATOS_TEMPERATURA_MEDIA45[[#This Row],[Julio]]&gt;$DA$1,0,20-DATOS_TEMPERATURA_MEDIA45[[#This Row],[Julio]])*CU$1</f>
        <v>365.8</v>
      </c>
      <c r="CV15" s="88">
        <f>IF(DATOS_TEMPERATURA_MEDIA45[[#This Row],[Agosto]]&gt;$DA$1,0,20-DATOS_TEMPERATURA_MEDIA45[[#This Row],[Agosto]])*CV$1</f>
        <v>328.59999999999997</v>
      </c>
      <c r="CW15" s="88">
        <f>IF(DATOS_TEMPERATURA_MEDIA45[[#This Row],[Septiembre]]&gt;$DA$1,0,20-DATOS_TEMPERATURA_MEDIA45[[#This Row],[Septiembre]])*CW$1</f>
        <v>261</v>
      </c>
      <c r="CX15" s="88">
        <f>IF(DATOS_TEMPERATURA_MEDIA45[[#This Row],[Octubre]]&gt;$DA$1,0,20-DATOS_TEMPERATURA_MEDIA45[[#This Row],[Octubre]])*CX$1</f>
        <v>182.9</v>
      </c>
      <c r="CY15" s="88">
        <f>IF(DATOS_TEMPERATURA_MEDIA45[[#This Row],[Noviembre]]&gt;$DA$1,0,20-DATOS_TEMPERATURA_MEDIA45[[#This Row],[Noviembre]])*CY$1</f>
        <v>90</v>
      </c>
      <c r="CZ15" s="88">
        <f>IF(DATOS_TEMPERATURA_MEDIA45[[#This Row],[Diciembre]]&gt;$DA$1,0,20-DATOS_TEMPERATURA_MEDIA45[[#This Row],[Diciembre]])*CZ$1</f>
        <v>18.600000000000044</v>
      </c>
      <c r="DA15" s="88">
        <f>SUM(DATOS_TEMPERATURA_MEDIA45[[#This Row],[GDC 1]:[GDC 12]])</f>
        <v>2133.6</v>
      </c>
      <c r="DD15" t="s">
        <v>801</v>
      </c>
      <c r="DF15">
        <v>29</v>
      </c>
      <c r="DG15">
        <v>56</v>
      </c>
      <c r="DH15">
        <v>71</v>
      </c>
      <c r="DI15">
        <v>21</v>
      </c>
      <c r="DJ15">
        <f t="shared" si="0"/>
        <v>-29.933333333333334</v>
      </c>
      <c r="DK15">
        <f t="shared" si="1"/>
        <v>-71.349999999999994</v>
      </c>
      <c r="DL15">
        <v>27</v>
      </c>
    </row>
    <row r="16" spans="2:116" x14ac:dyDescent="0.45">
      <c r="B16">
        <v>100</v>
      </c>
      <c r="C16">
        <v>0.16</v>
      </c>
      <c r="D16">
        <v>0.18</v>
      </c>
      <c r="E16">
        <v>0.22</v>
      </c>
      <c r="P16">
        <v>14</v>
      </c>
      <c r="Q16" t="s">
        <v>1811</v>
      </c>
      <c r="R16" t="s">
        <v>1797</v>
      </c>
      <c r="U16">
        <v>14</v>
      </c>
      <c r="V16" s="49" t="s">
        <v>495</v>
      </c>
      <c r="W16" t="s">
        <v>578</v>
      </c>
      <c r="X16" s="88">
        <v>18.5</v>
      </c>
      <c r="Y16" s="88">
        <v>18.7</v>
      </c>
      <c r="Z16" s="88">
        <v>17.899999999999999</v>
      </c>
      <c r="AA16" s="88">
        <v>16.600000000000001</v>
      </c>
      <c r="AB16" s="88">
        <v>15.3</v>
      </c>
      <c r="AC16" s="88">
        <v>13.7</v>
      </c>
      <c r="AD16" s="88">
        <v>12.7</v>
      </c>
      <c r="AE16" s="88">
        <v>12.3</v>
      </c>
      <c r="AF16" s="88">
        <v>12.4</v>
      </c>
      <c r="AG16" s="88">
        <v>13.4</v>
      </c>
      <c r="AH16" s="88">
        <v>14.9</v>
      </c>
      <c r="AI16" s="88">
        <v>17</v>
      </c>
      <c r="AJ16" s="88">
        <v>15.3</v>
      </c>
      <c r="AK16" s="88">
        <v>-33.616666666666667</v>
      </c>
      <c r="AL16" s="88">
        <v>-78.86666666666666</v>
      </c>
      <c r="AM16" s="88">
        <v>30</v>
      </c>
      <c r="AN16" s="88">
        <f>MAX(DATOS_TEMPERATURA_MEDIA[[#This Row],[Enero]:[Diciembre]])-MIN(DATOS_TEMPERATURA_MEDIA[[#This Row],[Enero]:[Diciembre]])</f>
        <v>6.3999999999999986</v>
      </c>
      <c r="AP16" s="7" t="s">
        <v>456</v>
      </c>
      <c r="AQ16" t="s">
        <v>473</v>
      </c>
      <c r="AX16" s="120">
        <v>16</v>
      </c>
      <c r="BD16">
        <f>Temperatura_interior_fija-DATOS_TEMPERATURA_MEDIA_MÍNIMA[[#This Row],[Julio]]</f>
        <v>3</v>
      </c>
      <c r="BG16" t="s">
        <v>994</v>
      </c>
      <c r="BH16" s="47">
        <v>2.1</v>
      </c>
      <c r="BI16" s="47">
        <v>0.6</v>
      </c>
      <c r="BJ16" s="47">
        <v>11.3</v>
      </c>
      <c r="BK16" s="47">
        <v>33.200000000000003</v>
      </c>
      <c r="BL16" s="47">
        <v>123.2</v>
      </c>
      <c r="BM16" s="47">
        <v>179</v>
      </c>
      <c r="BN16" s="47">
        <v>208.9</v>
      </c>
      <c r="BO16" s="47">
        <v>118.5</v>
      </c>
      <c r="BP16" s="47">
        <v>51.2</v>
      </c>
      <c r="BQ16" s="47">
        <v>26</v>
      </c>
      <c r="BR16" s="47">
        <v>22.3</v>
      </c>
      <c r="BS16" s="47">
        <v>9.4</v>
      </c>
      <c r="BT16" s="47">
        <v>785.7</v>
      </c>
      <c r="BU16" s="47">
        <v>162.1</v>
      </c>
      <c r="BV16" s="88">
        <f>AVERAGE(Tabla32[[#This Row],[Mayo]:[Septiembre]])/30</f>
        <v>4.5386666666666677</v>
      </c>
      <c r="CA16" s="49" t="s">
        <v>547</v>
      </c>
      <c r="CB16" s="88">
        <v>21</v>
      </c>
      <c r="CC16" s="88">
        <v>20</v>
      </c>
      <c r="CD16" s="88">
        <v>17.600000000000001</v>
      </c>
      <c r="CE16" s="88">
        <v>13.7</v>
      </c>
      <c r="CF16" s="88">
        <v>10.9</v>
      </c>
      <c r="CG16" s="88">
        <v>9</v>
      </c>
      <c r="CH16" s="88">
        <v>8.9</v>
      </c>
      <c r="CI16" s="88">
        <v>9</v>
      </c>
      <c r="CJ16" s="88">
        <v>10.9</v>
      </c>
      <c r="CK16" s="88">
        <v>13.4</v>
      </c>
      <c r="CL16" s="88">
        <v>16</v>
      </c>
      <c r="CM16" s="88">
        <v>19.600000000000001</v>
      </c>
      <c r="CN16" s="88">
        <v>14.2</v>
      </c>
      <c r="CO16" s="88">
        <f>IF(DATOS_TEMPERATURA_MEDIA45[[#This Row],[Enero]]&gt;$DA$1,0,20-DATOS_TEMPERATURA_MEDIA45[[#This Row],[Enero]])*CO$1</f>
        <v>0</v>
      </c>
      <c r="CP16" s="88">
        <f>IF(DATOS_TEMPERATURA_MEDIA45[[#This Row],[Febrero]]&gt;$DA$1,0,20-DATOS_TEMPERATURA_MEDIA45[[#This Row],[Febrero]])*CP$1</f>
        <v>0</v>
      </c>
      <c r="CQ16" s="88">
        <f>IF(DATOS_TEMPERATURA_MEDIA45[[#This Row],[Marzo]]&gt;$DA$1,0,20-DATOS_TEMPERATURA_MEDIA45[[#This Row],[Marzo]])*CQ$1</f>
        <v>74.399999999999949</v>
      </c>
      <c r="CR16" s="88">
        <f>IF(DATOS_TEMPERATURA_MEDIA45[[#This Row],[Abril]]&gt;$DA$1,0,20-DATOS_TEMPERATURA_MEDIA45[[#This Row],[Abril]])*CR$1</f>
        <v>189.00000000000003</v>
      </c>
      <c r="CS16" s="88">
        <f>IF(DATOS_TEMPERATURA_MEDIA45[[#This Row],[Mayo]]&gt;$DA$1,0,20-DATOS_TEMPERATURA_MEDIA45[[#This Row],[Mayo]])*CS$1</f>
        <v>282.09999999999997</v>
      </c>
      <c r="CT16" s="88">
        <f>IF(DATOS_TEMPERATURA_MEDIA45[[#This Row],[Junio]]&gt;$DA$1,0,20-DATOS_TEMPERATURA_MEDIA45[[#This Row],[Junio]])*CT$1</f>
        <v>330</v>
      </c>
      <c r="CU16" s="88">
        <f>IF(DATOS_TEMPERATURA_MEDIA45[[#This Row],[Julio]]&gt;$DA$1,0,20-DATOS_TEMPERATURA_MEDIA45[[#This Row],[Julio]])*CU$1</f>
        <v>344.09999999999997</v>
      </c>
      <c r="CV16" s="88">
        <f>IF(DATOS_TEMPERATURA_MEDIA45[[#This Row],[Agosto]]&gt;$DA$1,0,20-DATOS_TEMPERATURA_MEDIA45[[#This Row],[Agosto]])*CV$1</f>
        <v>341</v>
      </c>
      <c r="CW16" s="88">
        <f>IF(DATOS_TEMPERATURA_MEDIA45[[#This Row],[Septiembre]]&gt;$DA$1,0,20-DATOS_TEMPERATURA_MEDIA45[[#This Row],[Septiembre]])*CW$1</f>
        <v>273</v>
      </c>
      <c r="CX16" s="88">
        <f>IF(DATOS_TEMPERATURA_MEDIA45[[#This Row],[Octubre]]&gt;$DA$1,0,20-DATOS_TEMPERATURA_MEDIA45[[#This Row],[Octubre]])*CX$1</f>
        <v>204.6</v>
      </c>
      <c r="CY16" s="88">
        <f>IF(DATOS_TEMPERATURA_MEDIA45[[#This Row],[Noviembre]]&gt;$DA$1,0,20-DATOS_TEMPERATURA_MEDIA45[[#This Row],[Noviembre]])*CY$1</f>
        <v>120</v>
      </c>
      <c r="CZ16" s="88">
        <f>IF(DATOS_TEMPERATURA_MEDIA45[[#This Row],[Diciembre]]&gt;$DA$1,0,20-DATOS_TEMPERATURA_MEDIA45[[#This Row],[Diciembre]])*CZ$1</f>
        <v>12.399999999999956</v>
      </c>
      <c r="DA16" s="88">
        <f>SUM(DATOS_TEMPERATURA_MEDIA45[[#This Row],[GDC 1]:[GDC 12]])</f>
        <v>2170.6</v>
      </c>
      <c r="DD16" t="s">
        <v>457</v>
      </c>
      <c r="DF16">
        <v>30</v>
      </c>
      <c r="DG16">
        <v>2</v>
      </c>
      <c r="DH16">
        <v>70</v>
      </c>
      <c r="DI16">
        <v>43</v>
      </c>
      <c r="DJ16">
        <f t="shared" si="0"/>
        <v>-30.033333333333335</v>
      </c>
      <c r="DK16">
        <f t="shared" si="1"/>
        <v>-70.716666666666669</v>
      </c>
      <c r="DL16">
        <v>610</v>
      </c>
    </row>
    <row r="17" spans="2:116" x14ac:dyDescent="0.45">
      <c r="B17">
        <v>300</v>
      </c>
      <c r="C17">
        <v>0.16</v>
      </c>
      <c r="D17">
        <v>0.18</v>
      </c>
      <c r="E17">
        <v>0.23</v>
      </c>
      <c r="U17">
        <v>15</v>
      </c>
      <c r="V17" s="49" t="s">
        <v>462</v>
      </c>
      <c r="W17" t="s">
        <v>581</v>
      </c>
      <c r="X17" s="88">
        <v>21.4</v>
      </c>
      <c r="Y17" s="88">
        <v>20.399999999999999</v>
      </c>
      <c r="Z17" s="88">
        <v>18.3</v>
      </c>
      <c r="AA17" s="88">
        <v>14.6</v>
      </c>
      <c r="AB17" s="88">
        <v>11.7</v>
      </c>
      <c r="AC17" s="88">
        <v>9.3000000000000007</v>
      </c>
      <c r="AD17" s="88">
        <v>9.9</v>
      </c>
      <c r="AE17" s="88">
        <v>9.6999999999999993</v>
      </c>
      <c r="AF17" s="88">
        <v>12.6</v>
      </c>
      <c r="AG17" s="88">
        <v>15.4</v>
      </c>
      <c r="AH17" s="88">
        <v>14.9</v>
      </c>
      <c r="AI17" s="88">
        <v>16.600000000000001</v>
      </c>
      <c r="AJ17" s="88">
        <v>14.6</v>
      </c>
      <c r="AK17" s="88">
        <v>-32.766666666666666</v>
      </c>
      <c r="AL17" s="88">
        <v>-70.716666666666669</v>
      </c>
      <c r="AM17" s="88">
        <v>650</v>
      </c>
      <c r="AN17" s="88">
        <f>MAX(DATOS_TEMPERATURA_MEDIA[[#This Row],[Enero]:[Diciembre]])-MIN(DATOS_TEMPERATURA_MEDIA[[#This Row],[Enero]:[Diciembre]])</f>
        <v>12.099999999999998</v>
      </c>
      <c r="AP17" s="7" t="s">
        <v>458</v>
      </c>
      <c r="AQ17" t="s">
        <v>475</v>
      </c>
      <c r="AX17" s="120">
        <v>4.7</v>
      </c>
      <c r="BD17">
        <f>Temperatura_interior_fija-DATOS_TEMPERATURA_MEDIA_MÍNIMA[[#This Row],[Julio]]</f>
        <v>14.3</v>
      </c>
      <c r="BG17" t="s">
        <v>1557</v>
      </c>
      <c r="BH17" s="47">
        <v>2.5</v>
      </c>
      <c r="BI17" s="47">
        <v>0.8</v>
      </c>
      <c r="BJ17" s="47">
        <v>13.5</v>
      </c>
      <c r="BK17" s="47">
        <v>35.9</v>
      </c>
      <c r="BL17" s="47">
        <v>118.7</v>
      </c>
      <c r="BM17" s="47">
        <v>157.30000000000001</v>
      </c>
      <c r="BN17" s="47">
        <v>173.6</v>
      </c>
      <c r="BO17" s="47">
        <v>108</v>
      </c>
      <c r="BP17" s="47">
        <v>60.8</v>
      </c>
      <c r="BQ17" s="47">
        <v>35.1</v>
      </c>
      <c r="BR17" s="47">
        <v>21.8</v>
      </c>
      <c r="BS17" s="47">
        <v>9.6</v>
      </c>
      <c r="BT17" s="47">
        <v>737.6</v>
      </c>
      <c r="BU17" s="47">
        <v>175</v>
      </c>
      <c r="BV17" s="88">
        <f>AVERAGE(Tabla32[[#This Row],[Mayo]:[Septiembre]])/30</f>
        <v>4.1226666666666665</v>
      </c>
      <c r="CA17" s="49" t="s">
        <v>474</v>
      </c>
      <c r="CB17" s="88">
        <v>17</v>
      </c>
      <c r="CC17" s="88">
        <v>16.8</v>
      </c>
      <c r="CD17" s="88">
        <v>15.6</v>
      </c>
      <c r="CE17" s="88">
        <v>14.2</v>
      </c>
      <c r="CF17" s="88">
        <v>13.3</v>
      </c>
      <c r="CG17" s="88">
        <v>12</v>
      </c>
      <c r="CH17" s="88">
        <v>11.4</v>
      </c>
      <c r="CI17" s="88">
        <v>11.7</v>
      </c>
      <c r="CJ17" s="88">
        <v>12.1</v>
      </c>
      <c r="CK17" s="88">
        <v>13.2</v>
      </c>
      <c r="CL17" s="88">
        <v>14.7</v>
      </c>
      <c r="CM17" s="88">
        <v>16.2</v>
      </c>
      <c r="CN17" s="88">
        <v>14</v>
      </c>
      <c r="CO17" s="88">
        <f>IF(DATOS_TEMPERATURA_MEDIA45[[#This Row],[Enero]]&gt;$DA$1,0,20-DATOS_TEMPERATURA_MEDIA45[[#This Row],[Enero]])*CO$1</f>
        <v>93</v>
      </c>
      <c r="CP17" s="88">
        <f>IF(DATOS_TEMPERATURA_MEDIA45[[#This Row],[Febrero]]&gt;$DA$1,0,20-DATOS_TEMPERATURA_MEDIA45[[#This Row],[Febrero]])*CP$1</f>
        <v>89.59999999999998</v>
      </c>
      <c r="CQ17" s="88">
        <f>IF(DATOS_TEMPERATURA_MEDIA45[[#This Row],[Marzo]]&gt;$DA$1,0,20-DATOS_TEMPERATURA_MEDIA45[[#This Row],[Marzo]])*CQ$1</f>
        <v>136.4</v>
      </c>
      <c r="CR17" s="88">
        <f>IF(DATOS_TEMPERATURA_MEDIA45[[#This Row],[Abril]]&gt;$DA$1,0,20-DATOS_TEMPERATURA_MEDIA45[[#This Row],[Abril]])*CR$1</f>
        <v>174.00000000000003</v>
      </c>
      <c r="CS17" s="88">
        <f>IF(DATOS_TEMPERATURA_MEDIA45[[#This Row],[Mayo]]&gt;$DA$1,0,20-DATOS_TEMPERATURA_MEDIA45[[#This Row],[Mayo]])*CS$1</f>
        <v>207.7</v>
      </c>
      <c r="CT17" s="88">
        <f>IF(DATOS_TEMPERATURA_MEDIA45[[#This Row],[Junio]]&gt;$DA$1,0,20-DATOS_TEMPERATURA_MEDIA45[[#This Row],[Junio]])*CT$1</f>
        <v>240</v>
      </c>
      <c r="CU17" s="88">
        <f>IF(DATOS_TEMPERATURA_MEDIA45[[#This Row],[Julio]]&gt;$DA$1,0,20-DATOS_TEMPERATURA_MEDIA45[[#This Row],[Julio]])*CU$1</f>
        <v>266.59999999999997</v>
      </c>
      <c r="CV17" s="88">
        <f>IF(DATOS_TEMPERATURA_MEDIA45[[#This Row],[Agosto]]&gt;$DA$1,0,20-DATOS_TEMPERATURA_MEDIA45[[#This Row],[Agosto]])*CV$1</f>
        <v>257.3</v>
      </c>
      <c r="CW17" s="88">
        <f>IF(DATOS_TEMPERATURA_MEDIA45[[#This Row],[Septiembre]]&gt;$DA$1,0,20-DATOS_TEMPERATURA_MEDIA45[[#This Row],[Septiembre]])*CW$1</f>
        <v>237</v>
      </c>
      <c r="CX17" s="88">
        <f>IF(DATOS_TEMPERATURA_MEDIA45[[#This Row],[Octubre]]&gt;$DA$1,0,20-DATOS_TEMPERATURA_MEDIA45[[#This Row],[Octubre]])*CX$1</f>
        <v>210.8</v>
      </c>
      <c r="CY17" s="88">
        <f>IF(DATOS_TEMPERATURA_MEDIA45[[#This Row],[Noviembre]]&gt;$DA$1,0,20-DATOS_TEMPERATURA_MEDIA45[[#This Row],[Noviembre]])*CY$1</f>
        <v>159.00000000000003</v>
      </c>
      <c r="CZ17" s="88">
        <f>IF(DATOS_TEMPERATURA_MEDIA45[[#This Row],[Diciembre]]&gt;$DA$1,0,20-DATOS_TEMPERATURA_MEDIA45[[#This Row],[Diciembre]])*CZ$1</f>
        <v>117.80000000000003</v>
      </c>
      <c r="DA17" s="88">
        <f>SUM(DATOS_TEMPERATURA_MEDIA45[[#This Row],[GDC 1]:[GDC 12]])</f>
        <v>2189.2000000000003</v>
      </c>
      <c r="DD17" t="s">
        <v>459</v>
      </c>
      <c r="DF17">
        <v>30</v>
      </c>
      <c r="DG17">
        <v>35</v>
      </c>
      <c r="DH17">
        <v>71</v>
      </c>
      <c r="DI17">
        <v>12</v>
      </c>
      <c r="DJ17">
        <f t="shared" si="0"/>
        <v>-30.583333333333332</v>
      </c>
      <c r="DK17">
        <f t="shared" si="1"/>
        <v>-71.2</v>
      </c>
      <c r="DL17">
        <v>200</v>
      </c>
    </row>
    <row r="18" spans="2:116" x14ac:dyDescent="0.45">
      <c r="G18" s="2" t="s">
        <v>264</v>
      </c>
      <c r="H18" t="s">
        <v>476</v>
      </c>
      <c r="I18" t="s">
        <v>100</v>
      </c>
      <c r="J18" t="s">
        <v>477</v>
      </c>
      <c r="U18">
        <v>16</v>
      </c>
      <c r="V18" s="49" t="s">
        <v>465</v>
      </c>
      <c r="W18" t="s">
        <v>581</v>
      </c>
      <c r="X18" s="88">
        <v>20.9</v>
      </c>
      <c r="Y18" s="88">
        <v>20</v>
      </c>
      <c r="Z18" s="88">
        <v>17.899999999999999</v>
      </c>
      <c r="AA18" s="88">
        <v>14.3</v>
      </c>
      <c r="AB18" s="88">
        <v>10.9</v>
      </c>
      <c r="AC18" s="88">
        <v>9.1</v>
      </c>
      <c r="AD18" s="88">
        <v>8.3000000000000007</v>
      </c>
      <c r="AE18" s="88">
        <v>9.8000000000000007</v>
      </c>
      <c r="AF18" s="88">
        <v>12.4</v>
      </c>
      <c r="AG18" s="88">
        <v>15.1</v>
      </c>
      <c r="AH18" s="88">
        <v>18</v>
      </c>
      <c r="AI18" s="88">
        <v>17.3</v>
      </c>
      <c r="AJ18" s="88">
        <v>14.5</v>
      </c>
      <c r="AK18" s="88">
        <v>-32.85</v>
      </c>
      <c r="AL18" s="88">
        <v>-70.61666666666666</v>
      </c>
      <c r="AM18" s="88">
        <v>880</v>
      </c>
      <c r="AN18" s="88">
        <f>MAX(DATOS_TEMPERATURA_MEDIA[[#This Row],[Enero]:[Diciembre]])-MIN(DATOS_TEMPERATURA_MEDIA[[#This Row],[Enero]:[Diciembre]])</f>
        <v>12.599999999999998</v>
      </c>
      <c r="AP18" s="7" t="s">
        <v>460</v>
      </c>
      <c r="AQ18" t="s">
        <v>479</v>
      </c>
      <c r="AX18" s="120">
        <v>4.7</v>
      </c>
      <c r="BD18">
        <f>Temperatura_interior_fija-DATOS_TEMPERATURA_MEDIA_MÍNIMA[[#This Row],[Julio]]</f>
        <v>14.3</v>
      </c>
      <c r="BG18" t="s">
        <v>1035</v>
      </c>
      <c r="BH18" s="47">
        <v>1.9</v>
      </c>
      <c r="BI18" s="47">
        <v>0.2</v>
      </c>
      <c r="BJ18" s="47">
        <v>10.199999999999999</v>
      </c>
      <c r="BK18" s="47">
        <v>34.700000000000003</v>
      </c>
      <c r="BL18" s="47">
        <v>125.1</v>
      </c>
      <c r="BM18" s="47">
        <v>187</v>
      </c>
      <c r="BN18" s="47">
        <v>183.2</v>
      </c>
      <c r="BO18" s="47">
        <v>116.3</v>
      </c>
      <c r="BP18" s="47">
        <v>61</v>
      </c>
      <c r="BQ18" s="47">
        <v>37.9</v>
      </c>
      <c r="BR18" s="47">
        <v>26.8</v>
      </c>
      <c r="BS18" s="47">
        <v>4.7</v>
      </c>
      <c r="BT18" s="47">
        <v>789</v>
      </c>
      <c r="BU18" s="47">
        <v>152.5</v>
      </c>
      <c r="BV18" s="88">
        <f>AVERAGE(Tabla32[[#This Row],[Mayo]:[Septiembre]])/30</f>
        <v>4.484</v>
      </c>
      <c r="CA18" s="49" t="s">
        <v>536</v>
      </c>
      <c r="CB18" s="88">
        <v>20.3</v>
      </c>
      <c r="CC18" s="88">
        <v>19.5</v>
      </c>
      <c r="CD18" s="88">
        <v>17.600000000000001</v>
      </c>
      <c r="CE18" s="88">
        <v>13.4</v>
      </c>
      <c r="CF18" s="88">
        <v>10.3</v>
      </c>
      <c r="CG18" s="88">
        <v>8.5</v>
      </c>
      <c r="CH18" s="88">
        <v>7.6</v>
      </c>
      <c r="CI18" s="88">
        <v>8.8000000000000007</v>
      </c>
      <c r="CJ18" s="88">
        <v>11.1</v>
      </c>
      <c r="CK18" s="88">
        <v>13.8</v>
      </c>
      <c r="CL18" s="88">
        <v>16.8</v>
      </c>
      <c r="CM18" s="88">
        <v>19.7</v>
      </c>
      <c r="CN18" s="88">
        <v>14</v>
      </c>
      <c r="CO18" s="88">
        <f>IF(DATOS_TEMPERATURA_MEDIA45[[#This Row],[Enero]]&gt;$DA$1,0,20-DATOS_TEMPERATURA_MEDIA45[[#This Row],[Enero]])*CO$1</f>
        <v>0</v>
      </c>
      <c r="CP18" s="88">
        <f>IF(DATOS_TEMPERATURA_MEDIA45[[#This Row],[Febrero]]&gt;$DA$1,0,20-DATOS_TEMPERATURA_MEDIA45[[#This Row],[Febrero]])*CP$1</f>
        <v>14</v>
      </c>
      <c r="CQ18" s="88">
        <f>IF(DATOS_TEMPERATURA_MEDIA45[[#This Row],[Marzo]]&gt;$DA$1,0,20-DATOS_TEMPERATURA_MEDIA45[[#This Row],[Marzo]])*CQ$1</f>
        <v>74.399999999999949</v>
      </c>
      <c r="CR18" s="88">
        <f>IF(DATOS_TEMPERATURA_MEDIA45[[#This Row],[Abril]]&gt;$DA$1,0,20-DATOS_TEMPERATURA_MEDIA45[[#This Row],[Abril]])*CR$1</f>
        <v>198</v>
      </c>
      <c r="CS18" s="88">
        <f>IF(DATOS_TEMPERATURA_MEDIA45[[#This Row],[Mayo]]&gt;$DA$1,0,20-DATOS_TEMPERATURA_MEDIA45[[#This Row],[Mayo]])*CS$1</f>
        <v>300.7</v>
      </c>
      <c r="CT18" s="88">
        <f>IF(DATOS_TEMPERATURA_MEDIA45[[#This Row],[Junio]]&gt;$DA$1,0,20-DATOS_TEMPERATURA_MEDIA45[[#This Row],[Junio]])*CT$1</f>
        <v>345</v>
      </c>
      <c r="CU18" s="88">
        <f>IF(DATOS_TEMPERATURA_MEDIA45[[#This Row],[Julio]]&gt;$DA$1,0,20-DATOS_TEMPERATURA_MEDIA45[[#This Row],[Julio]])*CU$1</f>
        <v>384.40000000000003</v>
      </c>
      <c r="CV18" s="88">
        <f>IF(DATOS_TEMPERATURA_MEDIA45[[#This Row],[Agosto]]&gt;$DA$1,0,20-DATOS_TEMPERATURA_MEDIA45[[#This Row],[Agosto]])*CV$1</f>
        <v>347.2</v>
      </c>
      <c r="CW18" s="88">
        <f>IF(DATOS_TEMPERATURA_MEDIA45[[#This Row],[Septiembre]]&gt;$DA$1,0,20-DATOS_TEMPERATURA_MEDIA45[[#This Row],[Septiembre]])*CW$1</f>
        <v>267</v>
      </c>
      <c r="CX18" s="88">
        <f>IF(DATOS_TEMPERATURA_MEDIA45[[#This Row],[Octubre]]&gt;$DA$1,0,20-DATOS_TEMPERATURA_MEDIA45[[#This Row],[Octubre]])*CX$1</f>
        <v>192.2</v>
      </c>
      <c r="CY18" s="88">
        <f>IF(DATOS_TEMPERATURA_MEDIA45[[#This Row],[Noviembre]]&gt;$DA$1,0,20-DATOS_TEMPERATURA_MEDIA45[[#This Row],[Noviembre]])*CY$1</f>
        <v>95.999999999999972</v>
      </c>
      <c r="CZ18" s="88">
        <f>IF(DATOS_TEMPERATURA_MEDIA45[[#This Row],[Diciembre]]&gt;$DA$1,0,20-DATOS_TEMPERATURA_MEDIA45[[#This Row],[Diciembre]])*CZ$1</f>
        <v>9.300000000000022</v>
      </c>
      <c r="DA18" s="88">
        <f>SUM(DATOS_TEMPERATURA_MEDIA45[[#This Row],[GDC 1]:[GDC 12]])</f>
        <v>2228.2000000000003</v>
      </c>
      <c r="DD18" t="s">
        <v>822</v>
      </c>
      <c r="DF18">
        <v>31</v>
      </c>
      <c r="DG18">
        <v>11</v>
      </c>
      <c r="DH18">
        <v>71</v>
      </c>
      <c r="DI18">
        <v>2</v>
      </c>
      <c r="DJ18">
        <f t="shared" si="0"/>
        <v>-31.183333333333334</v>
      </c>
      <c r="DK18">
        <f t="shared" si="1"/>
        <v>-71.033333333333331</v>
      </c>
      <c r="DL18">
        <v>904</v>
      </c>
    </row>
    <row r="19" spans="2:116" x14ac:dyDescent="0.45">
      <c r="G19" s="2" t="s">
        <v>262</v>
      </c>
      <c r="H19" s="3" t="s">
        <v>29</v>
      </c>
      <c r="I19" t="s">
        <v>385</v>
      </c>
      <c r="J19" t="s">
        <v>480</v>
      </c>
      <c r="U19">
        <v>17</v>
      </c>
      <c r="V19" s="49" t="s">
        <v>478</v>
      </c>
      <c r="W19" t="s">
        <v>581</v>
      </c>
      <c r="X19" s="88">
        <v>20.2</v>
      </c>
      <c r="Y19" s="88">
        <v>19.100000000000001</v>
      </c>
      <c r="Z19" s="88">
        <v>16.7</v>
      </c>
      <c r="AA19" s="88">
        <v>13.1</v>
      </c>
      <c r="AB19" s="88">
        <v>10</v>
      </c>
      <c r="AC19" s="88">
        <v>7.7</v>
      </c>
      <c r="AD19" s="88">
        <v>7.3</v>
      </c>
      <c r="AE19" s="88">
        <v>8.6</v>
      </c>
      <c r="AF19" s="88">
        <v>10.6</v>
      </c>
      <c r="AG19" s="88">
        <v>13.6</v>
      </c>
      <c r="AH19" s="88">
        <v>16.600000000000001</v>
      </c>
      <c r="AI19" s="88">
        <v>19.2</v>
      </c>
      <c r="AJ19" s="88">
        <v>13.6</v>
      </c>
      <c r="AK19" s="88"/>
      <c r="AL19" s="88"/>
      <c r="AM19" s="88"/>
      <c r="AN19" s="88">
        <f>MAX(DATOS_TEMPERATURA_MEDIA[[#This Row],[Enero]:[Diciembre]])-MIN(DATOS_TEMPERATURA_MEDIA[[#This Row],[Enero]:[Diciembre]])</f>
        <v>12.899999999999999</v>
      </c>
      <c r="AP19" s="118" t="s">
        <v>482</v>
      </c>
      <c r="AQ19" s="49" t="s">
        <v>483</v>
      </c>
      <c r="AX19" s="120">
        <v>4.7</v>
      </c>
      <c r="BD19">
        <f>Temperatura_interior_fija-DATOS_TEMPERATURA_MEDIA_MÍNIMA[[#This Row],[Julio]]</f>
        <v>14.3</v>
      </c>
      <c r="BG19" t="s">
        <v>1559</v>
      </c>
      <c r="BH19" s="47">
        <v>3.8</v>
      </c>
      <c r="BI19" s="47">
        <v>0.7</v>
      </c>
      <c r="BJ19" s="47">
        <v>15</v>
      </c>
      <c r="BK19" s="47">
        <v>32.200000000000003</v>
      </c>
      <c r="BL19" s="47">
        <v>109.8</v>
      </c>
      <c r="BM19" s="47">
        <v>148.6</v>
      </c>
      <c r="BN19" s="47">
        <v>166.1</v>
      </c>
      <c r="BO19" s="47">
        <v>98.3</v>
      </c>
      <c r="BP19" s="47">
        <v>56.6</v>
      </c>
      <c r="BQ19" s="47">
        <v>35.700000000000003</v>
      </c>
      <c r="BR19" s="47">
        <v>23.3</v>
      </c>
      <c r="BS19" s="47">
        <v>11.8</v>
      </c>
      <c r="BT19" s="47">
        <v>701.9</v>
      </c>
      <c r="BU19" s="47">
        <v>128.19999999999999</v>
      </c>
      <c r="BV19" s="88">
        <f>AVERAGE(Tabla32[[#This Row],[Mayo]:[Septiembre]])/30</f>
        <v>3.8626666666666667</v>
      </c>
      <c r="CA19" s="49" t="s">
        <v>478</v>
      </c>
      <c r="CB19" s="88">
        <v>20.2</v>
      </c>
      <c r="CC19" s="88">
        <v>19.100000000000001</v>
      </c>
      <c r="CD19" s="88">
        <v>16.7</v>
      </c>
      <c r="CE19" s="88">
        <v>13.1</v>
      </c>
      <c r="CF19" s="88">
        <v>10</v>
      </c>
      <c r="CG19" s="88">
        <v>7.7</v>
      </c>
      <c r="CH19" s="88">
        <v>7.3</v>
      </c>
      <c r="CI19" s="88">
        <v>8.6</v>
      </c>
      <c r="CJ19" s="88">
        <v>10.6</v>
      </c>
      <c r="CK19" s="88">
        <v>13.6</v>
      </c>
      <c r="CL19" s="88">
        <v>16.600000000000001</v>
      </c>
      <c r="CM19" s="88">
        <v>19.2</v>
      </c>
      <c r="CN19" s="88">
        <v>13.6</v>
      </c>
      <c r="CO19" s="88">
        <f>IF(DATOS_TEMPERATURA_MEDIA45[[#This Row],[Enero]]&gt;$DA$1,0,20-DATOS_TEMPERATURA_MEDIA45[[#This Row],[Enero]])*CO$1</f>
        <v>0</v>
      </c>
      <c r="CP19" s="88">
        <f>IF(DATOS_TEMPERATURA_MEDIA45[[#This Row],[Febrero]]&gt;$DA$1,0,20-DATOS_TEMPERATURA_MEDIA45[[#This Row],[Febrero]])*CP$1</f>
        <v>25.19999999999996</v>
      </c>
      <c r="CQ19" s="88">
        <f>IF(DATOS_TEMPERATURA_MEDIA45[[#This Row],[Marzo]]&gt;$DA$1,0,20-DATOS_TEMPERATURA_MEDIA45[[#This Row],[Marzo]])*CQ$1</f>
        <v>102.30000000000003</v>
      </c>
      <c r="CR19" s="88">
        <f>IF(DATOS_TEMPERATURA_MEDIA45[[#This Row],[Abril]]&gt;$DA$1,0,20-DATOS_TEMPERATURA_MEDIA45[[#This Row],[Abril]])*CR$1</f>
        <v>207</v>
      </c>
      <c r="CS19" s="88">
        <f>IF(DATOS_TEMPERATURA_MEDIA45[[#This Row],[Mayo]]&gt;$DA$1,0,20-DATOS_TEMPERATURA_MEDIA45[[#This Row],[Mayo]])*CS$1</f>
        <v>310</v>
      </c>
      <c r="CT19" s="88">
        <f>IF(DATOS_TEMPERATURA_MEDIA45[[#This Row],[Junio]]&gt;$DA$1,0,20-DATOS_TEMPERATURA_MEDIA45[[#This Row],[Junio]])*CT$1</f>
        <v>369</v>
      </c>
      <c r="CU19" s="88">
        <f>IF(DATOS_TEMPERATURA_MEDIA45[[#This Row],[Julio]]&gt;$DA$1,0,20-DATOS_TEMPERATURA_MEDIA45[[#This Row],[Julio]])*CU$1</f>
        <v>393.7</v>
      </c>
      <c r="CV19" s="88">
        <f>IF(DATOS_TEMPERATURA_MEDIA45[[#This Row],[Agosto]]&gt;$DA$1,0,20-DATOS_TEMPERATURA_MEDIA45[[#This Row],[Agosto]])*CV$1</f>
        <v>353.40000000000003</v>
      </c>
      <c r="CW19" s="88">
        <f>IF(DATOS_TEMPERATURA_MEDIA45[[#This Row],[Septiembre]]&gt;$DA$1,0,20-DATOS_TEMPERATURA_MEDIA45[[#This Row],[Septiembre]])*CW$1</f>
        <v>282</v>
      </c>
      <c r="CX19" s="88">
        <f>IF(DATOS_TEMPERATURA_MEDIA45[[#This Row],[Octubre]]&gt;$DA$1,0,20-DATOS_TEMPERATURA_MEDIA45[[#This Row],[Octubre]])*CX$1</f>
        <v>198.4</v>
      </c>
      <c r="CY19" s="88">
        <f>IF(DATOS_TEMPERATURA_MEDIA45[[#This Row],[Noviembre]]&gt;$DA$1,0,20-DATOS_TEMPERATURA_MEDIA45[[#This Row],[Noviembre]])*CY$1</f>
        <v>101.99999999999996</v>
      </c>
      <c r="CZ19" s="88">
        <f>IF(DATOS_TEMPERATURA_MEDIA45[[#This Row],[Diciembre]]&gt;$DA$1,0,20-DATOS_TEMPERATURA_MEDIA45[[#This Row],[Diciembre]])*CZ$1</f>
        <v>24.800000000000022</v>
      </c>
      <c r="DA19" s="88">
        <f>SUM(DATOS_TEMPERATURA_MEDIA45[[#This Row],[GDC 1]:[GDC 12]])</f>
        <v>2367.8000000000002</v>
      </c>
      <c r="DD19" t="s">
        <v>805</v>
      </c>
      <c r="DF19">
        <v>31</v>
      </c>
      <c r="DG19">
        <v>38</v>
      </c>
      <c r="DH19">
        <v>71</v>
      </c>
      <c r="DI19">
        <v>10</v>
      </c>
      <c r="DJ19">
        <f t="shared" si="0"/>
        <v>-31.633333333333333</v>
      </c>
      <c r="DK19">
        <f t="shared" si="1"/>
        <v>-71.166666666666671</v>
      </c>
      <c r="DL19">
        <v>350</v>
      </c>
    </row>
    <row r="20" spans="2:116" x14ac:dyDescent="0.45">
      <c r="B20" t="s">
        <v>484</v>
      </c>
      <c r="G20" s="2" t="s">
        <v>269</v>
      </c>
      <c r="H20" t="s">
        <v>13</v>
      </c>
      <c r="I20" t="s">
        <v>391</v>
      </c>
      <c r="J20" t="s">
        <v>485</v>
      </c>
      <c r="U20">
        <v>18</v>
      </c>
      <c r="V20" s="49" t="s">
        <v>481</v>
      </c>
      <c r="W20" t="s">
        <v>581</v>
      </c>
      <c r="X20" s="88">
        <v>20.9</v>
      </c>
      <c r="Y20" s="88">
        <v>19.899999999999999</v>
      </c>
      <c r="Z20" s="88">
        <v>17.600000000000001</v>
      </c>
      <c r="AA20" s="88">
        <v>14.2</v>
      </c>
      <c r="AB20" s="88">
        <v>11.1</v>
      </c>
      <c r="AC20" s="88">
        <v>8.5</v>
      </c>
      <c r="AD20" s="88">
        <v>8.1</v>
      </c>
      <c r="AE20" s="88">
        <v>9.5</v>
      </c>
      <c r="AF20" s="88">
        <v>11.5</v>
      </c>
      <c r="AG20" s="88">
        <v>14.5</v>
      </c>
      <c r="AH20" s="88">
        <v>17.3</v>
      </c>
      <c r="AI20" s="88">
        <v>19.899999999999999</v>
      </c>
      <c r="AJ20" s="88">
        <v>14.4</v>
      </c>
      <c r="AK20" s="88">
        <v>-33.450000000000003</v>
      </c>
      <c r="AL20" s="88">
        <v>-70.7</v>
      </c>
      <c r="AM20" s="88">
        <v>520</v>
      </c>
      <c r="AN20" s="88">
        <f>MAX(DATOS_TEMPERATURA_MEDIA[[#This Row],[Enero]:[Diciembre]])-MIN(DATOS_TEMPERATURA_MEDIA[[#This Row],[Enero]:[Diciembre]])</f>
        <v>12.799999999999999</v>
      </c>
      <c r="AP20" s="119" t="s">
        <v>487</v>
      </c>
      <c r="AQ20" t="s">
        <v>488</v>
      </c>
      <c r="AX20" s="120">
        <v>4.7</v>
      </c>
      <c r="BD20">
        <f>Temperatura_interior_fija-DATOS_TEMPERATURA_MEDIA_MÍNIMA[[#This Row],[Julio]]</f>
        <v>14.3</v>
      </c>
      <c r="BG20" t="s">
        <v>1560</v>
      </c>
      <c r="BH20" s="47">
        <v>6.4</v>
      </c>
      <c r="BI20" s="47">
        <v>2.6</v>
      </c>
      <c r="BJ20" s="47">
        <v>17.3</v>
      </c>
      <c r="BK20" s="47">
        <v>66.5</v>
      </c>
      <c r="BL20" s="47">
        <v>188.6</v>
      </c>
      <c r="BM20" s="47">
        <v>273.10000000000002</v>
      </c>
      <c r="BN20" s="47">
        <v>280.39999999999998</v>
      </c>
      <c r="BO20" s="47">
        <v>209.1</v>
      </c>
      <c r="BP20" s="47">
        <v>108.3</v>
      </c>
      <c r="BQ20" s="47">
        <v>79.2</v>
      </c>
      <c r="BR20" s="47">
        <v>42.3</v>
      </c>
      <c r="BS20" s="47">
        <v>28.2</v>
      </c>
      <c r="BT20" s="47">
        <v>1302</v>
      </c>
      <c r="BU20" s="47">
        <v>165.5</v>
      </c>
      <c r="BV20" s="88">
        <f>AVERAGE(Tabla32[[#This Row],[Mayo]:[Septiembre]])/30</f>
        <v>7.0633333333333335</v>
      </c>
      <c r="CA20" t="s">
        <v>454</v>
      </c>
      <c r="CB20" s="88">
        <v>17.100000000000001</v>
      </c>
      <c r="CC20" s="88">
        <v>16.899999999999999</v>
      </c>
      <c r="CD20" s="88">
        <v>15.6</v>
      </c>
      <c r="CE20" s="88">
        <v>13.7</v>
      </c>
      <c r="CF20" s="88">
        <v>12.3</v>
      </c>
      <c r="CG20" s="88">
        <v>10.9</v>
      </c>
      <c r="CH20" s="88">
        <v>10.7</v>
      </c>
      <c r="CI20" s="88">
        <v>10.9</v>
      </c>
      <c r="CJ20" s="88">
        <v>11.6</v>
      </c>
      <c r="CK20" s="88">
        <v>12.9</v>
      </c>
      <c r="CL20" s="88">
        <v>14.3</v>
      </c>
      <c r="CM20" s="88">
        <v>16.100000000000001</v>
      </c>
      <c r="CN20" s="88">
        <v>13.6</v>
      </c>
      <c r="CO20" s="88">
        <f>IF(DATOS_TEMPERATURA_MEDIA45[[#This Row],[Enero]]&gt;$DA$1,0,20-DATOS_TEMPERATURA_MEDIA45[[#This Row],[Enero]])*CO$1</f>
        <v>89.899999999999949</v>
      </c>
      <c r="CP20" s="88">
        <f>IF(DATOS_TEMPERATURA_MEDIA45[[#This Row],[Febrero]]&gt;$DA$1,0,20-DATOS_TEMPERATURA_MEDIA45[[#This Row],[Febrero]])*CP$1</f>
        <v>86.80000000000004</v>
      </c>
      <c r="CQ20" s="88">
        <f>IF(DATOS_TEMPERATURA_MEDIA45[[#This Row],[Marzo]]&gt;$DA$1,0,20-DATOS_TEMPERATURA_MEDIA45[[#This Row],[Marzo]])*CQ$1</f>
        <v>136.4</v>
      </c>
      <c r="CR20" s="88">
        <f>IF(DATOS_TEMPERATURA_MEDIA45[[#This Row],[Abril]]&gt;$DA$1,0,20-DATOS_TEMPERATURA_MEDIA45[[#This Row],[Abril]])*CR$1</f>
        <v>189.00000000000003</v>
      </c>
      <c r="CS20" s="88">
        <f>IF(DATOS_TEMPERATURA_MEDIA45[[#This Row],[Mayo]]&gt;$DA$1,0,20-DATOS_TEMPERATURA_MEDIA45[[#This Row],[Mayo]])*CS$1</f>
        <v>238.7</v>
      </c>
      <c r="CT20" s="88">
        <f>IF(DATOS_TEMPERATURA_MEDIA45[[#This Row],[Junio]]&gt;$DA$1,0,20-DATOS_TEMPERATURA_MEDIA45[[#This Row],[Junio]])*CT$1</f>
        <v>273</v>
      </c>
      <c r="CU20" s="88">
        <f>IF(DATOS_TEMPERATURA_MEDIA45[[#This Row],[Julio]]&gt;$DA$1,0,20-DATOS_TEMPERATURA_MEDIA45[[#This Row],[Julio]])*CU$1</f>
        <v>288.3</v>
      </c>
      <c r="CV20" s="88">
        <f>IF(DATOS_TEMPERATURA_MEDIA45[[#This Row],[Agosto]]&gt;$DA$1,0,20-DATOS_TEMPERATURA_MEDIA45[[#This Row],[Agosto]])*CV$1</f>
        <v>282.09999999999997</v>
      </c>
      <c r="CW20" s="88">
        <f>IF(DATOS_TEMPERATURA_MEDIA45[[#This Row],[Septiembre]]&gt;$DA$1,0,20-DATOS_TEMPERATURA_MEDIA45[[#This Row],[Septiembre]])*CW$1</f>
        <v>252</v>
      </c>
      <c r="CX20" s="88">
        <f>IF(DATOS_TEMPERATURA_MEDIA45[[#This Row],[Octubre]]&gt;$DA$1,0,20-DATOS_TEMPERATURA_MEDIA45[[#This Row],[Octubre]])*CX$1</f>
        <v>220.1</v>
      </c>
      <c r="CY20" s="88">
        <f>IF(DATOS_TEMPERATURA_MEDIA45[[#This Row],[Noviembre]]&gt;$DA$1,0,20-DATOS_TEMPERATURA_MEDIA45[[#This Row],[Noviembre]])*CY$1</f>
        <v>170.99999999999997</v>
      </c>
      <c r="CZ20" s="88">
        <f>IF(DATOS_TEMPERATURA_MEDIA45[[#This Row],[Diciembre]]&gt;$DA$1,0,20-DATOS_TEMPERATURA_MEDIA45[[#This Row],[Diciembre]])*CZ$1</f>
        <v>120.89999999999995</v>
      </c>
      <c r="DA20" s="88">
        <f>SUM(DATOS_TEMPERATURA_MEDIA45[[#This Row],[GDC 1]:[GDC 12]])</f>
        <v>2348.1999999999998</v>
      </c>
      <c r="DD20" t="s">
        <v>807</v>
      </c>
      <c r="DF20">
        <v>31</v>
      </c>
      <c r="DG20">
        <v>54</v>
      </c>
      <c r="DH20">
        <v>71</v>
      </c>
      <c r="DI20">
        <v>30</v>
      </c>
      <c r="DJ20">
        <f t="shared" si="0"/>
        <v>-31.9</v>
      </c>
      <c r="DK20">
        <f t="shared" si="1"/>
        <v>-71.5</v>
      </c>
      <c r="DL20">
        <v>20</v>
      </c>
    </row>
    <row r="21" spans="2:116" x14ac:dyDescent="0.45">
      <c r="B21" t="s">
        <v>489</v>
      </c>
      <c r="C21" t="s">
        <v>490</v>
      </c>
      <c r="D21" t="s">
        <v>491</v>
      </c>
      <c r="E21" t="s">
        <v>492</v>
      </c>
      <c r="G21" s="2" t="s">
        <v>268</v>
      </c>
      <c r="H21" t="s">
        <v>30</v>
      </c>
      <c r="I21" t="s">
        <v>493</v>
      </c>
      <c r="J21" t="s">
        <v>494</v>
      </c>
      <c r="U21">
        <v>19</v>
      </c>
      <c r="V21" s="49" t="s">
        <v>486</v>
      </c>
      <c r="W21" t="s">
        <v>581</v>
      </c>
      <c r="X21" s="88">
        <v>20.5</v>
      </c>
      <c r="Y21" s="88">
        <v>19.600000000000001</v>
      </c>
      <c r="Z21" s="88">
        <v>17.399999999999999</v>
      </c>
      <c r="AA21" s="88">
        <v>14.2</v>
      </c>
      <c r="AB21" s="88">
        <v>11.1</v>
      </c>
      <c r="AC21" s="88">
        <v>8.5</v>
      </c>
      <c r="AD21" s="88">
        <v>8.1999999999999993</v>
      </c>
      <c r="AE21" s="88">
        <v>9.4</v>
      </c>
      <c r="AF21" s="88">
        <v>11.3</v>
      </c>
      <c r="AG21" s="88">
        <v>14.1</v>
      </c>
      <c r="AH21" s="88">
        <v>17</v>
      </c>
      <c r="AI21" s="88">
        <v>19.399999999999999</v>
      </c>
      <c r="AJ21" s="88">
        <v>14.2</v>
      </c>
      <c r="AK21" s="88"/>
      <c r="AL21" s="88"/>
      <c r="AM21" s="88"/>
      <c r="AN21" s="88">
        <f>MAX(DATOS_TEMPERATURA_MEDIA[[#This Row],[Enero]:[Diciembre]])-MIN(DATOS_TEMPERATURA_MEDIA[[#This Row],[Enero]:[Diciembre]])</f>
        <v>12.3</v>
      </c>
      <c r="AP21" s="7" t="s">
        <v>463</v>
      </c>
      <c r="AQ21" t="s">
        <v>496</v>
      </c>
      <c r="AX21" s="120">
        <v>4.7</v>
      </c>
      <c r="BD21">
        <f>Temperatura_interior_fija-DATOS_TEMPERATURA_MEDIA_MÍNIMA[[#This Row],[Julio]]</f>
        <v>14.3</v>
      </c>
      <c r="BG21" t="s">
        <v>1561</v>
      </c>
      <c r="BH21" s="47">
        <v>2.7</v>
      </c>
      <c r="BI21" s="47">
        <v>2.8</v>
      </c>
      <c r="BJ21" s="47">
        <v>13.2</v>
      </c>
      <c r="BK21" s="47">
        <v>39.1</v>
      </c>
      <c r="BL21" s="47">
        <v>121.7</v>
      </c>
      <c r="BM21" s="47">
        <v>162.9</v>
      </c>
      <c r="BN21" s="47">
        <v>174.2</v>
      </c>
      <c r="BO21" s="47">
        <v>99.7</v>
      </c>
      <c r="BP21" s="47">
        <v>55.8</v>
      </c>
      <c r="BQ21" s="47">
        <v>27.1</v>
      </c>
      <c r="BR21" s="47">
        <v>15.5</v>
      </c>
      <c r="BS21" s="47">
        <v>7.4</v>
      </c>
      <c r="BT21" s="47">
        <v>722.1</v>
      </c>
      <c r="BU21" s="47">
        <v>147.5</v>
      </c>
      <c r="BV21" s="88">
        <f>AVERAGE(Tabla32[[#This Row],[Mayo]:[Septiembre]])/30</f>
        <v>4.0953333333333326</v>
      </c>
      <c r="CA21" s="49" t="s">
        <v>505</v>
      </c>
      <c r="CB21" s="88">
        <v>19.899999999999999</v>
      </c>
      <c r="CC21" s="88">
        <v>18.8</v>
      </c>
      <c r="CD21" s="88">
        <v>16.5</v>
      </c>
      <c r="CE21" s="88">
        <v>12.8</v>
      </c>
      <c r="CF21" s="88">
        <v>9.8000000000000007</v>
      </c>
      <c r="CG21" s="88">
        <v>8.3000000000000007</v>
      </c>
      <c r="CH21" s="88">
        <v>7.1</v>
      </c>
      <c r="CI21" s="88">
        <v>8.6</v>
      </c>
      <c r="CJ21" s="88">
        <v>10.9</v>
      </c>
      <c r="CK21" s="88">
        <v>13.6</v>
      </c>
      <c r="CL21" s="88">
        <v>16.7</v>
      </c>
      <c r="CM21" s="88">
        <v>18.899999999999999</v>
      </c>
      <c r="CN21" s="88">
        <v>13.5</v>
      </c>
      <c r="CO21" s="88">
        <f>IF(DATOS_TEMPERATURA_MEDIA45[[#This Row],[Enero]]&gt;$DA$1,0,20-DATOS_TEMPERATURA_MEDIA45[[#This Row],[Enero]])*CO$1</f>
        <v>3.1000000000000441</v>
      </c>
      <c r="CP21" s="88">
        <f>IF(DATOS_TEMPERATURA_MEDIA45[[#This Row],[Febrero]]&gt;$DA$1,0,20-DATOS_TEMPERATURA_MEDIA45[[#This Row],[Febrero]])*CP$1</f>
        <v>33.59999999999998</v>
      </c>
      <c r="CQ21" s="88">
        <f>IF(DATOS_TEMPERATURA_MEDIA45[[#This Row],[Marzo]]&gt;$DA$1,0,20-DATOS_TEMPERATURA_MEDIA45[[#This Row],[Marzo]])*CQ$1</f>
        <v>108.5</v>
      </c>
      <c r="CR21" s="88">
        <f>IF(DATOS_TEMPERATURA_MEDIA45[[#This Row],[Abril]]&gt;$DA$1,0,20-DATOS_TEMPERATURA_MEDIA45[[#This Row],[Abril]])*CR$1</f>
        <v>215.99999999999997</v>
      </c>
      <c r="CS21" s="88">
        <f>IF(DATOS_TEMPERATURA_MEDIA45[[#This Row],[Mayo]]&gt;$DA$1,0,20-DATOS_TEMPERATURA_MEDIA45[[#This Row],[Mayo]])*CS$1</f>
        <v>316.2</v>
      </c>
      <c r="CT21" s="88">
        <f>IF(DATOS_TEMPERATURA_MEDIA45[[#This Row],[Junio]]&gt;$DA$1,0,20-DATOS_TEMPERATURA_MEDIA45[[#This Row],[Junio]])*CT$1</f>
        <v>351</v>
      </c>
      <c r="CU21" s="88">
        <f>IF(DATOS_TEMPERATURA_MEDIA45[[#This Row],[Julio]]&gt;$DA$1,0,20-DATOS_TEMPERATURA_MEDIA45[[#This Row],[Julio]])*CU$1</f>
        <v>399.90000000000003</v>
      </c>
      <c r="CV21" s="88">
        <f>IF(DATOS_TEMPERATURA_MEDIA45[[#This Row],[Agosto]]&gt;$DA$1,0,20-DATOS_TEMPERATURA_MEDIA45[[#This Row],[Agosto]])*CV$1</f>
        <v>353.40000000000003</v>
      </c>
      <c r="CW21" s="88">
        <f>IF(DATOS_TEMPERATURA_MEDIA45[[#This Row],[Septiembre]]&gt;$DA$1,0,20-DATOS_TEMPERATURA_MEDIA45[[#This Row],[Septiembre]])*CW$1</f>
        <v>273</v>
      </c>
      <c r="CX21" s="88">
        <f>IF(DATOS_TEMPERATURA_MEDIA45[[#This Row],[Octubre]]&gt;$DA$1,0,20-DATOS_TEMPERATURA_MEDIA45[[#This Row],[Octubre]])*CX$1</f>
        <v>198.4</v>
      </c>
      <c r="CY21" s="88">
        <f>IF(DATOS_TEMPERATURA_MEDIA45[[#This Row],[Noviembre]]&gt;$DA$1,0,20-DATOS_TEMPERATURA_MEDIA45[[#This Row],[Noviembre]])*CY$1</f>
        <v>99.000000000000028</v>
      </c>
      <c r="CZ21" s="88">
        <f>IF(DATOS_TEMPERATURA_MEDIA45[[#This Row],[Diciembre]]&gt;$DA$1,0,20-DATOS_TEMPERATURA_MEDIA45[[#This Row],[Diciembre]])*CZ$1</f>
        <v>34.100000000000044</v>
      </c>
      <c r="DA21" s="88">
        <f>SUM(DATOS_TEMPERATURA_MEDIA45[[#This Row],[GDC 1]:[GDC 12]])</f>
        <v>2386.2000000000003</v>
      </c>
      <c r="DD21" t="s">
        <v>472</v>
      </c>
      <c r="DF21">
        <v>32</v>
      </c>
      <c r="DG21">
        <v>47</v>
      </c>
      <c r="DH21">
        <v>71</v>
      </c>
      <c r="DI21">
        <v>32</v>
      </c>
      <c r="DJ21">
        <f t="shared" si="0"/>
        <v>-32.783333333333331</v>
      </c>
      <c r="DK21">
        <f t="shared" si="1"/>
        <v>-71.533333333333331</v>
      </c>
      <c r="DL21">
        <v>8</v>
      </c>
    </row>
    <row r="22" spans="2:116" x14ac:dyDescent="0.45">
      <c r="B22">
        <v>1</v>
      </c>
      <c r="C22" t="s">
        <v>497</v>
      </c>
      <c r="D22" t="s">
        <v>498</v>
      </c>
      <c r="E22">
        <v>0</v>
      </c>
      <c r="G22" s="2" t="s">
        <v>499</v>
      </c>
      <c r="H22" t="s">
        <v>500</v>
      </c>
      <c r="I22" t="s">
        <v>501</v>
      </c>
      <c r="J22" t="s">
        <v>502</v>
      </c>
      <c r="L22" t="s">
        <v>503</v>
      </c>
      <c r="N22" t="s">
        <v>504</v>
      </c>
      <c r="U22">
        <v>20</v>
      </c>
      <c r="V22" s="49" t="s">
        <v>505</v>
      </c>
      <c r="W22" t="s">
        <v>581</v>
      </c>
      <c r="X22" s="88">
        <v>19.899999999999999</v>
      </c>
      <c r="Y22" s="88">
        <v>18.8</v>
      </c>
      <c r="Z22" s="88">
        <v>16.5</v>
      </c>
      <c r="AA22" s="88">
        <v>12.8</v>
      </c>
      <c r="AB22" s="88">
        <v>9.8000000000000007</v>
      </c>
      <c r="AC22" s="88">
        <v>8.3000000000000007</v>
      </c>
      <c r="AD22" s="88">
        <v>7.1</v>
      </c>
      <c r="AE22" s="88">
        <v>8.6</v>
      </c>
      <c r="AF22" s="88">
        <v>10.9</v>
      </c>
      <c r="AG22" s="88">
        <v>13.6</v>
      </c>
      <c r="AH22" s="88">
        <v>16.7</v>
      </c>
      <c r="AI22" s="88">
        <v>18.899999999999999</v>
      </c>
      <c r="AJ22" s="88">
        <v>13.5</v>
      </c>
      <c r="AK22" s="88">
        <v>-34.06666666666667</v>
      </c>
      <c r="AL22" s="88">
        <v>-70.733333333333334</v>
      </c>
      <c r="AM22" s="88">
        <v>475</v>
      </c>
      <c r="AN22" s="88">
        <f>MAX(DATOS_TEMPERATURA_MEDIA[[#This Row],[Enero]:[Diciembre]])-MIN(DATOS_TEMPERATURA_MEDIA[[#This Row],[Enero]:[Diciembre]])</f>
        <v>12.799999999999999</v>
      </c>
      <c r="AP22" s="7" t="s">
        <v>467</v>
      </c>
      <c r="AQ22" t="s">
        <v>506</v>
      </c>
      <c r="AX22" s="120">
        <v>4.7</v>
      </c>
      <c r="BD22">
        <f>Temperatura_interior_fija-DATOS_TEMPERATURA_MEDIA_MÍNIMA[[#This Row],[Julio]]</f>
        <v>14.3</v>
      </c>
      <c r="BG22" t="s">
        <v>1562</v>
      </c>
      <c r="BH22" s="47">
        <v>6.2</v>
      </c>
      <c r="BI22" s="47">
        <v>5.2</v>
      </c>
      <c r="BJ22" s="47">
        <v>16.2</v>
      </c>
      <c r="BK22" s="47">
        <v>45.7</v>
      </c>
      <c r="BL22" s="47">
        <v>139.69999999999999</v>
      </c>
      <c r="BM22" s="47">
        <v>180.4</v>
      </c>
      <c r="BN22" s="47">
        <v>192.1</v>
      </c>
      <c r="BO22" s="47">
        <v>101.4</v>
      </c>
      <c r="BP22" s="47">
        <v>68.900000000000006</v>
      </c>
      <c r="BQ22" s="47">
        <v>38.700000000000003</v>
      </c>
      <c r="BR22" s="47">
        <v>21.4</v>
      </c>
      <c r="BS22" s="47">
        <v>14</v>
      </c>
      <c r="BT22" s="47">
        <v>829.9</v>
      </c>
      <c r="BU22" s="47">
        <v>131</v>
      </c>
      <c r="BV22" s="88">
        <f>AVERAGE(Tabla32[[#This Row],[Mayo]:[Septiembre]])/30</f>
        <v>4.55</v>
      </c>
      <c r="CA22" s="49" t="s">
        <v>544</v>
      </c>
      <c r="CB22" s="88">
        <v>19.600000000000001</v>
      </c>
      <c r="CC22" s="88">
        <v>18.2</v>
      </c>
      <c r="CD22" s="88">
        <v>16.100000000000001</v>
      </c>
      <c r="CE22" s="88">
        <v>12.5</v>
      </c>
      <c r="CF22" s="88">
        <v>9.8000000000000007</v>
      </c>
      <c r="CG22" s="88">
        <v>8.6</v>
      </c>
      <c r="CH22" s="88">
        <v>6.4</v>
      </c>
      <c r="CI22" s="88">
        <v>8.5</v>
      </c>
      <c r="CJ22" s="88">
        <v>10.7</v>
      </c>
      <c r="CK22" s="88">
        <v>13.4</v>
      </c>
      <c r="CL22" s="88">
        <v>16.2</v>
      </c>
      <c r="CM22" s="88">
        <v>18.899999999999999</v>
      </c>
      <c r="CN22" s="88">
        <v>13.2</v>
      </c>
      <c r="CO22" s="88">
        <f>IF(DATOS_TEMPERATURA_MEDIA45[[#This Row],[Enero]]&gt;$DA$1,0,20-DATOS_TEMPERATURA_MEDIA45[[#This Row],[Enero]])*CO$1</f>
        <v>12.399999999999956</v>
      </c>
      <c r="CP22" s="88">
        <f>IF(DATOS_TEMPERATURA_MEDIA45[[#This Row],[Febrero]]&gt;$DA$1,0,20-DATOS_TEMPERATURA_MEDIA45[[#This Row],[Febrero]])*CP$1</f>
        <v>50.40000000000002</v>
      </c>
      <c r="CQ22" s="88">
        <f>IF(DATOS_TEMPERATURA_MEDIA45[[#This Row],[Marzo]]&gt;$DA$1,0,20-DATOS_TEMPERATURA_MEDIA45[[#This Row],[Marzo]])*CQ$1</f>
        <v>120.89999999999995</v>
      </c>
      <c r="CR22" s="88">
        <f>IF(DATOS_TEMPERATURA_MEDIA45[[#This Row],[Abril]]&gt;$DA$1,0,20-DATOS_TEMPERATURA_MEDIA45[[#This Row],[Abril]])*CR$1</f>
        <v>225</v>
      </c>
      <c r="CS22" s="88">
        <f>IF(DATOS_TEMPERATURA_MEDIA45[[#This Row],[Mayo]]&gt;$DA$1,0,20-DATOS_TEMPERATURA_MEDIA45[[#This Row],[Mayo]])*CS$1</f>
        <v>316.2</v>
      </c>
      <c r="CT22" s="88">
        <f>IF(DATOS_TEMPERATURA_MEDIA45[[#This Row],[Junio]]&gt;$DA$1,0,20-DATOS_TEMPERATURA_MEDIA45[[#This Row],[Junio]])*CT$1</f>
        <v>342</v>
      </c>
      <c r="CU22" s="88">
        <f>IF(DATOS_TEMPERATURA_MEDIA45[[#This Row],[Julio]]&gt;$DA$1,0,20-DATOS_TEMPERATURA_MEDIA45[[#This Row],[Julio]])*CU$1</f>
        <v>421.59999999999997</v>
      </c>
      <c r="CV22" s="88">
        <f>IF(DATOS_TEMPERATURA_MEDIA45[[#This Row],[Agosto]]&gt;$DA$1,0,20-DATOS_TEMPERATURA_MEDIA45[[#This Row],[Agosto]])*CV$1</f>
        <v>356.5</v>
      </c>
      <c r="CW22" s="88">
        <f>IF(DATOS_TEMPERATURA_MEDIA45[[#This Row],[Septiembre]]&gt;$DA$1,0,20-DATOS_TEMPERATURA_MEDIA45[[#This Row],[Septiembre]])*CW$1</f>
        <v>279</v>
      </c>
      <c r="CX22" s="88">
        <f>IF(DATOS_TEMPERATURA_MEDIA45[[#This Row],[Octubre]]&gt;$DA$1,0,20-DATOS_TEMPERATURA_MEDIA45[[#This Row],[Octubre]])*CX$1</f>
        <v>204.6</v>
      </c>
      <c r="CY22" s="88">
        <f>IF(DATOS_TEMPERATURA_MEDIA45[[#This Row],[Noviembre]]&gt;$DA$1,0,20-DATOS_TEMPERATURA_MEDIA45[[#This Row],[Noviembre]])*CY$1</f>
        <v>114.00000000000003</v>
      </c>
      <c r="CZ22" s="88">
        <f>IF(DATOS_TEMPERATURA_MEDIA45[[#This Row],[Diciembre]]&gt;$DA$1,0,20-DATOS_TEMPERATURA_MEDIA45[[#This Row],[Diciembre]])*CZ$1</f>
        <v>34.100000000000044</v>
      </c>
      <c r="DA22" s="88">
        <f>SUM(DATOS_TEMPERATURA_MEDIA45[[#This Row],[GDC 1]:[GDC 12]])</f>
        <v>2476.6999999999998</v>
      </c>
      <c r="DD22" t="s">
        <v>462</v>
      </c>
      <c r="DF22">
        <v>32</v>
      </c>
      <c r="DG22">
        <v>46</v>
      </c>
      <c r="DH22">
        <v>70</v>
      </c>
      <c r="DI22">
        <v>43</v>
      </c>
      <c r="DJ22">
        <f t="shared" si="0"/>
        <v>-32.766666666666666</v>
      </c>
      <c r="DK22">
        <f t="shared" si="1"/>
        <v>-70.716666666666669</v>
      </c>
      <c r="DL22">
        <v>650</v>
      </c>
    </row>
    <row r="23" spans="2:116" x14ac:dyDescent="0.45">
      <c r="B23">
        <v>2</v>
      </c>
      <c r="C23" t="s">
        <v>507</v>
      </c>
      <c r="D23" t="s">
        <v>508</v>
      </c>
      <c r="E23">
        <v>0.01</v>
      </c>
      <c r="G23" s="2" t="s">
        <v>509</v>
      </c>
      <c r="H23" t="s">
        <v>510</v>
      </c>
      <c r="I23" t="s">
        <v>511</v>
      </c>
      <c r="J23" t="s">
        <v>512</v>
      </c>
      <c r="L23" t="s">
        <v>513</v>
      </c>
      <c r="N23" t="s">
        <v>514</v>
      </c>
      <c r="Q23" s="406" t="s">
        <v>1825</v>
      </c>
      <c r="R23" s="406" t="s">
        <v>1825</v>
      </c>
      <c r="S23" s="406" t="s">
        <v>1826</v>
      </c>
      <c r="T23" s="406" t="s">
        <v>1826</v>
      </c>
      <c r="U23">
        <v>21</v>
      </c>
      <c r="V23" s="49" t="s">
        <v>524</v>
      </c>
      <c r="W23" t="s">
        <v>581</v>
      </c>
      <c r="X23" s="88">
        <v>18.899999999999999</v>
      </c>
      <c r="Y23" s="88">
        <v>18.100000000000001</v>
      </c>
      <c r="Z23" s="88">
        <v>15.9</v>
      </c>
      <c r="AA23" s="88">
        <v>12.4</v>
      </c>
      <c r="AB23" s="88">
        <v>10</v>
      </c>
      <c r="AC23" s="88">
        <v>7.5</v>
      </c>
      <c r="AD23" s="88">
        <v>7.3</v>
      </c>
      <c r="AE23" s="88">
        <v>7.8</v>
      </c>
      <c r="AF23" s="88">
        <v>9.3000000000000007</v>
      </c>
      <c r="AG23" s="88">
        <v>12.2</v>
      </c>
      <c r="AH23" s="88">
        <v>15</v>
      </c>
      <c r="AI23" s="88">
        <v>17.5</v>
      </c>
      <c r="AJ23" s="88">
        <v>12.7</v>
      </c>
      <c r="AK23" s="88"/>
      <c r="AL23" s="88"/>
      <c r="AM23" s="88"/>
      <c r="AN23" s="88">
        <f>MAX(DATOS_TEMPERATURA_MEDIA[[#This Row],[Enero]:[Diciembre]])-MIN(DATOS_TEMPERATURA_MEDIA[[#This Row],[Enero]:[Diciembre]])</f>
        <v>11.599999999999998</v>
      </c>
      <c r="AP23" s="7" t="s">
        <v>471</v>
      </c>
      <c r="AQ23" t="s">
        <v>516</v>
      </c>
      <c r="AX23" s="120">
        <v>4.7</v>
      </c>
      <c r="BD23">
        <f>Temperatura_interior_fija-DATOS_TEMPERATURA_MEDIA_MÍNIMA[[#This Row],[Julio]]</f>
        <v>14.3</v>
      </c>
      <c r="BG23" t="s">
        <v>1563</v>
      </c>
      <c r="BH23" s="47">
        <v>7.7</v>
      </c>
      <c r="BI23" s="47">
        <v>13.8</v>
      </c>
      <c r="BJ23" s="47">
        <v>19.3</v>
      </c>
      <c r="BK23" s="47">
        <v>58.2</v>
      </c>
      <c r="BL23" s="47">
        <v>173.3</v>
      </c>
      <c r="BM23" s="47">
        <v>195.4</v>
      </c>
      <c r="BN23" s="47">
        <v>202.8</v>
      </c>
      <c r="BO23" s="47">
        <v>117.4</v>
      </c>
      <c r="BP23" s="47">
        <v>87.7</v>
      </c>
      <c r="BQ23" s="47">
        <v>48.6</v>
      </c>
      <c r="BR23" s="47">
        <v>25.5</v>
      </c>
      <c r="BS23" s="47">
        <v>17.2</v>
      </c>
      <c r="BT23" s="47">
        <v>966.9</v>
      </c>
      <c r="BU23" s="47">
        <v>178.3</v>
      </c>
      <c r="BV23" s="88">
        <f>AVERAGE(Tabla32[[#This Row],[Mayo]:[Septiembre]])/30</f>
        <v>5.1773333333333333</v>
      </c>
      <c r="CA23" s="49" t="s">
        <v>469</v>
      </c>
      <c r="CB23" s="88">
        <v>17.5</v>
      </c>
      <c r="CC23" s="88">
        <v>16.399999999999999</v>
      </c>
      <c r="CD23" s="88">
        <v>15.6</v>
      </c>
      <c r="CE23" s="88">
        <v>13.3</v>
      </c>
      <c r="CF23" s="88">
        <v>11.1</v>
      </c>
      <c r="CG23" s="88">
        <v>9.6</v>
      </c>
      <c r="CH23" s="88">
        <v>8.5</v>
      </c>
      <c r="CI23" s="88">
        <v>9.4</v>
      </c>
      <c r="CJ23" s="88">
        <v>11.6</v>
      </c>
      <c r="CK23" s="88">
        <v>13.2</v>
      </c>
      <c r="CL23" s="88">
        <v>15.2</v>
      </c>
      <c r="CM23" s="88">
        <v>16.899999999999999</v>
      </c>
      <c r="CN23" s="88">
        <v>13.2</v>
      </c>
      <c r="CO23" s="88">
        <f>IF(DATOS_TEMPERATURA_MEDIA45[[#This Row],[Enero]]&gt;$DA$1,0,20-DATOS_TEMPERATURA_MEDIA45[[#This Row],[Enero]])*CO$1</f>
        <v>77.5</v>
      </c>
      <c r="CP23" s="88">
        <f>IF(DATOS_TEMPERATURA_MEDIA45[[#This Row],[Febrero]]&gt;$DA$1,0,20-DATOS_TEMPERATURA_MEDIA45[[#This Row],[Febrero]])*CP$1</f>
        <v>100.80000000000004</v>
      </c>
      <c r="CQ23" s="88">
        <f>IF(DATOS_TEMPERATURA_MEDIA45[[#This Row],[Marzo]]&gt;$DA$1,0,20-DATOS_TEMPERATURA_MEDIA45[[#This Row],[Marzo]])*CQ$1</f>
        <v>136.4</v>
      </c>
      <c r="CR23" s="88">
        <f>IF(DATOS_TEMPERATURA_MEDIA45[[#This Row],[Abril]]&gt;$DA$1,0,20-DATOS_TEMPERATURA_MEDIA45[[#This Row],[Abril]])*CR$1</f>
        <v>200.99999999999997</v>
      </c>
      <c r="CS23" s="88">
        <f>IF(DATOS_TEMPERATURA_MEDIA45[[#This Row],[Mayo]]&gt;$DA$1,0,20-DATOS_TEMPERATURA_MEDIA45[[#This Row],[Mayo]])*CS$1</f>
        <v>275.90000000000003</v>
      </c>
      <c r="CT23" s="88">
        <f>IF(DATOS_TEMPERATURA_MEDIA45[[#This Row],[Junio]]&gt;$DA$1,0,20-DATOS_TEMPERATURA_MEDIA45[[#This Row],[Junio]])*CT$1</f>
        <v>312</v>
      </c>
      <c r="CU23" s="88">
        <f>IF(DATOS_TEMPERATURA_MEDIA45[[#This Row],[Julio]]&gt;$DA$1,0,20-DATOS_TEMPERATURA_MEDIA45[[#This Row],[Julio]])*CU$1</f>
        <v>356.5</v>
      </c>
      <c r="CV23" s="88">
        <f>IF(DATOS_TEMPERATURA_MEDIA45[[#This Row],[Agosto]]&gt;$DA$1,0,20-DATOS_TEMPERATURA_MEDIA45[[#This Row],[Agosto]])*CV$1</f>
        <v>328.59999999999997</v>
      </c>
      <c r="CW23" s="88">
        <f>IF(DATOS_TEMPERATURA_MEDIA45[[#This Row],[Septiembre]]&gt;$DA$1,0,20-DATOS_TEMPERATURA_MEDIA45[[#This Row],[Septiembre]])*CW$1</f>
        <v>252</v>
      </c>
      <c r="CX23" s="88">
        <f>IF(DATOS_TEMPERATURA_MEDIA45[[#This Row],[Octubre]]&gt;$DA$1,0,20-DATOS_TEMPERATURA_MEDIA45[[#This Row],[Octubre]])*CX$1</f>
        <v>210.8</v>
      </c>
      <c r="CY23" s="88">
        <f>IF(DATOS_TEMPERATURA_MEDIA45[[#This Row],[Noviembre]]&gt;$DA$1,0,20-DATOS_TEMPERATURA_MEDIA45[[#This Row],[Noviembre]])*CY$1</f>
        <v>144.00000000000003</v>
      </c>
      <c r="CZ23" s="88">
        <f>IF(DATOS_TEMPERATURA_MEDIA45[[#This Row],[Diciembre]]&gt;$DA$1,0,20-DATOS_TEMPERATURA_MEDIA45[[#This Row],[Diciembre]])*CZ$1</f>
        <v>96.100000000000051</v>
      </c>
      <c r="DA23" s="88">
        <f>SUM(DATOS_TEMPERATURA_MEDIA45[[#This Row],[GDC 1]:[GDC 12]])</f>
        <v>2491.6</v>
      </c>
      <c r="DD23" t="s">
        <v>465</v>
      </c>
      <c r="DF23">
        <v>32</v>
      </c>
      <c r="DG23">
        <v>51</v>
      </c>
      <c r="DH23">
        <v>70</v>
      </c>
      <c r="DI23">
        <v>37</v>
      </c>
      <c r="DJ23">
        <f t="shared" si="0"/>
        <v>-32.85</v>
      </c>
      <c r="DK23">
        <f t="shared" si="1"/>
        <v>-70.61666666666666</v>
      </c>
      <c r="DL23">
        <v>880</v>
      </c>
    </row>
    <row r="24" spans="2:116" x14ac:dyDescent="0.45">
      <c r="B24">
        <v>3</v>
      </c>
      <c r="C24" t="s">
        <v>517</v>
      </c>
      <c r="D24" t="s">
        <v>518</v>
      </c>
      <c r="E24">
        <v>0.04</v>
      </c>
      <c r="G24" s="2" t="s">
        <v>519</v>
      </c>
      <c r="H24" t="s">
        <v>520</v>
      </c>
      <c r="I24" t="s">
        <v>521</v>
      </c>
      <c r="J24" t="s">
        <v>522</v>
      </c>
      <c r="L24" t="s">
        <v>523</v>
      </c>
      <c r="P24" s="183" t="s">
        <v>217</v>
      </c>
      <c r="Q24" s="406" t="s">
        <v>1827</v>
      </c>
      <c r="R24" s="406" t="s">
        <v>1828</v>
      </c>
      <c r="S24" s="406" t="s">
        <v>1827</v>
      </c>
      <c r="T24" s="406" t="s">
        <v>1828</v>
      </c>
      <c r="U24">
        <v>22</v>
      </c>
      <c r="V24" s="49" t="s">
        <v>530</v>
      </c>
      <c r="W24" t="s">
        <v>581</v>
      </c>
      <c r="X24" s="88">
        <v>20</v>
      </c>
      <c r="Y24" s="88">
        <v>18.899999999999999</v>
      </c>
      <c r="Z24" s="88">
        <v>15.9</v>
      </c>
      <c r="AA24" s="88">
        <v>12.1</v>
      </c>
      <c r="AB24" s="88">
        <v>9.5</v>
      </c>
      <c r="AC24" s="88">
        <v>7.4</v>
      </c>
      <c r="AD24" s="88">
        <v>7.2</v>
      </c>
      <c r="AE24" s="88">
        <v>8.1999999999999993</v>
      </c>
      <c r="AF24" s="88">
        <v>10.1</v>
      </c>
      <c r="AG24" s="88">
        <v>13</v>
      </c>
      <c r="AH24" s="88">
        <v>15.9</v>
      </c>
      <c r="AI24" s="88">
        <v>18.7</v>
      </c>
      <c r="AJ24" s="88">
        <v>13.1</v>
      </c>
      <c r="AK24" s="88">
        <v>-34.966666666666669</v>
      </c>
      <c r="AL24" s="88">
        <v>-71.083333333333329</v>
      </c>
      <c r="AM24" s="88">
        <v>294</v>
      </c>
      <c r="AN24" s="88">
        <f>MAX(DATOS_TEMPERATURA_MEDIA[[#This Row],[Enero]:[Diciembre]])-MIN(DATOS_TEMPERATURA_MEDIA[[#This Row],[Enero]:[Diciembre]])</f>
        <v>12.8</v>
      </c>
      <c r="AP24" s="118" t="s">
        <v>525</v>
      </c>
      <c r="AQ24" s="49" t="s">
        <v>526</v>
      </c>
      <c r="AX24" s="120">
        <v>1.8</v>
      </c>
      <c r="BD24">
        <f>Temperatura_interior_fija-DATOS_TEMPERATURA_MEDIA_MÍNIMA[[#This Row],[Julio]]</f>
        <v>17.2</v>
      </c>
      <c r="BG24" t="s">
        <v>1564</v>
      </c>
      <c r="BH24" s="47">
        <v>12.6</v>
      </c>
      <c r="BI24" s="47">
        <v>14.9</v>
      </c>
      <c r="BJ24" s="47">
        <v>21.7</v>
      </c>
      <c r="BK24" s="47">
        <v>59.4</v>
      </c>
      <c r="BL24" s="47">
        <v>164.8</v>
      </c>
      <c r="BM24" s="47">
        <v>182.8</v>
      </c>
      <c r="BN24" s="47">
        <v>205.5</v>
      </c>
      <c r="BO24" s="47">
        <v>124.2</v>
      </c>
      <c r="BP24" s="47">
        <v>86.8</v>
      </c>
      <c r="BQ24" s="47">
        <v>51</v>
      </c>
      <c r="BR24" s="47">
        <v>29.6</v>
      </c>
      <c r="BS24" s="47">
        <v>19.600000000000001</v>
      </c>
      <c r="BT24" s="47">
        <v>972.9</v>
      </c>
      <c r="BU24" s="47">
        <v>200</v>
      </c>
      <c r="BV24" s="88">
        <f>AVERAGE(Tabla32[[#This Row],[Mayo]:[Septiembre]])/30</f>
        <v>5.0939999999999994</v>
      </c>
      <c r="CA24" s="49" t="s">
        <v>530</v>
      </c>
      <c r="CB24" s="88">
        <v>20</v>
      </c>
      <c r="CC24" s="88">
        <v>18.899999999999999</v>
      </c>
      <c r="CD24" s="88">
        <v>15.9</v>
      </c>
      <c r="CE24" s="88">
        <v>12.1</v>
      </c>
      <c r="CF24" s="88">
        <v>9.5</v>
      </c>
      <c r="CG24" s="88">
        <v>7.4</v>
      </c>
      <c r="CH24" s="88">
        <v>7.2</v>
      </c>
      <c r="CI24" s="88">
        <v>8.1999999999999993</v>
      </c>
      <c r="CJ24" s="88">
        <v>10.1</v>
      </c>
      <c r="CK24" s="88">
        <v>13</v>
      </c>
      <c r="CL24" s="88">
        <v>15.9</v>
      </c>
      <c r="CM24" s="88">
        <v>18.7</v>
      </c>
      <c r="CN24" s="88">
        <v>13.1</v>
      </c>
      <c r="CO24" s="88">
        <f>IF(DATOS_TEMPERATURA_MEDIA45[[#This Row],[Enero]]&gt;$DA$1,0,20-DATOS_TEMPERATURA_MEDIA45[[#This Row],[Enero]])*CO$1</f>
        <v>0</v>
      </c>
      <c r="CP24" s="88">
        <f>IF(DATOS_TEMPERATURA_MEDIA45[[#This Row],[Febrero]]&gt;$DA$1,0,20-DATOS_TEMPERATURA_MEDIA45[[#This Row],[Febrero]])*CP$1</f>
        <v>30.80000000000004</v>
      </c>
      <c r="CQ24" s="88">
        <f>IF(DATOS_TEMPERATURA_MEDIA45[[#This Row],[Marzo]]&gt;$DA$1,0,20-DATOS_TEMPERATURA_MEDIA45[[#This Row],[Marzo]])*CQ$1</f>
        <v>127.1</v>
      </c>
      <c r="CR24" s="88">
        <f>IF(DATOS_TEMPERATURA_MEDIA45[[#This Row],[Abril]]&gt;$DA$1,0,20-DATOS_TEMPERATURA_MEDIA45[[#This Row],[Abril]])*CR$1</f>
        <v>237</v>
      </c>
      <c r="CS24" s="88">
        <f>IF(DATOS_TEMPERATURA_MEDIA45[[#This Row],[Mayo]]&gt;$DA$1,0,20-DATOS_TEMPERATURA_MEDIA45[[#This Row],[Mayo]])*CS$1</f>
        <v>325.5</v>
      </c>
      <c r="CT24" s="88">
        <f>IF(DATOS_TEMPERATURA_MEDIA45[[#This Row],[Junio]]&gt;$DA$1,0,20-DATOS_TEMPERATURA_MEDIA45[[#This Row],[Junio]])*CT$1</f>
        <v>378</v>
      </c>
      <c r="CU24" s="88">
        <f>IF(DATOS_TEMPERATURA_MEDIA45[[#This Row],[Julio]]&gt;$DA$1,0,20-DATOS_TEMPERATURA_MEDIA45[[#This Row],[Julio]])*CU$1</f>
        <v>396.8</v>
      </c>
      <c r="CV24" s="88">
        <f>IF(DATOS_TEMPERATURA_MEDIA45[[#This Row],[Agosto]]&gt;$DA$1,0,20-DATOS_TEMPERATURA_MEDIA45[[#This Row],[Agosto]])*CV$1</f>
        <v>365.8</v>
      </c>
      <c r="CW24" s="88">
        <f>IF(DATOS_TEMPERATURA_MEDIA45[[#This Row],[Septiembre]]&gt;$DA$1,0,20-DATOS_TEMPERATURA_MEDIA45[[#This Row],[Septiembre]])*CW$1</f>
        <v>297</v>
      </c>
      <c r="CX24" s="88">
        <f>IF(DATOS_TEMPERATURA_MEDIA45[[#This Row],[Octubre]]&gt;$DA$1,0,20-DATOS_TEMPERATURA_MEDIA45[[#This Row],[Octubre]])*CX$1</f>
        <v>217</v>
      </c>
      <c r="CY24" s="88">
        <f>IF(DATOS_TEMPERATURA_MEDIA45[[#This Row],[Noviembre]]&gt;$DA$1,0,20-DATOS_TEMPERATURA_MEDIA45[[#This Row],[Noviembre]])*CY$1</f>
        <v>122.99999999999999</v>
      </c>
      <c r="CZ24" s="88">
        <f>IF(DATOS_TEMPERATURA_MEDIA45[[#This Row],[Diciembre]]&gt;$DA$1,0,20-DATOS_TEMPERATURA_MEDIA45[[#This Row],[Diciembre]])*CZ$1</f>
        <v>40.300000000000026</v>
      </c>
      <c r="DA24" s="88">
        <f>SUM(DATOS_TEMPERATURA_MEDIA45[[#This Row],[GDC 1]:[GDC 12]])</f>
        <v>2538.3000000000002</v>
      </c>
      <c r="DD24" t="s">
        <v>469</v>
      </c>
      <c r="DF24">
        <v>33</v>
      </c>
      <c r="DG24">
        <v>2</v>
      </c>
      <c r="DH24">
        <v>71</v>
      </c>
      <c r="DI24">
        <v>29</v>
      </c>
      <c r="DJ24">
        <f t="shared" si="0"/>
        <v>-33.033333333333331</v>
      </c>
      <c r="DK24">
        <f t="shared" si="1"/>
        <v>-71.483333333333334</v>
      </c>
      <c r="DL24">
        <v>174</v>
      </c>
    </row>
    <row r="25" spans="2:116" x14ac:dyDescent="0.45">
      <c r="G25" s="2" t="s">
        <v>509</v>
      </c>
      <c r="H25" t="s">
        <v>527</v>
      </c>
      <c r="I25" t="s">
        <v>528</v>
      </c>
      <c r="L25" t="s">
        <v>529</v>
      </c>
      <c r="P25">
        <v>3</v>
      </c>
      <c r="Q25" s="48">
        <v>0.74</v>
      </c>
      <c r="R25" s="48">
        <v>2.02</v>
      </c>
      <c r="S25" s="48">
        <v>1.0900000000000001</v>
      </c>
      <c r="T25" s="48">
        <v>4.26</v>
      </c>
      <c r="U25">
        <v>23</v>
      </c>
      <c r="V25" s="49" t="s">
        <v>536</v>
      </c>
      <c r="W25" t="s">
        <v>581</v>
      </c>
      <c r="X25" s="88">
        <v>20.3</v>
      </c>
      <c r="Y25" s="88">
        <v>19.5</v>
      </c>
      <c r="Z25" s="88">
        <v>17.600000000000001</v>
      </c>
      <c r="AA25" s="88">
        <v>13.4</v>
      </c>
      <c r="AB25" s="88">
        <v>10.3</v>
      </c>
      <c r="AC25" s="88">
        <v>8.5</v>
      </c>
      <c r="AD25" s="88">
        <v>7.6</v>
      </c>
      <c r="AE25" s="88">
        <v>8.8000000000000007</v>
      </c>
      <c r="AF25" s="88">
        <v>11.1</v>
      </c>
      <c r="AG25" s="88">
        <v>13.8</v>
      </c>
      <c r="AH25" s="88">
        <v>16.8</v>
      </c>
      <c r="AI25" s="88">
        <v>19.7</v>
      </c>
      <c r="AJ25" s="88">
        <v>14</v>
      </c>
      <c r="AK25" s="88">
        <v>-35.366666666666667</v>
      </c>
      <c r="AL25" s="88">
        <v>-71.466666666666669</v>
      </c>
      <c r="AM25" s="88">
        <v>113</v>
      </c>
      <c r="AN25" s="88">
        <f>MAX(DATOS_TEMPERATURA_MEDIA[[#This Row],[Enero]:[Diciembre]])-MIN(DATOS_TEMPERATURA_MEDIA[[#This Row],[Enero]:[Diciembre]])</f>
        <v>12.700000000000001</v>
      </c>
      <c r="AP25" s="119" t="s">
        <v>531</v>
      </c>
      <c r="AQ25" s="49" t="s">
        <v>532</v>
      </c>
      <c r="AX25" s="120">
        <v>2.2000000000000002</v>
      </c>
      <c r="BD25">
        <f>Temperatura_interior_fija-DATOS_TEMPERATURA_MEDIA_MÍNIMA[[#This Row],[Julio]]</f>
        <v>16.8</v>
      </c>
      <c r="BG25" t="s">
        <v>1565</v>
      </c>
      <c r="BH25" s="47">
        <v>15.7</v>
      </c>
      <c r="BI25" s="47">
        <v>22.2</v>
      </c>
      <c r="BJ25" s="47">
        <v>23</v>
      </c>
      <c r="BK25" s="47">
        <v>54.2</v>
      </c>
      <c r="BL25" s="47">
        <v>174.9</v>
      </c>
      <c r="BM25" s="47">
        <v>199.9</v>
      </c>
      <c r="BN25" s="47">
        <v>228.9</v>
      </c>
      <c r="BO25" s="47">
        <v>130.4</v>
      </c>
      <c r="BP25" s="47">
        <v>91</v>
      </c>
      <c r="BQ25" s="47">
        <v>61.7</v>
      </c>
      <c r="BR25" s="47">
        <v>33.299999999999997</v>
      </c>
      <c r="BS25" s="47">
        <v>19.7</v>
      </c>
      <c r="BT25" s="47">
        <v>1054.9000000000001</v>
      </c>
      <c r="BU25" s="47">
        <v>165</v>
      </c>
      <c r="BV25" s="88">
        <f>AVERAGE(Tabla32[[#This Row],[Mayo]:[Septiembre]])/30</f>
        <v>5.5006666666666666</v>
      </c>
      <c r="CA25" s="49" t="s">
        <v>550</v>
      </c>
      <c r="CB25" s="88">
        <v>19.100000000000001</v>
      </c>
      <c r="CC25" s="88">
        <v>18.3</v>
      </c>
      <c r="CD25" s="88">
        <v>15.8</v>
      </c>
      <c r="CE25" s="88">
        <v>12.3</v>
      </c>
      <c r="CF25" s="88">
        <v>9.6</v>
      </c>
      <c r="CG25" s="88">
        <v>7.7</v>
      </c>
      <c r="CH25" s="88">
        <v>7.3</v>
      </c>
      <c r="CI25" s="88">
        <v>8.1999999999999993</v>
      </c>
      <c r="CJ25" s="88">
        <v>9.6999999999999993</v>
      </c>
      <c r="CK25" s="88">
        <v>11.9</v>
      </c>
      <c r="CL25" s="88">
        <v>14.9</v>
      </c>
      <c r="CM25" s="88">
        <v>17.7</v>
      </c>
      <c r="CN25" s="88">
        <v>12.7</v>
      </c>
      <c r="CO25" s="88">
        <f>IF(DATOS_TEMPERATURA_MEDIA45[[#This Row],[Enero]]&gt;$DA$1,0,20-DATOS_TEMPERATURA_MEDIA45[[#This Row],[Enero]])*CO$1</f>
        <v>27.899999999999956</v>
      </c>
      <c r="CP25" s="88">
        <f>IF(DATOS_TEMPERATURA_MEDIA45[[#This Row],[Febrero]]&gt;$DA$1,0,20-DATOS_TEMPERATURA_MEDIA45[[#This Row],[Febrero]])*CP$1</f>
        <v>47.59999999999998</v>
      </c>
      <c r="CQ25" s="88">
        <f>IF(DATOS_TEMPERATURA_MEDIA45[[#This Row],[Marzo]]&gt;$DA$1,0,20-DATOS_TEMPERATURA_MEDIA45[[#This Row],[Marzo]])*CQ$1</f>
        <v>130.19999999999999</v>
      </c>
      <c r="CR25" s="88">
        <f>IF(DATOS_TEMPERATURA_MEDIA45[[#This Row],[Abril]]&gt;$DA$1,0,20-DATOS_TEMPERATURA_MEDIA45[[#This Row],[Abril]])*CR$1</f>
        <v>230.99999999999997</v>
      </c>
      <c r="CS25" s="88">
        <f>IF(DATOS_TEMPERATURA_MEDIA45[[#This Row],[Mayo]]&gt;$DA$1,0,20-DATOS_TEMPERATURA_MEDIA45[[#This Row],[Mayo]])*CS$1</f>
        <v>322.40000000000003</v>
      </c>
      <c r="CT25" s="88">
        <f>IF(DATOS_TEMPERATURA_MEDIA45[[#This Row],[Junio]]&gt;$DA$1,0,20-DATOS_TEMPERATURA_MEDIA45[[#This Row],[Junio]])*CT$1</f>
        <v>369</v>
      </c>
      <c r="CU25" s="88">
        <f>IF(DATOS_TEMPERATURA_MEDIA45[[#This Row],[Julio]]&gt;$DA$1,0,20-DATOS_TEMPERATURA_MEDIA45[[#This Row],[Julio]])*CU$1</f>
        <v>393.7</v>
      </c>
      <c r="CV25" s="88">
        <f>IF(DATOS_TEMPERATURA_MEDIA45[[#This Row],[Agosto]]&gt;$DA$1,0,20-DATOS_TEMPERATURA_MEDIA45[[#This Row],[Agosto]])*CV$1</f>
        <v>365.8</v>
      </c>
      <c r="CW25" s="88">
        <f>IF(DATOS_TEMPERATURA_MEDIA45[[#This Row],[Septiembre]]&gt;$DA$1,0,20-DATOS_TEMPERATURA_MEDIA45[[#This Row],[Septiembre]])*CW$1</f>
        <v>309</v>
      </c>
      <c r="CX25" s="88">
        <f>IF(DATOS_TEMPERATURA_MEDIA45[[#This Row],[Octubre]]&gt;$DA$1,0,20-DATOS_TEMPERATURA_MEDIA45[[#This Row],[Octubre]])*CX$1</f>
        <v>251.1</v>
      </c>
      <c r="CY25" s="88">
        <f>IF(DATOS_TEMPERATURA_MEDIA45[[#This Row],[Noviembre]]&gt;$DA$1,0,20-DATOS_TEMPERATURA_MEDIA45[[#This Row],[Noviembre]])*CY$1</f>
        <v>153</v>
      </c>
      <c r="CZ25" s="88">
        <f>IF(DATOS_TEMPERATURA_MEDIA45[[#This Row],[Diciembre]]&gt;$DA$1,0,20-DATOS_TEMPERATURA_MEDIA45[[#This Row],[Diciembre]])*CZ$1</f>
        <v>71.300000000000026</v>
      </c>
      <c r="DA25" s="88">
        <f>SUM(DATOS_TEMPERATURA_MEDIA45[[#This Row],[GDC 1]:[GDC 12]])</f>
        <v>2672</v>
      </c>
      <c r="DD25" t="s">
        <v>474</v>
      </c>
      <c r="DF25">
        <v>33</v>
      </c>
      <c r="DG25">
        <v>2</v>
      </c>
      <c r="DH25">
        <v>71</v>
      </c>
      <c r="DI25">
        <v>38</v>
      </c>
      <c r="DJ25">
        <f t="shared" si="0"/>
        <v>-33.033333333333331</v>
      </c>
      <c r="DK25">
        <f t="shared" si="1"/>
        <v>-71.63333333333334</v>
      </c>
      <c r="DL25">
        <v>41</v>
      </c>
    </row>
    <row r="26" spans="2:116" x14ac:dyDescent="0.45">
      <c r="G26" s="2" t="s">
        <v>519</v>
      </c>
      <c r="H26" t="s">
        <v>533</v>
      </c>
      <c r="I26" t="s">
        <v>534</v>
      </c>
      <c r="L26" t="s">
        <v>535</v>
      </c>
      <c r="M26" s="2"/>
      <c r="P26">
        <v>4</v>
      </c>
      <c r="Q26" s="48">
        <v>0.64</v>
      </c>
      <c r="R26" s="48">
        <v>1.92</v>
      </c>
      <c r="S26" s="48">
        <v>0.82</v>
      </c>
      <c r="T26" s="48">
        <v>3.19</v>
      </c>
      <c r="U26">
        <v>24</v>
      </c>
      <c r="V26" s="49" t="s">
        <v>544</v>
      </c>
      <c r="W26" t="s">
        <v>581</v>
      </c>
      <c r="X26" s="88">
        <v>19.600000000000001</v>
      </c>
      <c r="Y26" s="88">
        <v>18.2</v>
      </c>
      <c r="Z26" s="88">
        <v>16.100000000000001</v>
      </c>
      <c r="AA26" s="88">
        <v>12.5</v>
      </c>
      <c r="AB26" s="88">
        <v>9.8000000000000007</v>
      </c>
      <c r="AC26" s="88">
        <v>8.6</v>
      </c>
      <c r="AD26" s="88">
        <v>6.4</v>
      </c>
      <c r="AE26" s="88">
        <v>8.5</v>
      </c>
      <c r="AF26" s="88">
        <v>10.7</v>
      </c>
      <c r="AG26" s="88">
        <v>13.4</v>
      </c>
      <c r="AH26" s="88">
        <v>16.2</v>
      </c>
      <c r="AI26" s="88">
        <v>18.899999999999999</v>
      </c>
      <c r="AJ26" s="88">
        <v>13.2</v>
      </c>
      <c r="AK26" s="88">
        <v>-35.75</v>
      </c>
      <c r="AL26" s="88">
        <v>-71.566666666666663</v>
      </c>
      <c r="AM26" s="88">
        <v>150</v>
      </c>
      <c r="AN26" s="88">
        <f>MAX(DATOS_TEMPERATURA_MEDIA[[#This Row],[Enero]:[Diciembre]])-MIN(DATOS_TEMPERATURA_MEDIA[[#This Row],[Enero]:[Diciembre]])</f>
        <v>13.200000000000001</v>
      </c>
      <c r="AP26" s="7" t="s">
        <v>473</v>
      </c>
      <c r="AQ26" s="49" t="s">
        <v>537</v>
      </c>
      <c r="AX26" s="120">
        <v>2.2000000000000002</v>
      </c>
      <c r="BD26">
        <f>Temperatura_interior_fija-DATOS_TEMPERATURA_MEDIA_MÍNIMA[[#This Row],[Julio]]</f>
        <v>16.8</v>
      </c>
      <c r="BG26" t="s">
        <v>1566</v>
      </c>
      <c r="BH26" s="47">
        <v>17.600000000000001</v>
      </c>
      <c r="BI26" s="47">
        <v>15.4</v>
      </c>
      <c r="BJ26" s="47">
        <v>25.7</v>
      </c>
      <c r="BK26" s="47">
        <v>54</v>
      </c>
      <c r="BL26" s="47">
        <v>193.4</v>
      </c>
      <c r="BM26" s="47">
        <v>211.9</v>
      </c>
      <c r="BN26" s="47">
        <v>220.6</v>
      </c>
      <c r="BO26" s="47">
        <v>135.9</v>
      </c>
      <c r="BP26" s="47">
        <v>94.6</v>
      </c>
      <c r="BQ26" s="47">
        <v>69.2</v>
      </c>
      <c r="BR26" s="47">
        <v>40.299999999999997</v>
      </c>
      <c r="BS26" s="47">
        <v>28.4</v>
      </c>
      <c r="BT26" s="47">
        <v>1107</v>
      </c>
      <c r="BU26" s="47">
        <v>153.69999999999999</v>
      </c>
      <c r="BV26" s="88">
        <f>AVERAGE(Tabla32[[#This Row],[Mayo]:[Septiembre]])/30</f>
        <v>5.7093333333333334</v>
      </c>
      <c r="CA26" s="49" t="s">
        <v>472</v>
      </c>
      <c r="CB26" s="88">
        <v>15.6</v>
      </c>
      <c r="CC26" s="88">
        <v>15.6</v>
      </c>
      <c r="CD26" s="88">
        <v>14.3</v>
      </c>
      <c r="CE26" s="88">
        <v>12.7</v>
      </c>
      <c r="CF26" s="88">
        <v>11.6</v>
      </c>
      <c r="CG26" s="88">
        <v>10.3</v>
      </c>
      <c r="CH26" s="88">
        <v>10</v>
      </c>
      <c r="CI26" s="88">
        <v>10.4</v>
      </c>
      <c r="CJ26" s="88">
        <v>11</v>
      </c>
      <c r="CK26" s="88">
        <v>12.3</v>
      </c>
      <c r="CL26" s="88">
        <v>13.8</v>
      </c>
      <c r="CM26" s="88">
        <v>15.1</v>
      </c>
      <c r="CN26" s="88">
        <v>12.8</v>
      </c>
      <c r="CO26" s="88">
        <f>IF(DATOS_TEMPERATURA_MEDIA45[[#This Row],[Enero]]&gt;$DA$1,0,20-DATOS_TEMPERATURA_MEDIA45[[#This Row],[Enero]])*CO$1</f>
        <v>136.4</v>
      </c>
      <c r="CP26" s="88">
        <f>IF(DATOS_TEMPERATURA_MEDIA45[[#This Row],[Febrero]]&gt;$DA$1,0,20-DATOS_TEMPERATURA_MEDIA45[[#This Row],[Febrero]])*CP$1</f>
        <v>123.20000000000002</v>
      </c>
      <c r="CQ26" s="88">
        <f>IF(DATOS_TEMPERATURA_MEDIA45[[#This Row],[Marzo]]&gt;$DA$1,0,20-DATOS_TEMPERATURA_MEDIA45[[#This Row],[Marzo]])*CQ$1</f>
        <v>176.7</v>
      </c>
      <c r="CR26" s="88">
        <f>IF(DATOS_TEMPERATURA_MEDIA45[[#This Row],[Abril]]&gt;$DA$1,0,20-DATOS_TEMPERATURA_MEDIA45[[#This Row],[Abril]])*CR$1</f>
        <v>219.00000000000003</v>
      </c>
      <c r="CS26" s="88">
        <f>IF(DATOS_TEMPERATURA_MEDIA45[[#This Row],[Mayo]]&gt;$DA$1,0,20-DATOS_TEMPERATURA_MEDIA45[[#This Row],[Mayo]])*CS$1</f>
        <v>260.40000000000003</v>
      </c>
      <c r="CT26" s="88">
        <f>IF(DATOS_TEMPERATURA_MEDIA45[[#This Row],[Junio]]&gt;$DA$1,0,20-DATOS_TEMPERATURA_MEDIA45[[#This Row],[Junio]])*CT$1</f>
        <v>291</v>
      </c>
      <c r="CU26" s="88">
        <f>IF(DATOS_TEMPERATURA_MEDIA45[[#This Row],[Julio]]&gt;$DA$1,0,20-DATOS_TEMPERATURA_MEDIA45[[#This Row],[Julio]])*CU$1</f>
        <v>310</v>
      </c>
      <c r="CV26" s="88">
        <f>IF(DATOS_TEMPERATURA_MEDIA45[[#This Row],[Agosto]]&gt;$DA$1,0,20-DATOS_TEMPERATURA_MEDIA45[[#This Row],[Agosto]])*CV$1</f>
        <v>297.59999999999997</v>
      </c>
      <c r="CW26" s="88">
        <f>IF(DATOS_TEMPERATURA_MEDIA45[[#This Row],[Septiembre]]&gt;$DA$1,0,20-DATOS_TEMPERATURA_MEDIA45[[#This Row],[Septiembre]])*CW$1</f>
        <v>270</v>
      </c>
      <c r="CX26" s="88">
        <f>IF(DATOS_TEMPERATURA_MEDIA45[[#This Row],[Octubre]]&gt;$DA$1,0,20-DATOS_TEMPERATURA_MEDIA45[[#This Row],[Octubre]])*CX$1</f>
        <v>238.7</v>
      </c>
      <c r="CY26" s="88">
        <f>IF(DATOS_TEMPERATURA_MEDIA45[[#This Row],[Noviembre]]&gt;$DA$1,0,20-DATOS_TEMPERATURA_MEDIA45[[#This Row],[Noviembre]])*CY$1</f>
        <v>185.99999999999997</v>
      </c>
      <c r="CZ26" s="88">
        <f>IF(DATOS_TEMPERATURA_MEDIA45[[#This Row],[Diciembre]]&gt;$DA$1,0,20-DATOS_TEMPERATURA_MEDIA45[[#This Row],[Diciembre]])*CZ$1</f>
        <v>151.9</v>
      </c>
      <c r="DA26" s="88">
        <f>SUM(DATOS_TEMPERATURA_MEDIA45[[#This Row],[GDC 1]:[GDC 12]])</f>
        <v>2660.9</v>
      </c>
      <c r="DD26" t="s">
        <v>923</v>
      </c>
      <c r="DF26">
        <v>33</v>
      </c>
      <c r="DG26">
        <v>27</v>
      </c>
      <c r="DH26">
        <v>70</v>
      </c>
      <c r="DI26">
        <v>42</v>
      </c>
      <c r="DJ26">
        <f t="shared" si="0"/>
        <v>-33.450000000000003</v>
      </c>
      <c r="DK26">
        <f t="shared" si="1"/>
        <v>-70.7</v>
      </c>
      <c r="DL26">
        <v>520</v>
      </c>
    </row>
    <row r="27" spans="2:116" x14ac:dyDescent="0.45">
      <c r="B27" t="s">
        <v>489</v>
      </c>
      <c r="C27" t="s">
        <v>538</v>
      </c>
      <c r="D27" t="s">
        <v>190</v>
      </c>
      <c r="G27" s="2" t="s">
        <v>519</v>
      </c>
      <c r="H27" t="s">
        <v>539</v>
      </c>
      <c r="I27" t="s">
        <v>540</v>
      </c>
      <c r="L27" t="s">
        <v>535</v>
      </c>
      <c r="M27" s="2"/>
      <c r="P27">
        <v>5</v>
      </c>
      <c r="Q27" s="48">
        <v>0.56999999999999995</v>
      </c>
      <c r="R27" s="48">
        <v>1.86</v>
      </c>
      <c r="S27" s="48">
        <v>0.69</v>
      </c>
      <c r="T27" s="48">
        <v>2.74</v>
      </c>
      <c r="U27">
        <v>25</v>
      </c>
      <c r="V27" s="49" t="s">
        <v>541</v>
      </c>
      <c r="W27" t="s">
        <v>584</v>
      </c>
      <c r="X27" s="88">
        <v>15.6</v>
      </c>
      <c r="Y27" s="88">
        <v>14.7</v>
      </c>
      <c r="Z27" s="88">
        <v>14.1</v>
      </c>
      <c r="AA27" s="88">
        <v>12.5</v>
      </c>
      <c r="AB27" s="88">
        <v>11.1</v>
      </c>
      <c r="AC27" s="88">
        <v>10</v>
      </c>
      <c r="AD27" s="88">
        <v>8.5</v>
      </c>
      <c r="AE27" s="88">
        <v>9.3000000000000007</v>
      </c>
      <c r="AF27" s="88">
        <v>10.5</v>
      </c>
      <c r="AG27" s="88">
        <v>11.5</v>
      </c>
      <c r="AH27" s="88">
        <v>13.2</v>
      </c>
      <c r="AI27" s="88">
        <v>15</v>
      </c>
      <c r="AJ27" s="88">
        <v>12.2</v>
      </c>
      <c r="AK27" s="88">
        <v>-35.716666666666669</v>
      </c>
      <c r="AL27" s="88">
        <v>-72.533333333333331</v>
      </c>
      <c r="AM27" s="88">
        <v>59</v>
      </c>
      <c r="AN27" s="88">
        <f>MAX(DATOS_TEMPERATURA_MEDIA[[#This Row],[Enero]:[Diciembre]])-MIN(DATOS_TEMPERATURA_MEDIA[[#This Row],[Enero]:[Diciembre]])</f>
        <v>7.1</v>
      </c>
      <c r="AP27" s="7" t="s">
        <v>475</v>
      </c>
      <c r="AQ27" s="49" t="s">
        <v>542</v>
      </c>
      <c r="AX27" s="120">
        <v>1.8</v>
      </c>
      <c r="BD27">
        <f>Temperatura_interior_fija-DATOS_TEMPERATURA_MEDIA_MÍNIMA[[#This Row],[Julio]]</f>
        <v>17.2</v>
      </c>
      <c r="BG27" t="s">
        <v>1567</v>
      </c>
      <c r="BH27" s="47">
        <v>12.7</v>
      </c>
      <c r="BI27" s="47">
        <v>10.8</v>
      </c>
      <c r="BJ27" s="47">
        <v>19.899999999999999</v>
      </c>
      <c r="BK27" s="47">
        <v>54.5</v>
      </c>
      <c r="BL27" s="47">
        <v>192.8</v>
      </c>
      <c r="BM27" s="47">
        <v>226.8</v>
      </c>
      <c r="BN27" s="47">
        <v>231.3</v>
      </c>
      <c r="BO27" s="47">
        <v>151.9</v>
      </c>
      <c r="BP27" s="47">
        <v>84.3</v>
      </c>
      <c r="BQ27" s="47">
        <v>63.5</v>
      </c>
      <c r="BR27" s="47">
        <v>38.4</v>
      </c>
      <c r="BS27" s="47">
        <v>26.5</v>
      </c>
      <c r="BT27" s="47">
        <v>1113.4000000000001</v>
      </c>
      <c r="BU27" s="47">
        <v>220.7</v>
      </c>
      <c r="BV27" s="88">
        <f>AVERAGE(Tabla32[[#This Row],[Mayo]:[Septiembre]])/30</f>
        <v>5.9140000000000006</v>
      </c>
      <c r="CA27" s="49" t="s">
        <v>524</v>
      </c>
      <c r="CB27" s="88">
        <v>18.899999999999999</v>
      </c>
      <c r="CC27" s="88">
        <v>18.100000000000001</v>
      </c>
      <c r="CD27" s="88">
        <v>15.9</v>
      </c>
      <c r="CE27" s="88">
        <v>12.4</v>
      </c>
      <c r="CF27" s="88">
        <v>10</v>
      </c>
      <c r="CG27" s="88">
        <v>7.5</v>
      </c>
      <c r="CH27" s="88">
        <v>7.3</v>
      </c>
      <c r="CI27" s="88">
        <v>7.8</v>
      </c>
      <c r="CJ27" s="88">
        <v>9.3000000000000007</v>
      </c>
      <c r="CK27" s="88">
        <v>12.2</v>
      </c>
      <c r="CL27" s="88">
        <v>15</v>
      </c>
      <c r="CM27" s="88">
        <v>17.5</v>
      </c>
      <c r="CN27" s="88">
        <v>12.7</v>
      </c>
      <c r="CO27" s="88">
        <f>IF(DATOS_TEMPERATURA_MEDIA45[[#This Row],[Enero]]&gt;$DA$1,0,20-DATOS_TEMPERATURA_MEDIA45[[#This Row],[Enero]])*CO$1</f>
        <v>34.100000000000044</v>
      </c>
      <c r="CP27" s="88">
        <f>IF(DATOS_TEMPERATURA_MEDIA45[[#This Row],[Febrero]]&gt;$DA$1,0,20-DATOS_TEMPERATURA_MEDIA45[[#This Row],[Febrero]])*CP$1</f>
        <v>53.19999999999996</v>
      </c>
      <c r="CQ27" s="88">
        <f>IF(DATOS_TEMPERATURA_MEDIA45[[#This Row],[Marzo]]&gt;$DA$1,0,20-DATOS_TEMPERATURA_MEDIA45[[#This Row],[Marzo]])*CQ$1</f>
        <v>127.1</v>
      </c>
      <c r="CR27" s="88">
        <f>IF(DATOS_TEMPERATURA_MEDIA45[[#This Row],[Abril]]&gt;$DA$1,0,20-DATOS_TEMPERATURA_MEDIA45[[#This Row],[Abril]])*CR$1</f>
        <v>228</v>
      </c>
      <c r="CS27" s="88">
        <f>IF(DATOS_TEMPERATURA_MEDIA45[[#This Row],[Mayo]]&gt;$DA$1,0,20-DATOS_TEMPERATURA_MEDIA45[[#This Row],[Mayo]])*CS$1</f>
        <v>310</v>
      </c>
      <c r="CT27" s="88">
        <f>IF(DATOS_TEMPERATURA_MEDIA45[[#This Row],[Junio]]&gt;$DA$1,0,20-DATOS_TEMPERATURA_MEDIA45[[#This Row],[Junio]])*CT$1</f>
        <v>375</v>
      </c>
      <c r="CU27" s="88">
        <f>IF(DATOS_TEMPERATURA_MEDIA45[[#This Row],[Julio]]&gt;$DA$1,0,20-DATOS_TEMPERATURA_MEDIA45[[#This Row],[Julio]])*CU$1</f>
        <v>393.7</v>
      </c>
      <c r="CV27" s="88">
        <f>IF(DATOS_TEMPERATURA_MEDIA45[[#This Row],[Agosto]]&gt;$DA$1,0,20-DATOS_TEMPERATURA_MEDIA45[[#This Row],[Agosto]])*CV$1</f>
        <v>378.2</v>
      </c>
      <c r="CW27" s="88">
        <f>IF(DATOS_TEMPERATURA_MEDIA45[[#This Row],[Septiembre]]&gt;$DA$1,0,20-DATOS_TEMPERATURA_MEDIA45[[#This Row],[Septiembre]])*CW$1</f>
        <v>321</v>
      </c>
      <c r="CX27" s="88">
        <f>IF(DATOS_TEMPERATURA_MEDIA45[[#This Row],[Octubre]]&gt;$DA$1,0,20-DATOS_TEMPERATURA_MEDIA45[[#This Row],[Octubre]])*CX$1</f>
        <v>241.8</v>
      </c>
      <c r="CY27" s="88">
        <f>IF(DATOS_TEMPERATURA_MEDIA45[[#This Row],[Noviembre]]&gt;$DA$1,0,20-DATOS_TEMPERATURA_MEDIA45[[#This Row],[Noviembre]])*CY$1</f>
        <v>150</v>
      </c>
      <c r="CZ27" s="88">
        <f>IF(DATOS_TEMPERATURA_MEDIA45[[#This Row],[Diciembre]]&gt;$DA$1,0,20-DATOS_TEMPERATURA_MEDIA45[[#This Row],[Diciembre]])*CZ$1</f>
        <v>77.5</v>
      </c>
      <c r="DA27" s="88">
        <f>SUM(DATOS_TEMPERATURA_MEDIA45[[#This Row],[GDC 1]:[GDC 12]])</f>
        <v>2689.6000000000004</v>
      </c>
      <c r="DD27" t="s">
        <v>865</v>
      </c>
      <c r="DF27">
        <v>33</v>
      </c>
      <c r="DG27">
        <v>34</v>
      </c>
      <c r="DH27">
        <v>71</v>
      </c>
      <c r="DI27">
        <v>38</v>
      </c>
      <c r="DJ27">
        <f t="shared" si="0"/>
        <v>-33.56666666666667</v>
      </c>
      <c r="DK27">
        <f t="shared" si="1"/>
        <v>-71.63333333333334</v>
      </c>
      <c r="DL27">
        <v>63</v>
      </c>
    </row>
    <row r="28" spans="2:116" x14ac:dyDescent="0.45">
      <c r="B28">
        <v>1</v>
      </c>
      <c r="C28" t="s">
        <v>543</v>
      </c>
      <c r="D28">
        <v>0</v>
      </c>
      <c r="G28" s="2"/>
      <c r="K28" s="2"/>
      <c r="P28">
        <v>6</v>
      </c>
      <c r="Q28" s="48">
        <v>0.52</v>
      </c>
      <c r="R28" s="48">
        <v>1.81</v>
      </c>
      <c r="S28" s="48">
        <v>0.6</v>
      </c>
      <c r="T28" s="48">
        <v>2.4900000000000002</v>
      </c>
      <c r="U28">
        <v>26</v>
      </c>
      <c r="V28" s="49" t="s">
        <v>547</v>
      </c>
      <c r="W28" t="s">
        <v>584</v>
      </c>
      <c r="X28" s="88">
        <v>21</v>
      </c>
      <c r="Y28" s="88">
        <v>20</v>
      </c>
      <c r="Z28" s="88">
        <v>17.600000000000001</v>
      </c>
      <c r="AA28" s="88">
        <v>13.7</v>
      </c>
      <c r="AB28" s="88">
        <v>10.9</v>
      </c>
      <c r="AC28" s="88">
        <v>9</v>
      </c>
      <c r="AD28" s="88">
        <v>8.9</v>
      </c>
      <c r="AE28" s="88">
        <v>9</v>
      </c>
      <c r="AF28" s="88">
        <v>10.9</v>
      </c>
      <c r="AG28" s="88">
        <v>13.4</v>
      </c>
      <c r="AH28" s="88">
        <v>16</v>
      </c>
      <c r="AI28" s="88">
        <v>19.600000000000001</v>
      </c>
      <c r="AJ28" s="88">
        <v>14.2</v>
      </c>
      <c r="AK28" s="88">
        <v>-35.966666666666669</v>
      </c>
      <c r="AL28" s="88">
        <v>-72.333333333333329</v>
      </c>
      <c r="AM28" s="88">
        <v>140</v>
      </c>
      <c r="AN28" s="88">
        <f>MAX(DATOS_TEMPERATURA_MEDIA[[#This Row],[Enero]:[Diciembre]])-MIN(DATOS_TEMPERATURA_MEDIA[[#This Row],[Enero]:[Diciembre]])</f>
        <v>12.1</v>
      </c>
      <c r="AP28" s="7" t="s">
        <v>479</v>
      </c>
      <c r="AQ28" s="49" t="s">
        <v>545</v>
      </c>
      <c r="AX28" s="120">
        <v>2.2000000000000002</v>
      </c>
      <c r="BD28">
        <f>Temperatura_interior_fija-DATOS_TEMPERATURA_MEDIA_MÍNIMA[[#This Row],[Julio]]</f>
        <v>16.8</v>
      </c>
      <c r="BG28" t="s">
        <v>1568</v>
      </c>
      <c r="BH28" s="47">
        <v>12.4</v>
      </c>
      <c r="BI28" s="47">
        <v>10.5</v>
      </c>
      <c r="BJ28" s="47">
        <v>22.1</v>
      </c>
      <c r="BK28" s="47">
        <v>43.7</v>
      </c>
      <c r="BL28" s="47">
        <v>138.4</v>
      </c>
      <c r="BM28" s="47">
        <v>185.2</v>
      </c>
      <c r="BN28" s="47">
        <v>177.7</v>
      </c>
      <c r="BO28" s="47">
        <v>127.9</v>
      </c>
      <c r="BP28" s="47">
        <v>74.3</v>
      </c>
      <c r="BQ28" s="47">
        <v>58.3</v>
      </c>
      <c r="BR28" s="47">
        <v>37</v>
      </c>
      <c r="BS28" s="47">
        <v>19.399999999999999</v>
      </c>
      <c r="BT28" s="47">
        <v>906.9</v>
      </c>
      <c r="BU28" s="47">
        <v>51.4</v>
      </c>
      <c r="BV28" s="88">
        <f>AVERAGE(Tabla32[[#This Row],[Mayo]:[Septiembre]])/30</f>
        <v>4.6899999999999995</v>
      </c>
      <c r="CA28" s="49" t="s">
        <v>541</v>
      </c>
      <c r="CB28" s="88">
        <v>15.6</v>
      </c>
      <c r="CC28" s="88">
        <v>14.7</v>
      </c>
      <c r="CD28" s="88">
        <v>14.1</v>
      </c>
      <c r="CE28" s="88">
        <v>12.5</v>
      </c>
      <c r="CF28" s="88">
        <v>11.1</v>
      </c>
      <c r="CG28" s="88">
        <v>10</v>
      </c>
      <c r="CH28" s="88">
        <v>8.5</v>
      </c>
      <c r="CI28" s="88">
        <v>9.3000000000000007</v>
      </c>
      <c r="CJ28" s="88">
        <v>10.5</v>
      </c>
      <c r="CK28" s="88">
        <v>11.5</v>
      </c>
      <c r="CL28" s="88">
        <v>13.2</v>
      </c>
      <c r="CM28" s="88">
        <v>15</v>
      </c>
      <c r="CN28" s="88">
        <v>12.2</v>
      </c>
      <c r="CO28" s="88">
        <f>IF(DATOS_TEMPERATURA_MEDIA45[[#This Row],[Enero]]&gt;$DA$1,0,20-DATOS_TEMPERATURA_MEDIA45[[#This Row],[Enero]])*CO$1</f>
        <v>136.4</v>
      </c>
      <c r="CP28" s="88">
        <f>IF(DATOS_TEMPERATURA_MEDIA45[[#This Row],[Febrero]]&gt;$DA$1,0,20-DATOS_TEMPERATURA_MEDIA45[[#This Row],[Febrero]])*CP$1</f>
        <v>148.40000000000003</v>
      </c>
      <c r="CQ28" s="88">
        <f>IF(DATOS_TEMPERATURA_MEDIA45[[#This Row],[Marzo]]&gt;$DA$1,0,20-DATOS_TEMPERATURA_MEDIA45[[#This Row],[Marzo]])*CQ$1</f>
        <v>182.9</v>
      </c>
      <c r="CR28" s="88">
        <f>IF(DATOS_TEMPERATURA_MEDIA45[[#This Row],[Abril]]&gt;$DA$1,0,20-DATOS_TEMPERATURA_MEDIA45[[#This Row],[Abril]])*CR$1</f>
        <v>225</v>
      </c>
      <c r="CS28" s="88">
        <f>IF(DATOS_TEMPERATURA_MEDIA45[[#This Row],[Mayo]]&gt;$DA$1,0,20-DATOS_TEMPERATURA_MEDIA45[[#This Row],[Mayo]])*CS$1</f>
        <v>275.90000000000003</v>
      </c>
      <c r="CT28" s="88">
        <f>IF(DATOS_TEMPERATURA_MEDIA45[[#This Row],[Junio]]&gt;$DA$1,0,20-DATOS_TEMPERATURA_MEDIA45[[#This Row],[Junio]])*CT$1</f>
        <v>300</v>
      </c>
      <c r="CU28" s="88">
        <f>IF(DATOS_TEMPERATURA_MEDIA45[[#This Row],[Julio]]&gt;$DA$1,0,20-DATOS_TEMPERATURA_MEDIA45[[#This Row],[Julio]])*CU$1</f>
        <v>356.5</v>
      </c>
      <c r="CV28" s="88">
        <f>IF(DATOS_TEMPERATURA_MEDIA45[[#This Row],[Agosto]]&gt;$DA$1,0,20-DATOS_TEMPERATURA_MEDIA45[[#This Row],[Agosto]])*CV$1</f>
        <v>331.7</v>
      </c>
      <c r="CW28" s="88">
        <f>IF(DATOS_TEMPERATURA_MEDIA45[[#This Row],[Septiembre]]&gt;$DA$1,0,20-DATOS_TEMPERATURA_MEDIA45[[#This Row],[Septiembre]])*CW$1</f>
        <v>285</v>
      </c>
      <c r="CX28" s="88">
        <f>IF(DATOS_TEMPERATURA_MEDIA45[[#This Row],[Octubre]]&gt;$DA$1,0,20-DATOS_TEMPERATURA_MEDIA45[[#This Row],[Octubre]])*CX$1</f>
        <v>263.5</v>
      </c>
      <c r="CY28" s="88">
        <f>IF(DATOS_TEMPERATURA_MEDIA45[[#This Row],[Noviembre]]&gt;$DA$1,0,20-DATOS_TEMPERATURA_MEDIA45[[#This Row],[Noviembre]])*CY$1</f>
        <v>204.00000000000003</v>
      </c>
      <c r="CZ28" s="88">
        <f>IF(DATOS_TEMPERATURA_MEDIA45[[#This Row],[Diciembre]]&gt;$DA$1,0,20-DATOS_TEMPERATURA_MEDIA45[[#This Row],[Diciembre]])*CZ$1</f>
        <v>155</v>
      </c>
      <c r="DA28" s="88">
        <f>SUM(DATOS_TEMPERATURA_MEDIA45[[#This Row],[GDC 1]:[GDC 12]])</f>
        <v>2864.3</v>
      </c>
      <c r="DD28" t="s">
        <v>889</v>
      </c>
      <c r="DF28">
        <v>33</v>
      </c>
      <c r="DG28">
        <v>37</v>
      </c>
      <c r="DH28">
        <v>78</v>
      </c>
      <c r="DI28">
        <v>52</v>
      </c>
      <c r="DJ28">
        <f t="shared" si="0"/>
        <v>-33.616666666666667</v>
      </c>
      <c r="DK28">
        <f t="shared" si="1"/>
        <v>-78.86666666666666</v>
      </c>
      <c r="DL28">
        <v>30</v>
      </c>
    </row>
    <row r="29" spans="2:116" x14ac:dyDescent="0.45">
      <c r="B29">
        <v>2</v>
      </c>
      <c r="C29" t="s">
        <v>546</v>
      </c>
      <c r="D29">
        <v>0.06</v>
      </c>
      <c r="H29" t="s">
        <v>11</v>
      </c>
      <c r="P29">
        <v>7</v>
      </c>
      <c r="Q29" s="48">
        <v>0.48</v>
      </c>
      <c r="R29" s="48">
        <v>1.77</v>
      </c>
      <c r="S29" s="48">
        <v>0.54</v>
      </c>
      <c r="T29" s="48">
        <v>2.33</v>
      </c>
      <c r="U29">
        <v>27</v>
      </c>
      <c r="V29" s="49" t="s">
        <v>554</v>
      </c>
      <c r="W29" t="s">
        <v>584</v>
      </c>
      <c r="X29" s="88">
        <v>16.3</v>
      </c>
      <c r="Y29" s="88">
        <v>15.7</v>
      </c>
      <c r="Z29" s="88">
        <v>13.9</v>
      </c>
      <c r="AA29" s="88">
        <v>12</v>
      </c>
      <c r="AB29" s="88">
        <v>10.8</v>
      </c>
      <c r="AC29" s="88">
        <v>9.1999999999999993</v>
      </c>
      <c r="AD29" s="88">
        <v>8.8000000000000007</v>
      </c>
      <c r="AE29" s="88">
        <v>9.1</v>
      </c>
      <c r="AF29" s="88">
        <v>9.6999999999999993</v>
      </c>
      <c r="AG29" s="88">
        <v>11.5</v>
      </c>
      <c r="AH29" s="88">
        <v>13.5</v>
      </c>
      <c r="AI29" s="88">
        <v>15.5</v>
      </c>
      <c r="AJ29" s="88">
        <v>12.2</v>
      </c>
      <c r="AK29" s="88">
        <v>-36.766666666666666</v>
      </c>
      <c r="AL29" s="88">
        <v>-73.05</v>
      </c>
      <c r="AM29" s="88">
        <v>12</v>
      </c>
      <c r="AN29" s="88">
        <f>MAX(DATOS_TEMPERATURA_MEDIA[[#This Row],[Enero]:[Diciembre]])-MIN(DATOS_TEMPERATURA_MEDIA[[#This Row],[Enero]:[Diciembre]])</f>
        <v>7.5</v>
      </c>
      <c r="AP29" s="7" t="s">
        <v>483</v>
      </c>
      <c r="AQ29" s="49" t="s">
        <v>548</v>
      </c>
      <c r="AX29" s="120">
        <v>1.8</v>
      </c>
      <c r="BD29">
        <f>Temperatura_interior_fija-DATOS_TEMPERATURA_MEDIA_MÍNIMA[[#This Row],[Julio]]</f>
        <v>17.2</v>
      </c>
      <c r="BG29" t="s">
        <v>1569</v>
      </c>
      <c r="BH29" s="47">
        <v>21</v>
      </c>
      <c r="BI29" s="47">
        <v>14.6</v>
      </c>
      <c r="BJ29" s="47">
        <v>24.9</v>
      </c>
      <c r="BK29" s="47">
        <v>56</v>
      </c>
      <c r="BL29" s="47">
        <v>178.3</v>
      </c>
      <c r="BM29" s="47">
        <v>218.2</v>
      </c>
      <c r="BN29" s="47">
        <v>222.1</v>
      </c>
      <c r="BO29" s="47">
        <v>153.19999999999999</v>
      </c>
      <c r="BP29" s="47">
        <v>87.6</v>
      </c>
      <c r="BQ29" s="47">
        <v>64.900000000000006</v>
      </c>
      <c r="BR29" s="47">
        <v>41.1</v>
      </c>
      <c r="BS29" s="47">
        <v>28.2</v>
      </c>
      <c r="BT29" s="47">
        <v>1110.0999999999999</v>
      </c>
      <c r="BU29" s="47">
        <v>162.4</v>
      </c>
      <c r="BV29" s="88">
        <f>AVERAGE(Tabla32[[#This Row],[Mayo]:[Septiembre]])/30</f>
        <v>5.7293333333333329</v>
      </c>
      <c r="CA29" s="49" t="s">
        <v>554</v>
      </c>
      <c r="CB29" s="88">
        <v>16.3</v>
      </c>
      <c r="CC29" s="88">
        <v>15.7</v>
      </c>
      <c r="CD29" s="88">
        <v>13.9</v>
      </c>
      <c r="CE29" s="88">
        <v>12</v>
      </c>
      <c r="CF29" s="88">
        <v>10.8</v>
      </c>
      <c r="CG29" s="88">
        <v>9.1999999999999993</v>
      </c>
      <c r="CH29" s="88">
        <v>8.8000000000000007</v>
      </c>
      <c r="CI29" s="88">
        <v>9.1</v>
      </c>
      <c r="CJ29" s="88">
        <v>9.6999999999999993</v>
      </c>
      <c r="CK29" s="88">
        <v>11.5</v>
      </c>
      <c r="CL29" s="88">
        <v>13.5</v>
      </c>
      <c r="CM29" s="88">
        <v>15.5</v>
      </c>
      <c r="CN29" s="88">
        <v>12.2</v>
      </c>
      <c r="CO29" s="88">
        <f>IF(DATOS_TEMPERATURA_MEDIA45[[#This Row],[Enero]]&gt;$DA$1,0,20-DATOS_TEMPERATURA_MEDIA45[[#This Row],[Enero]])*CO$1</f>
        <v>114.69999999999997</v>
      </c>
      <c r="CP29" s="88">
        <f>IF(DATOS_TEMPERATURA_MEDIA45[[#This Row],[Febrero]]&gt;$DA$1,0,20-DATOS_TEMPERATURA_MEDIA45[[#This Row],[Febrero]])*CP$1</f>
        <v>120.40000000000002</v>
      </c>
      <c r="CQ29" s="88">
        <f>IF(DATOS_TEMPERATURA_MEDIA45[[#This Row],[Marzo]]&gt;$DA$1,0,20-DATOS_TEMPERATURA_MEDIA45[[#This Row],[Marzo]])*CQ$1</f>
        <v>189.1</v>
      </c>
      <c r="CR29" s="88">
        <f>IF(DATOS_TEMPERATURA_MEDIA45[[#This Row],[Abril]]&gt;$DA$1,0,20-DATOS_TEMPERATURA_MEDIA45[[#This Row],[Abril]])*CR$1</f>
        <v>240</v>
      </c>
      <c r="CS29" s="88">
        <f>IF(DATOS_TEMPERATURA_MEDIA45[[#This Row],[Mayo]]&gt;$DA$1,0,20-DATOS_TEMPERATURA_MEDIA45[[#This Row],[Mayo]])*CS$1</f>
        <v>285.2</v>
      </c>
      <c r="CT29" s="88">
        <f>IF(DATOS_TEMPERATURA_MEDIA45[[#This Row],[Junio]]&gt;$DA$1,0,20-DATOS_TEMPERATURA_MEDIA45[[#This Row],[Junio]])*CT$1</f>
        <v>324</v>
      </c>
      <c r="CU29" s="88">
        <f>IF(DATOS_TEMPERATURA_MEDIA45[[#This Row],[Julio]]&gt;$DA$1,0,20-DATOS_TEMPERATURA_MEDIA45[[#This Row],[Julio]])*CU$1</f>
        <v>347.2</v>
      </c>
      <c r="CV29" s="88">
        <f>IF(DATOS_TEMPERATURA_MEDIA45[[#This Row],[Agosto]]&gt;$DA$1,0,20-DATOS_TEMPERATURA_MEDIA45[[#This Row],[Agosto]])*CV$1</f>
        <v>337.90000000000003</v>
      </c>
      <c r="CW29" s="88">
        <f>IF(DATOS_TEMPERATURA_MEDIA45[[#This Row],[Septiembre]]&gt;$DA$1,0,20-DATOS_TEMPERATURA_MEDIA45[[#This Row],[Septiembre]])*CW$1</f>
        <v>309</v>
      </c>
      <c r="CX29" s="88">
        <f>IF(DATOS_TEMPERATURA_MEDIA45[[#This Row],[Octubre]]&gt;$DA$1,0,20-DATOS_TEMPERATURA_MEDIA45[[#This Row],[Octubre]])*CX$1</f>
        <v>263.5</v>
      </c>
      <c r="CY29" s="88">
        <f>IF(DATOS_TEMPERATURA_MEDIA45[[#This Row],[Noviembre]]&gt;$DA$1,0,20-DATOS_TEMPERATURA_MEDIA45[[#This Row],[Noviembre]])*CY$1</f>
        <v>195</v>
      </c>
      <c r="CZ29" s="88">
        <f>IF(DATOS_TEMPERATURA_MEDIA45[[#This Row],[Diciembre]]&gt;$DA$1,0,20-DATOS_TEMPERATURA_MEDIA45[[#This Row],[Diciembre]])*CZ$1</f>
        <v>139.5</v>
      </c>
      <c r="DA29" s="88">
        <f>SUM(DATOS_TEMPERATURA_MEDIA45[[#This Row],[GDC 1]:[GDC 12]])</f>
        <v>2865.5</v>
      </c>
      <c r="DD29" t="s">
        <v>1775</v>
      </c>
      <c r="DF29">
        <v>34</v>
      </c>
      <c r="DG29">
        <v>6</v>
      </c>
      <c r="DH29">
        <v>70</v>
      </c>
      <c r="DI29">
        <v>22</v>
      </c>
      <c r="DJ29">
        <f t="shared" si="0"/>
        <v>-34.1</v>
      </c>
      <c r="DK29">
        <f t="shared" si="1"/>
        <v>-70.36666666666666</v>
      </c>
      <c r="DL29">
        <v>2134</v>
      </c>
    </row>
    <row r="30" spans="2:116" x14ac:dyDescent="0.45">
      <c r="B30">
        <v>3</v>
      </c>
      <c r="C30" t="s">
        <v>90</v>
      </c>
      <c r="D30">
        <v>0.2</v>
      </c>
      <c r="H30" t="s">
        <v>549</v>
      </c>
      <c r="P30">
        <v>8</v>
      </c>
      <c r="Q30" s="48">
        <v>0.45</v>
      </c>
      <c r="R30" s="48">
        <v>1.74</v>
      </c>
      <c r="S30" s="48">
        <v>0.5</v>
      </c>
      <c r="T30" s="48">
        <v>2.2200000000000002</v>
      </c>
      <c r="U30">
        <v>28</v>
      </c>
      <c r="V30" s="49" t="s">
        <v>550</v>
      </c>
      <c r="W30" t="s">
        <v>586</v>
      </c>
      <c r="X30" s="88">
        <v>19.100000000000001</v>
      </c>
      <c r="Y30" s="88">
        <v>18.3</v>
      </c>
      <c r="Z30" s="88">
        <v>15.8</v>
      </c>
      <c r="AA30" s="88">
        <v>12.3</v>
      </c>
      <c r="AB30" s="88">
        <v>9.6</v>
      </c>
      <c r="AC30" s="88">
        <v>7.7</v>
      </c>
      <c r="AD30" s="88">
        <v>7.3</v>
      </c>
      <c r="AE30" s="88">
        <v>8.1999999999999993</v>
      </c>
      <c r="AF30" s="88">
        <v>9.6999999999999993</v>
      </c>
      <c r="AG30" s="88">
        <v>11.9</v>
      </c>
      <c r="AH30" s="88">
        <v>14.9</v>
      </c>
      <c r="AI30" s="88">
        <v>17.7</v>
      </c>
      <c r="AJ30" s="88">
        <v>12.7</v>
      </c>
      <c r="AK30" s="88">
        <v>-36.56666666666667</v>
      </c>
      <c r="AL30" s="88">
        <v>-72.033333333333331</v>
      </c>
      <c r="AM30" s="88">
        <v>124</v>
      </c>
      <c r="AN30" s="88">
        <f>MAX(DATOS_TEMPERATURA_MEDIA[[#This Row],[Enero]:[Diciembre]])-MIN(DATOS_TEMPERATURA_MEDIA[[#This Row],[Enero]:[Diciembre]])</f>
        <v>11.8</v>
      </c>
      <c r="AP30" s="7" t="s">
        <v>488</v>
      </c>
      <c r="AQ30" s="7" t="s">
        <v>551</v>
      </c>
      <c r="AX30" s="120">
        <v>2.4</v>
      </c>
      <c r="BD30">
        <f>Temperatura_interior_fija-DATOS_TEMPERATURA_MEDIA_MÍNIMA[[#This Row],[Julio]]</f>
        <v>16.600000000000001</v>
      </c>
      <c r="BG30" t="s">
        <v>1570</v>
      </c>
      <c r="BH30" s="47">
        <v>13.1</v>
      </c>
      <c r="BI30" s="47">
        <v>7.9</v>
      </c>
      <c r="BJ30" s="47">
        <v>14.5</v>
      </c>
      <c r="BK30" s="47">
        <v>27.4</v>
      </c>
      <c r="BL30" s="47">
        <v>85.2</v>
      </c>
      <c r="BM30" s="47">
        <v>117</v>
      </c>
      <c r="BN30" s="47">
        <v>115.7</v>
      </c>
      <c r="BO30" s="47">
        <v>82</v>
      </c>
      <c r="BP30" s="47">
        <v>48.2</v>
      </c>
      <c r="BQ30" s="47">
        <v>38.5</v>
      </c>
      <c r="BR30" s="47">
        <v>25.6</v>
      </c>
      <c r="BS30" s="47">
        <v>17.3</v>
      </c>
      <c r="BT30" s="47">
        <v>592.4</v>
      </c>
      <c r="BU30" s="47">
        <v>108</v>
      </c>
      <c r="BV30" s="88">
        <f>AVERAGE(Tabla32[[#This Row],[Mayo]:[Septiembre]])/30</f>
        <v>2.987333333333333</v>
      </c>
      <c r="CA30" s="49" t="s">
        <v>87</v>
      </c>
      <c r="CB30" s="88">
        <v>15.1</v>
      </c>
      <c r="CC30" s="88">
        <v>14.9</v>
      </c>
      <c r="CD30" s="88">
        <v>13.9</v>
      </c>
      <c r="CE30" s="88">
        <v>12.1</v>
      </c>
      <c r="CF30" s="88">
        <v>10.3</v>
      </c>
      <c r="CG30" s="88">
        <v>8.6999999999999993</v>
      </c>
      <c r="CH30" s="88">
        <v>8.6</v>
      </c>
      <c r="CI30" s="88">
        <v>9.4</v>
      </c>
      <c r="CJ30" s="88">
        <v>11.2</v>
      </c>
      <c r="CK30" s="88">
        <v>12.7</v>
      </c>
      <c r="CL30" s="88">
        <v>14.1</v>
      </c>
      <c r="CM30" s="88">
        <v>14.8</v>
      </c>
      <c r="CN30" s="88">
        <v>12.1</v>
      </c>
      <c r="CO30" s="88">
        <f>IF(DATOS_TEMPERATURA_MEDIA45[[#This Row],[Enero]]&gt;$DA$1,0,20-DATOS_TEMPERATURA_MEDIA45[[#This Row],[Enero]])*CO$1</f>
        <v>151.9</v>
      </c>
      <c r="CP30" s="88">
        <f>IF(DATOS_TEMPERATURA_MEDIA45[[#This Row],[Febrero]]&gt;$DA$1,0,20-DATOS_TEMPERATURA_MEDIA45[[#This Row],[Febrero]])*CP$1</f>
        <v>142.79999999999998</v>
      </c>
      <c r="CQ30" s="88">
        <f>IF(DATOS_TEMPERATURA_MEDIA45[[#This Row],[Marzo]]&gt;$DA$1,0,20-DATOS_TEMPERATURA_MEDIA45[[#This Row],[Marzo]])*CQ$1</f>
        <v>189.1</v>
      </c>
      <c r="CR30" s="88">
        <f>IF(DATOS_TEMPERATURA_MEDIA45[[#This Row],[Abril]]&gt;$DA$1,0,20-DATOS_TEMPERATURA_MEDIA45[[#This Row],[Abril]])*CR$1</f>
        <v>237</v>
      </c>
      <c r="CS30" s="88">
        <f>IF(DATOS_TEMPERATURA_MEDIA45[[#This Row],[Mayo]]&gt;$DA$1,0,20-DATOS_TEMPERATURA_MEDIA45[[#This Row],[Mayo]])*CS$1</f>
        <v>300.7</v>
      </c>
      <c r="CT30" s="88">
        <f>IF(DATOS_TEMPERATURA_MEDIA45[[#This Row],[Junio]]&gt;$DA$1,0,20-DATOS_TEMPERATURA_MEDIA45[[#This Row],[Junio]])*CT$1</f>
        <v>339</v>
      </c>
      <c r="CU30" s="88">
        <f>IF(DATOS_TEMPERATURA_MEDIA45[[#This Row],[Julio]]&gt;$DA$1,0,20-DATOS_TEMPERATURA_MEDIA45[[#This Row],[Julio]])*CU$1</f>
        <v>353.40000000000003</v>
      </c>
      <c r="CV30" s="88">
        <f>IF(DATOS_TEMPERATURA_MEDIA45[[#This Row],[Agosto]]&gt;$DA$1,0,20-DATOS_TEMPERATURA_MEDIA45[[#This Row],[Agosto]])*CV$1</f>
        <v>328.59999999999997</v>
      </c>
      <c r="CW30" s="88">
        <f>IF(DATOS_TEMPERATURA_MEDIA45[[#This Row],[Septiembre]]&gt;$DA$1,0,20-DATOS_TEMPERATURA_MEDIA45[[#This Row],[Septiembre]])*CW$1</f>
        <v>264</v>
      </c>
      <c r="CX30" s="88">
        <f>IF(DATOS_TEMPERATURA_MEDIA45[[#This Row],[Octubre]]&gt;$DA$1,0,20-DATOS_TEMPERATURA_MEDIA45[[#This Row],[Octubre]])*CX$1</f>
        <v>226.3</v>
      </c>
      <c r="CY30" s="88">
        <f>IF(DATOS_TEMPERATURA_MEDIA45[[#This Row],[Noviembre]]&gt;$DA$1,0,20-DATOS_TEMPERATURA_MEDIA45[[#This Row],[Noviembre]])*CY$1</f>
        <v>177</v>
      </c>
      <c r="CZ30" s="88">
        <f>IF(DATOS_TEMPERATURA_MEDIA45[[#This Row],[Diciembre]]&gt;$DA$1,0,20-DATOS_TEMPERATURA_MEDIA45[[#This Row],[Diciembre]])*CZ$1</f>
        <v>161.19999999999999</v>
      </c>
      <c r="DA30" s="88">
        <f>SUM(DATOS_TEMPERATURA_MEDIA45[[#This Row],[GDC 1]:[GDC 12]])</f>
        <v>2871</v>
      </c>
      <c r="DD30" t="s">
        <v>994</v>
      </c>
      <c r="DF30">
        <v>34</v>
      </c>
      <c r="DG30">
        <v>4</v>
      </c>
      <c r="DH30">
        <v>70</v>
      </c>
      <c r="DI30">
        <v>44</v>
      </c>
      <c r="DJ30">
        <f t="shared" si="0"/>
        <v>-34.06666666666667</v>
      </c>
      <c r="DK30">
        <f t="shared" si="1"/>
        <v>-70.733333333333334</v>
      </c>
      <c r="DL30">
        <v>475</v>
      </c>
    </row>
    <row r="31" spans="2:116" x14ac:dyDescent="0.45">
      <c r="B31">
        <v>4</v>
      </c>
      <c r="C31" t="s">
        <v>552</v>
      </c>
      <c r="D31">
        <v>0.3</v>
      </c>
      <c r="H31" t="s">
        <v>553</v>
      </c>
      <c r="P31">
        <v>9</v>
      </c>
      <c r="Q31" s="48">
        <v>0.43</v>
      </c>
      <c r="R31" s="48">
        <v>1.71</v>
      </c>
      <c r="S31" s="48">
        <v>0.47</v>
      </c>
      <c r="T31" s="48">
        <v>2.13</v>
      </c>
      <c r="U31">
        <v>29</v>
      </c>
      <c r="V31" s="49" t="s">
        <v>557</v>
      </c>
      <c r="W31" t="s">
        <v>586</v>
      </c>
      <c r="X31" s="88">
        <v>15.8</v>
      </c>
      <c r="Y31" s="88">
        <v>15.4</v>
      </c>
      <c r="Z31" s="88">
        <v>13.5</v>
      </c>
      <c r="AA31" s="88">
        <v>11</v>
      </c>
      <c r="AB31" s="88">
        <v>9.4</v>
      </c>
      <c r="AC31" s="88">
        <v>7.5</v>
      </c>
      <c r="AD31" s="88">
        <v>7.2</v>
      </c>
      <c r="AE31" s="88">
        <v>7.7</v>
      </c>
      <c r="AF31" s="88">
        <v>8.8000000000000007</v>
      </c>
      <c r="AG31" s="88">
        <v>10.6</v>
      </c>
      <c r="AH31" s="88">
        <v>12.7</v>
      </c>
      <c r="AI31" s="88">
        <v>14.7</v>
      </c>
      <c r="AJ31" s="88">
        <v>11.2</v>
      </c>
      <c r="AK31" s="88">
        <v>-38.75</v>
      </c>
      <c r="AL31" s="88">
        <v>-72.63333333333334</v>
      </c>
      <c r="AM31" s="88">
        <v>114</v>
      </c>
      <c r="AN31" s="88">
        <f>MAX(DATOS_TEMPERATURA_MEDIA[[#This Row],[Enero]:[Diciembre]])-MIN(DATOS_TEMPERATURA_MEDIA[[#This Row],[Enero]:[Diciembre]])</f>
        <v>8.6000000000000014</v>
      </c>
      <c r="AP31" s="7" t="s">
        <v>496</v>
      </c>
      <c r="AQ31" s="49" t="s">
        <v>555</v>
      </c>
      <c r="AX31" s="120">
        <v>4.4000000000000004</v>
      </c>
      <c r="BD31">
        <f>Temperatura_interior_fija-DATOS_TEMPERATURA_MEDIA_MÍNIMA[[#This Row],[Julio]]</f>
        <v>14.6</v>
      </c>
      <c r="BG31" t="s">
        <v>1571</v>
      </c>
      <c r="BH31" s="47">
        <v>20.9</v>
      </c>
      <c r="BI31" s="47">
        <v>15.6</v>
      </c>
      <c r="BJ31" s="47">
        <v>21.9</v>
      </c>
      <c r="BK31" s="47">
        <v>57.2</v>
      </c>
      <c r="BL31" s="47">
        <v>167.5</v>
      </c>
      <c r="BM31" s="47">
        <v>204.1</v>
      </c>
      <c r="BN31" s="47">
        <v>199.1</v>
      </c>
      <c r="BO31" s="47">
        <v>142.30000000000001</v>
      </c>
      <c r="BP31" s="47">
        <v>83.7</v>
      </c>
      <c r="BQ31" s="47">
        <v>62.9</v>
      </c>
      <c r="BR31" s="47">
        <v>40</v>
      </c>
      <c r="BS31" s="47">
        <v>29.9</v>
      </c>
      <c r="BT31" s="47">
        <v>1045.0999999999999</v>
      </c>
      <c r="BU31" s="47">
        <v>146.6</v>
      </c>
      <c r="BV31" s="88">
        <f>AVERAGE(Tabla32[[#This Row],[Mayo]:[Septiembre]])/30</f>
        <v>5.3113333333333337</v>
      </c>
      <c r="CA31" s="49" t="s">
        <v>557</v>
      </c>
      <c r="CB31" s="88">
        <v>15.8</v>
      </c>
      <c r="CC31" s="88">
        <v>15.4</v>
      </c>
      <c r="CD31" s="88">
        <v>13.5</v>
      </c>
      <c r="CE31" s="88">
        <v>11</v>
      </c>
      <c r="CF31" s="88">
        <v>9.4</v>
      </c>
      <c r="CG31" s="88">
        <v>7.5</v>
      </c>
      <c r="CH31" s="88">
        <v>7.2</v>
      </c>
      <c r="CI31" s="88">
        <v>7.7</v>
      </c>
      <c r="CJ31" s="88">
        <v>8.8000000000000007</v>
      </c>
      <c r="CK31" s="88">
        <v>10.6</v>
      </c>
      <c r="CL31" s="88">
        <v>12.7</v>
      </c>
      <c r="CM31" s="88">
        <v>14.7</v>
      </c>
      <c r="CN31" s="88">
        <v>11.2</v>
      </c>
      <c r="CO31" s="88">
        <f>IF(DATOS_TEMPERATURA_MEDIA45[[#This Row],[Enero]]&gt;$DA$1,0,20-DATOS_TEMPERATURA_MEDIA45[[#This Row],[Enero]])*CO$1</f>
        <v>130.19999999999999</v>
      </c>
      <c r="CP31" s="88">
        <f>IF(DATOS_TEMPERATURA_MEDIA45[[#This Row],[Febrero]]&gt;$DA$1,0,20-DATOS_TEMPERATURA_MEDIA45[[#This Row],[Febrero]])*CP$1</f>
        <v>128.79999999999998</v>
      </c>
      <c r="CQ31" s="88">
        <f>IF(DATOS_TEMPERATURA_MEDIA45[[#This Row],[Marzo]]&gt;$DA$1,0,20-DATOS_TEMPERATURA_MEDIA45[[#This Row],[Marzo]])*CQ$1</f>
        <v>201.5</v>
      </c>
      <c r="CR31" s="88">
        <f>IF(DATOS_TEMPERATURA_MEDIA45[[#This Row],[Abril]]&gt;$DA$1,0,20-DATOS_TEMPERATURA_MEDIA45[[#This Row],[Abril]])*CR$1</f>
        <v>270</v>
      </c>
      <c r="CS31" s="88">
        <f>IF(DATOS_TEMPERATURA_MEDIA45[[#This Row],[Mayo]]&gt;$DA$1,0,20-DATOS_TEMPERATURA_MEDIA45[[#This Row],[Mayo]])*CS$1</f>
        <v>328.59999999999997</v>
      </c>
      <c r="CT31" s="88">
        <f>IF(DATOS_TEMPERATURA_MEDIA45[[#This Row],[Junio]]&gt;$DA$1,0,20-DATOS_TEMPERATURA_MEDIA45[[#This Row],[Junio]])*CT$1</f>
        <v>375</v>
      </c>
      <c r="CU31" s="88">
        <f>IF(DATOS_TEMPERATURA_MEDIA45[[#This Row],[Julio]]&gt;$DA$1,0,20-DATOS_TEMPERATURA_MEDIA45[[#This Row],[Julio]])*CU$1</f>
        <v>396.8</v>
      </c>
      <c r="CV31" s="88">
        <f>IF(DATOS_TEMPERATURA_MEDIA45[[#This Row],[Agosto]]&gt;$DA$1,0,20-DATOS_TEMPERATURA_MEDIA45[[#This Row],[Agosto]])*CV$1</f>
        <v>381.3</v>
      </c>
      <c r="CW31" s="88">
        <f>IF(DATOS_TEMPERATURA_MEDIA45[[#This Row],[Septiembre]]&gt;$DA$1,0,20-DATOS_TEMPERATURA_MEDIA45[[#This Row],[Septiembre]])*CW$1</f>
        <v>336</v>
      </c>
      <c r="CX31" s="88">
        <f>IF(DATOS_TEMPERATURA_MEDIA45[[#This Row],[Octubre]]&gt;$DA$1,0,20-DATOS_TEMPERATURA_MEDIA45[[#This Row],[Octubre]])*CX$1</f>
        <v>291.40000000000003</v>
      </c>
      <c r="CY31" s="88">
        <f>IF(DATOS_TEMPERATURA_MEDIA45[[#This Row],[Noviembre]]&gt;$DA$1,0,20-DATOS_TEMPERATURA_MEDIA45[[#This Row],[Noviembre]])*CY$1</f>
        <v>219.00000000000003</v>
      </c>
      <c r="CZ31" s="88">
        <f>IF(DATOS_TEMPERATURA_MEDIA45[[#This Row],[Diciembre]]&gt;$DA$1,0,20-DATOS_TEMPERATURA_MEDIA45[[#This Row],[Diciembre]])*CZ$1</f>
        <v>164.3</v>
      </c>
      <c r="DA31" s="88">
        <f>SUM(DATOS_TEMPERATURA_MEDIA45[[#This Row],[GDC 1]:[GDC 12]])</f>
        <v>3222.9</v>
      </c>
      <c r="DD31" t="s">
        <v>530</v>
      </c>
      <c r="DF31">
        <v>34</v>
      </c>
      <c r="DG31">
        <v>58</v>
      </c>
      <c r="DH31">
        <v>71</v>
      </c>
      <c r="DI31">
        <v>5</v>
      </c>
      <c r="DJ31">
        <f t="shared" si="0"/>
        <v>-34.966666666666669</v>
      </c>
      <c r="DK31">
        <f t="shared" si="1"/>
        <v>-71.083333333333329</v>
      </c>
      <c r="DL31">
        <v>294</v>
      </c>
    </row>
    <row r="32" spans="2:116" x14ac:dyDescent="0.45">
      <c r="B32">
        <v>5</v>
      </c>
      <c r="C32" t="s">
        <v>556</v>
      </c>
      <c r="D32">
        <v>0.3</v>
      </c>
      <c r="P32">
        <v>10</v>
      </c>
      <c r="Q32" s="48">
        <v>0.41</v>
      </c>
      <c r="R32" s="48">
        <v>1.69</v>
      </c>
      <c r="S32" s="48">
        <v>0.44</v>
      </c>
      <c r="T32" s="48">
        <v>2.0699999999999998</v>
      </c>
      <c r="U32">
        <v>30</v>
      </c>
      <c r="V32" s="49" t="s">
        <v>559</v>
      </c>
      <c r="W32" t="s">
        <v>588</v>
      </c>
      <c r="X32" s="88">
        <v>15.8</v>
      </c>
      <c r="Y32" s="88">
        <v>15.2</v>
      </c>
      <c r="Z32" s="88">
        <v>13.2</v>
      </c>
      <c r="AA32" s="88">
        <v>10.5</v>
      </c>
      <c r="AB32" s="88">
        <v>9.3000000000000007</v>
      </c>
      <c r="AC32" s="88">
        <v>7.4</v>
      </c>
      <c r="AD32" s="88">
        <v>7</v>
      </c>
      <c r="AE32" s="88">
        <v>7.4</v>
      </c>
      <c r="AF32" s="88">
        <v>8.6</v>
      </c>
      <c r="AG32" s="88">
        <v>10.4</v>
      </c>
      <c r="AH32" s="88">
        <v>12.7</v>
      </c>
      <c r="AI32" s="88">
        <v>14.9</v>
      </c>
      <c r="AJ32" s="88">
        <v>11</v>
      </c>
      <c r="AK32" s="88">
        <v>-39.633333333333333</v>
      </c>
      <c r="AL32" s="88">
        <v>-73.083333333333329</v>
      </c>
      <c r="AM32" s="88">
        <v>19</v>
      </c>
      <c r="AN32" s="88">
        <f>MAX(DATOS_TEMPERATURA_MEDIA[[#This Row],[Enero]:[Diciembre]])-MIN(DATOS_TEMPERATURA_MEDIA[[#This Row],[Enero]:[Diciembre]])</f>
        <v>8.8000000000000007</v>
      </c>
      <c r="AP32" s="7" t="s">
        <v>506</v>
      </c>
      <c r="AQ32" s="49" t="s">
        <v>558</v>
      </c>
      <c r="AX32" s="120">
        <v>3.9</v>
      </c>
      <c r="BD32">
        <f>Temperatura_interior_fija-DATOS_TEMPERATURA_MEDIA_MÍNIMA[[#This Row],[Julio]]</f>
        <v>15.1</v>
      </c>
      <c r="BG32" t="s">
        <v>1572</v>
      </c>
      <c r="BH32" s="47">
        <v>25.4</v>
      </c>
      <c r="BI32" s="47">
        <v>23.3</v>
      </c>
      <c r="BJ32" s="47">
        <v>27.2</v>
      </c>
      <c r="BK32" s="47">
        <v>73.5</v>
      </c>
      <c r="BL32" s="47">
        <v>222.4</v>
      </c>
      <c r="BM32" s="47">
        <v>283.89999999999998</v>
      </c>
      <c r="BN32" s="47">
        <v>270.60000000000002</v>
      </c>
      <c r="BO32" s="47">
        <v>194.5</v>
      </c>
      <c r="BP32" s="47">
        <v>119.8</v>
      </c>
      <c r="BQ32" s="47">
        <v>89.9</v>
      </c>
      <c r="BR32" s="47">
        <v>57.4</v>
      </c>
      <c r="BS32" s="47">
        <v>34.4</v>
      </c>
      <c r="BT32" s="47">
        <v>1422.3</v>
      </c>
      <c r="BU32" s="47">
        <v>189.5</v>
      </c>
      <c r="BV32" s="88">
        <f>AVERAGE(Tabla32[[#This Row],[Mayo]:[Septiembre]])/30</f>
        <v>7.2746666666666666</v>
      </c>
      <c r="CA32" s="49" t="s">
        <v>559</v>
      </c>
      <c r="CB32" s="88">
        <v>15.8</v>
      </c>
      <c r="CC32" s="88">
        <v>15.2</v>
      </c>
      <c r="CD32" s="88">
        <v>13.2</v>
      </c>
      <c r="CE32" s="88">
        <v>10.5</v>
      </c>
      <c r="CF32" s="88">
        <v>9.3000000000000007</v>
      </c>
      <c r="CG32" s="88">
        <v>7.4</v>
      </c>
      <c r="CH32" s="88">
        <v>7</v>
      </c>
      <c r="CI32" s="88">
        <v>7.4</v>
      </c>
      <c r="CJ32" s="88">
        <v>8.6</v>
      </c>
      <c r="CK32" s="88">
        <v>10.4</v>
      </c>
      <c r="CL32" s="88">
        <v>12.7</v>
      </c>
      <c r="CM32" s="88">
        <v>14.9</v>
      </c>
      <c r="CN32" s="88">
        <v>11</v>
      </c>
      <c r="CO32" s="88">
        <f>IF(DATOS_TEMPERATURA_MEDIA45[[#This Row],[Enero]]&gt;$DA$1,0,20-DATOS_TEMPERATURA_MEDIA45[[#This Row],[Enero]])*CO$1</f>
        <v>130.19999999999999</v>
      </c>
      <c r="CP32" s="88">
        <f>IF(DATOS_TEMPERATURA_MEDIA45[[#This Row],[Febrero]]&gt;$DA$1,0,20-DATOS_TEMPERATURA_MEDIA45[[#This Row],[Febrero]])*CP$1</f>
        <v>134.40000000000003</v>
      </c>
      <c r="CQ32" s="88">
        <f>IF(DATOS_TEMPERATURA_MEDIA45[[#This Row],[Marzo]]&gt;$DA$1,0,20-DATOS_TEMPERATURA_MEDIA45[[#This Row],[Marzo]])*CQ$1</f>
        <v>210.8</v>
      </c>
      <c r="CR32" s="88">
        <f>IF(DATOS_TEMPERATURA_MEDIA45[[#This Row],[Abril]]&gt;$DA$1,0,20-DATOS_TEMPERATURA_MEDIA45[[#This Row],[Abril]])*CR$1</f>
        <v>285</v>
      </c>
      <c r="CS32" s="88">
        <f>IF(DATOS_TEMPERATURA_MEDIA45[[#This Row],[Mayo]]&gt;$DA$1,0,20-DATOS_TEMPERATURA_MEDIA45[[#This Row],[Mayo]])*CS$1</f>
        <v>331.7</v>
      </c>
      <c r="CT32" s="88">
        <f>IF(DATOS_TEMPERATURA_MEDIA45[[#This Row],[Junio]]&gt;$DA$1,0,20-DATOS_TEMPERATURA_MEDIA45[[#This Row],[Junio]])*CT$1</f>
        <v>378</v>
      </c>
      <c r="CU32" s="88">
        <f>IF(DATOS_TEMPERATURA_MEDIA45[[#This Row],[Julio]]&gt;$DA$1,0,20-DATOS_TEMPERATURA_MEDIA45[[#This Row],[Julio]])*CU$1</f>
        <v>403</v>
      </c>
      <c r="CV32" s="88">
        <f>IF(DATOS_TEMPERATURA_MEDIA45[[#This Row],[Agosto]]&gt;$DA$1,0,20-DATOS_TEMPERATURA_MEDIA45[[#This Row],[Agosto]])*CV$1</f>
        <v>390.59999999999997</v>
      </c>
      <c r="CW32" s="88">
        <f>IF(DATOS_TEMPERATURA_MEDIA45[[#This Row],[Septiembre]]&gt;$DA$1,0,20-DATOS_TEMPERATURA_MEDIA45[[#This Row],[Septiembre]])*CW$1</f>
        <v>342</v>
      </c>
      <c r="CX32" s="88">
        <f>IF(DATOS_TEMPERATURA_MEDIA45[[#This Row],[Octubre]]&gt;$DA$1,0,20-DATOS_TEMPERATURA_MEDIA45[[#This Row],[Octubre]])*CX$1</f>
        <v>297.59999999999997</v>
      </c>
      <c r="CY32" s="88">
        <f>IF(DATOS_TEMPERATURA_MEDIA45[[#This Row],[Noviembre]]&gt;$DA$1,0,20-DATOS_TEMPERATURA_MEDIA45[[#This Row],[Noviembre]])*CY$1</f>
        <v>219.00000000000003</v>
      </c>
      <c r="CZ32" s="88">
        <f>IF(DATOS_TEMPERATURA_MEDIA45[[#This Row],[Diciembre]]&gt;$DA$1,0,20-DATOS_TEMPERATURA_MEDIA45[[#This Row],[Diciembre]])*CZ$1</f>
        <v>158.1</v>
      </c>
      <c r="DA32" s="88">
        <f>SUM(DATOS_TEMPERATURA_MEDIA45[[#This Row],[GDC 1]:[GDC 12]])</f>
        <v>3280.4</v>
      </c>
      <c r="DD32" t="s">
        <v>869</v>
      </c>
      <c r="DF32">
        <v>35</v>
      </c>
      <c r="DG32">
        <v>20</v>
      </c>
      <c r="DH32">
        <v>72</v>
      </c>
      <c r="DI32">
        <v>26</v>
      </c>
      <c r="DJ32">
        <f t="shared" si="0"/>
        <v>-35.333333333333336</v>
      </c>
      <c r="DK32">
        <f t="shared" si="1"/>
        <v>-72.433333333333337</v>
      </c>
      <c r="DL32">
        <v>5</v>
      </c>
    </row>
    <row r="33" spans="2:116" x14ac:dyDescent="0.45">
      <c r="H33" t="s">
        <v>14</v>
      </c>
      <c r="P33">
        <v>11</v>
      </c>
      <c r="Q33" s="48">
        <v>0.39</v>
      </c>
      <c r="R33" s="48">
        <v>1.67</v>
      </c>
      <c r="S33" s="48">
        <v>0.41</v>
      </c>
      <c r="T33" s="48">
        <v>2.0099999999999998</v>
      </c>
      <c r="U33">
        <v>31</v>
      </c>
      <c r="V33" s="49" t="s">
        <v>561</v>
      </c>
      <c r="W33" t="s">
        <v>588</v>
      </c>
      <c r="X33" s="88">
        <v>15.2</v>
      </c>
      <c r="Y33" s="88">
        <v>14.5</v>
      </c>
      <c r="Z33" s="88">
        <v>12.6</v>
      </c>
      <c r="AA33" s="88">
        <v>10.199999999999999</v>
      </c>
      <c r="AB33" s="88">
        <v>8.6999999999999993</v>
      </c>
      <c r="AC33" s="88">
        <v>6.7</v>
      </c>
      <c r="AD33" s="88">
        <v>6.5</v>
      </c>
      <c r="AE33" s="88">
        <v>7.1</v>
      </c>
      <c r="AF33" s="88">
        <v>8.1999999999999993</v>
      </c>
      <c r="AG33" s="88">
        <v>10.1</v>
      </c>
      <c r="AH33" s="88">
        <v>12.3</v>
      </c>
      <c r="AI33" s="88">
        <v>14.3</v>
      </c>
      <c r="AJ33" s="88">
        <v>10.5</v>
      </c>
      <c r="AK33" s="88">
        <v>-40.6</v>
      </c>
      <c r="AL33" s="88">
        <v>-73.066666666666663</v>
      </c>
      <c r="AM33" s="88">
        <v>65</v>
      </c>
      <c r="AN33" s="88">
        <f>MAX(DATOS_TEMPERATURA_MEDIA[[#This Row],[Enero]:[Diciembre]])-MIN(DATOS_TEMPERATURA_MEDIA[[#This Row],[Enero]:[Diciembre]])</f>
        <v>8.6999999999999993</v>
      </c>
      <c r="AP33" s="118" t="s">
        <v>516</v>
      </c>
      <c r="AQ33" s="49" t="s">
        <v>560</v>
      </c>
      <c r="AX33" s="120">
        <v>3.4</v>
      </c>
      <c r="BD33">
        <f>Temperatura_interior_fija-DATOS_TEMPERATURA_MEDIA_MÍNIMA[[#This Row],[Julio]]</f>
        <v>15.6</v>
      </c>
      <c r="BG33" t="s">
        <v>1573</v>
      </c>
      <c r="BH33" s="47">
        <v>22.4</v>
      </c>
      <c r="BI33" s="47">
        <v>28</v>
      </c>
      <c r="BJ33" s="47">
        <v>20.7</v>
      </c>
      <c r="BK33" s="47">
        <v>63.8</v>
      </c>
      <c r="BL33" s="47">
        <v>227.1</v>
      </c>
      <c r="BM33" s="47">
        <v>306.10000000000002</v>
      </c>
      <c r="BN33" s="47">
        <v>305.39999999999998</v>
      </c>
      <c r="BO33" s="47">
        <v>214.4</v>
      </c>
      <c r="BP33" s="47">
        <v>108.5</v>
      </c>
      <c r="BQ33" s="47">
        <v>81</v>
      </c>
      <c r="BR33" s="47">
        <v>47.5</v>
      </c>
      <c r="BS33" s="47">
        <v>37.299999999999997</v>
      </c>
      <c r="BT33" s="47">
        <v>1462.2</v>
      </c>
      <c r="BU33" s="47">
        <v>126.4</v>
      </c>
      <c r="BV33" s="88">
        <f>AVERAGE(Tabla32[[#This Row],[Mayo]:[Septiembre]])/30</f>
        <v>7.7433333333333341</v>
      </c>
      <c r="CA33" s="49" t="s">
        <v>561</v>
      </c>
      <c r="CB33" s="88">
        <v>15.2</v>
      </c>
      <c r="CC33" s="88">
        <v>14.5</v>
      </c>
      <c r="CD33" s="88">
        <v>12.6</v>
      </c>
      <c r="CE33" s="88">
        <v>10.199999999999999</v>
      </c>
      <c r="CF33" s="88">
        <v>8.6999999999999993</v>
      </c>
      <c r="CG33" s="88">
        <v>6.7</v>
      </c>
      <c r="CH33" s="88">
        <v>6.5</v>
      </c>
      <c r="CI33" s="88">
        <v>7.1</v>
      </c>
      <c r="CJ33" s="88">
        <v>8.1999999999999993</v>
      </c>
      <c r="CK33" s="88">
        <v>10.1</v>
      </c>
      <c r="CL33" s="88">
        <v>12.3</v>
      </c>
      <c r="CM33" s="88">
        <v>14.3</v>
      </c>
      <c r="CN33" s="88">
        <v>10.5</v>
      </c>
      <c r="CO33" s="88">
        <f>IF(DATOS_TEMPERATURA_MEDIA45[[#This Row],[Enero]]&gt;$DA$1,0,20-DATOS_TEMPERATURA_MEDIA45[[#This Row],[Enero]])*CO$1</f>
        <v>148.80000000000001</v>
      </c>
      <c r="CP33" s="88">
        <f>IF(DATOS_TEMPERATURA_MEDIA45[[#This Row],[Febrero]]&gt;$DA$1,0,20-DATOS_TEMPERATURA_MEDIA45[[#This Row],[Febrero]])*CP$1</f>
        <v>154</v>
      </c>
      <c r="CQ33" s="88">
        <f>IF(DATOS_TEMPERATURA_MEDIA45[[#This Row],[Marzo]]&gt;$DA$1,0,20-DATOS_TEMPERATURA_MEDIA45[[#This Row],[Marzo]])*CQ$1</f>
        <v>229.4</v>
      </c>
      <c r="CR33" s="88">
        <f>IF(DATOS_TEMPERATURA_MEDIA45[[#This Row],[Abril]]&gt;$DA$1,0,20-DATOS_TEMPERATURA_MEDIA45[[#This Row],[Abril]])*CR$1</f>
        <v>294</v>
      </c>
      <c r="CS33" s="88">
        <f>IF(DATOS_TEMPERATURA_MEDIA45[[#This Row],[Mayo]]&gt;$DA$1,0,20-DATOS_TEMPERATURA_MEDIA45[[#This Row],[Mayo]])*CS$1</f>
        <v>350.3</v>
      </c>
      <c r="CT33" s="88">
        <f>IF(DATOS_TEMPERATURA_MEDIA45[[#This Row],[Junio]]&gt;$DA$1,0,20-DATOS_TEMPERATURA_MEDIA45[[#This Row],[Junio]])*CT$1</f>
        <v>399</v>
      </c>
      <c r="CU33" s="88">
        <f>IF(DATOS_TEMPERATURA_MEDIA45[[#This Row],[Julio]]&gt;$DA$1,0,20-DATOS_TEMPERATURA_MEDIA45[[#This Row],[Julio]])*CU$1</f>
        <v>418.5</v>
      </c>
      <c r="CV33" s="88">
        <f>IF(DATOS_TEMPERATURA_MEDIA45[[#This Row],[Agosto]]&gt;$DA$1,0,20-DATOS_TEMPERATURA_MEDIA45[[#This Row],[Agosto]])*CV$1</f>
        <v>399.90000000000003</v>
      </c>
      <c r="CW33" s="88">
        <f>IF(DATOS_TEMPERATURA_MEDIA45[[#This Row],[Septiembre]]&gt;$DA$1,0,20-DATOS_TEMPERATURA_MEDIA45[[#This Row],[Septiembre]])*CW$1</f>
        <v>354</v>
      </c>
      <c r="CX33" s="88">
        <f>IF(DATOS_TEMPERATURA_MEDIA45[[#This Row],[Octubre]]&gt;$DA$1,0,20-DATOS_TEMPERATURA_MEDIA45[[#This Row],[Octubre]])*CX$1</f>
        <v>306.90000000000003</v>
      </c>
      <c r="CY33" s="88">
        <f>IF(DATOS_TEMPERATURA_MEDIA45[[#This Row],[Noviembre]]&gt;$DA$1,0,20-DATOS_TEMPERATURA_MEDIA45[[#This Row],[Noviembre]])*CY$1</f>
        <v>230.99999999999997</v>
      </c>
      <c r="CZ33" s="88">
        <f>IF(DATOS_TEMPERATURA_MEDIA45[[#This Row],[Diciembre]]&gt;$DA$1,0,20-DATOS_TEMPERATURA_MEDIA45[[#This Row],[Diciembre]])*CZ$1</f>
        <v>176.7</v>
      </c>
      <c r="DA33" s="88">
        <f>SUM(DATOS_TEMPERATURA_MEDIA45[[#This Row],[GDC 1]:[GDC 12]])</f>
        <v>3462.5</v>
      </c>
      <c r="DD33" t="s">
        <v>536</v>
      </c>
      <c r="DF33">
        <v>35</v>
      </c>
      <c r="DG33">
        <v>22</v>
      </c>
      <c r="DH33">
        <v>71</v>
      </c>
      <c r="DI33">
        <v>28</v>
      </c>
      <c r="DJ33">
        <f t="shared" si="0"/>
        <v>-35.366666666666667</v>
      </c>
      <c r="DK33">
        <f t="shared" si="1"/>
        <v>-71.466666666666669</v>
      </c>
      <c r="DL33">
        <v>113</v>
      </c>
    </row>
    <row r="34" spans="2:116" x14ac:dyDescent="0.45">
      <c r="P34">
        <v>12</v>
      </c>
      <c r="Q34" s="48">
        <v>0.37</v>
      </c>
      <c r="R34" s="48">
        <v>1.65</v>
      </c>
      <c r="S34" s="48">
        <v>0.39</v>
      </c>
      <c r="T34" s="48">
        <v>1.97</v>
      </c>
      <c r="U34">
        <v>32</v>
      </c>
      <c r="V34" s="49" t="s">
        <v>566</v>
      </c>
      <c r="W34" t="s">
        <v>588</v>
      </c>
      <c r="X34" s="88">
        <v>14.3</v>
      </c>
      <c r="Y34" s="88">
        <v>13.6</v>
      </c>
      <c r="Z34" s="88">
        <v>12.1</v>
      </c>
      <c r="AA34" s="88">
        <v>10.1</v>
      </c>
      <c r="AB34" s="88">
        <v>8.8000000000000007</v>
      </c>
      <c r="AC34" s="88">
        <v>6.7</v>
      </c>
      <c r="AD34" s="88">
        <v>6.6</v>
      </c>
      <c r="AE34" s="88">
        <v>6.8</v>
      </c>
      <c r="AF34" s="88">
        <v>7.8</v>
      </c>
      <c r="AG34" s="88">
        <v>9.6</v>
      </c>
      <c r="AH34" s="88">
        <v>11.6</v>
      </c>
      <c r="AI34" s="88">
        <v>13.4</v>
      </c>
      <c r="AJ34" s="88">
        <v>10.1</v>
      </c>
      <c r="AK34" s="88">
        <v>-41.466666666666669</v>
      </c>
      <c r="AL34" s="88">
        <v>-72.933333333333337</v>
      </c>
      <c r="AM34" s="88">
        <v>90</v>
      </c>
      <c r="AN34" s="88">
        <f>MAX(DATOS_TEMPERATURA_MEDIA[[#This Row],[Enero]:[Diciembre]])-MIN(DATOS_TEMPERATURA_MEDIA[[#This Row],[Enero]:[Diciembre]])</f>
        <v>7.7000000000000011</v>
      </c>
      <c r="AP34" s="119" t="s">
        <v>562</v>
      </c>
      <c r="AQ34" s="49" t="s">
        <v>563</v>
      </c>
      <c r="AX34" s="120">
        <v>2.6</v>
      </c>
      <c r="BD34">
        <f>Temperatura_interior_fija-DATOS_TEMPERATURA_MEDIA_MÍNIMA[[#This Row],[Julio]]</f>
        <v>16.399999999999999</v>
      </c>
      <c r="BG34" t="s">
        <v>1574</v>
      </c>
      <c r="BH34" s="47">
        <v>17.7</v>
      </c>
      <c r="BI34" s="47">
        <v>12.9</v>
      </c>
      <c r="BJ34" s="47">
        <v>20.5</v>
      </c>
      <c r="BK34" s="47">
        <v>50.8</v>
      </c>
      <c r="BL34" s="47">
        <v>162.80000000000001</v>
      </c>
      <c r="BM34" s="47">
        <v>190.7</v>
      </c>
      <c r="BN34" s="47">
        <v>195</v>
      </c>
      <c r="BO34" s="47">
        <v>129.69999999999999</v>
      </c>
      <c r="BP34" s="47">
        <v>78.8</v>
      </c>
      <c r="BQ34" s="47">
        <v>232.6</v>
      </c>
      <c r="BR34" s="47">
        <v>39.5</v>
      </c>
      <c r="BS34" s="47">
        <v>28.6</v>
      </c>
      <c r="BT34" s="47">
        <v>1159.5999999999999</v>
      </c>
      <c r="BU34" s="47">
        <v>145.80000000000001</v>
      </c>
      <c r="BV34" s="88">
        <f>AVERAGE(Tabla32[[#This Row],[Mayo]:[Septiembre]])/30</f>
        <v>5.0466666666666669</v>
      </c>
      <c r="CA34" s="49" t="s">
        <v>515</v>
      </c>
      <c r="CB34" s="88">
        <v>15.8</v>
      </c>
      <c r="CC34" s="88">
        <v>15.6</v>
      </c>
      <c r="CD34" s="88">
        <v>14.3</v>
      </c>
      <c r="CE34" s="88">
        <v>11.9</v>
      </c>
      <c r="CF34" s="88">
        <v>8.3000000000000007</v>
      </c>
      <c r="CG34" s="88">
        <v>5.7</v>
      </c>
      <c r="CH34" s="88">
        <v>4.8</v>
      </c>
      <c r="CI34" s="88">
        <v>5.5</v>
      </c>
      <c r="CJ34" s="88">
        <v>7.1</v>
      </c>
      <c r="CK34" s="88">
        <v>9.4</v>
      </c>
      <c r="CL34" s="88">
        <v>12.1</v>
      </c>
      <c r="CM34" s="88">
        <v>14.5</v>
      </c>
      <c r="CN34" s="88">
        <v>10.4</v>
      </c>
      <c r="CO34" s="88">
        <f>IF(DATOS_TEMPERATURA_MEDIA45[[#This Row],[Enero]]&gt;$DA$1,0,20-DATOS_TEMPERATURA_MEDIA45[[#This Row],[Enero]])*CO$1</f>
        <v>130.19999999999999</v>
      </c>
      <c r="CP34" s="88">
        <f>IF(DATOS_TEMPERATURA_MEDIA45[[#This Row],[Febrero]]&gt;$DA$1,0,20-DATOS_TEMPERATURA_MEDIA45[[#This Row],[Febrero]])*CP$1</f>
        <v>123.20000000000002</v>
      </c>
      <c r="CQ34" s="88">
        <f>IF(DATOS_TEMPERATURA_MEDIA45[[#This Row],[Marzo]]&gt;$DA$1,0,20-DATOS_TEMPERATURA_MEDIA45[[#This Row],[Marzo]])*CQ$1</f>
        <v>176.7</v>
      </c>
      <c r="CR34" s="88">
        <f>IF(DATOS_TEMPERATURA_MEDIA45[[#This Row],[Abril]]&gt;$DA$1,0,20-DATOS_TEMPERATURA_MEDIA45[[#This Row],[Abril]])*CR$1</f>
        <v>243</v>
      </c>
      <c r="CS34" s="88">
        <f>IF(DATOS_TEMPERATURA_MEDIA45[[#This Row],[Mayo]]&gt;$DA$1,0,20-DATOS_TEMPERATURA_MEDIA45[[#This Row],[Mayo]])*CS$1</f>
        <v>362.7</v>
      </c>
      <c r="CT34" s="88">
        <f>IF(DATOS_TEMPERATURA_MEDIA45[[#This Row],[Junio]]&gt;$DA$1,0,20-DATOS_TEMPERATURA_MEDIA45[[#This Row],[Junio]])*CT$1</f>
        <v>429</v>
      </c>
      <c r="CU34" s="88">
        <f>IF(DATOS_TEMPERATURA_MEDIA45[[#This Row],[Julio]]&gt;$DA$1,0,20-DATOS_TEMPERATURA_MEDIA45[[#This Row],[Julio]])*CU$1</f>
        <v>471.2</v>
      </c>
      <c r="CV34" s="88">
        <f>IF(DATOS_TEMPERATURA_MEDIA45[[#This Row],[Agosto]]&gt;$DA$1,0,20-DATOS_TEMPERATURA_MEDIA45[[#This Row],[Agosto]])*CV$1</f>
        <v>449.5</v>
      </c>
      <c r="CW34" s="88">
        <f>IF(DATOS_TEMPERATURA_MEDIA45[[#This Row],[Septiembre]]&gt;$DA$1,0,20-DATOS_TEMPERATURA_MEDIA45[[#This Row],[Septiembre]])*CW$1</f>
        <v>387</v>
      </c>
      <c r="CX34" s="88">
        <f>IF(DATOS_TEMPERATURA_MEDIA45[[#This Row],[Octubre]]&gt;$DA$1,0,20-DATOS_TEMPERATURA_MEDIA45[[#This Row],[Octubre]])*CX$1</f>
        <v>328.59999999999997</v>
      </c>
      <c r="CY34" s="88">
        <f>IF(DATOS_TEMPERATURA_MEDIA45[[#This Row],[Noviembre]]&gt;$DA$1,0,20-DATOS_TEMPERATURA_MEDIA45[[#This Row],[Noviembre]])*CY$1</f>
        <v>237</v>
      </c>
      <c r="CZ34" s="88">
        <f>IF(DATOS_TEMPERATURA_MEDIA45[[#This Row],[Diciembre]]&gt;$DA$1,0,20-DATOS_TEMPERATURA_MEDIA45[[#This Row],[Diciembre]])*CZ$1</f>
        <v>170.5</v>
      </c>
      <c r="DA34" s="88">
        <f>SUM(DATOS_TEMPERATURA_MEDIA45[[#This Row],[GDC 1]:[GDC 12]])</f>
        <v>3508.6</v>
      </c>
      <c r="DD34" t="s">
        <v>541</v>
      </c>
      <c r="DF34">
        <v>35</v>
      </c>
      <c r="DG34">
        <v>43</v>
      </c>
      <c r="DH34">
        <v>72</v>
      </c>
      <c r="DI34">
        <v>32</v>
      </c>
      <c r="DJ34">
        <f t="shared" si="0"/>
        <v>-35.716666666666669</v>
      </c>
      <c r="DK34">
        <f t="shared" si="1"/>
        <v>-72.533333333333331</v>
      </c>
      <c r="DL34">
        <v>59</v>
      </c>
    </row>
    <row r="35" spans="2:116" x14ac:dyDescent="0.45">
      <c r="B35" t="s">
        <v>564</v>
      </c>
      <c r="C35" s="46" t="s">
        <v>82</v>
      </c>
      <c r="D35" t="s">
        <v>426</v>
      </c>
      <c r="E35" t="s">
        <v>432</v>
      </c>
      <c r="H35" s="1" t="s">
        <v>565</v>
      </c>
      <c r="I35" s="1" t="s">
        <v>1376</v>
      </c>
      <c r="J35" s="1" t="s">
        <v>1375</v>
      </c>
      <c r="P35">
        <v>13</v>
      </c>
      <c r="Q35" s="48">
        <v>0.36</v>
      </c>
      <c r="R35" s="48">
        <v>1.64</v>
      </c>
      <c r="S35" s="48">
        <v>0.38</v>
      </c>
      <c r="T35" s="48">
        <v>1.93</v>
      </c>
      <c r="U35">
        <v>33</v>
      </c>
      <c r="V35" s="49" t="s">
        <v>515</v>
      </c>
      <c r="W35" t="s">
        <v>591</v>
      </c>
      <c r="X35" s="88">
        <v>15.8</v>
      </c>
      <c r="Y35" s="88">
        <v>15.6</v>
      </c>
      <c r="Z35" s="88">
        <v>14.3</v>
      </c>
      <c r="AA35" s="88">
        <v>11.9</v>
      </c>
      <c r="AB35" s="88">
        <v>8.3000000000000007</v>
      </c>
      <c r="AC35" s="88">
        <v>5.7</v>
      </c>
      <c r="AD35" s="88">
        <v>4.8</v>
      </c>
      <c r="AE35" s="88">
        <v>5.5</v>
      </c>
      <c r="AF35" s="88">
        <v>7.1</v>
      </c>
      <c r="AG35" s="88">
        <v>9.4</v>
      </c>
      <c r="AH35" s="88">
        <v>12.1</v>
      </c>
      <c r="AI35" s="88">
        <v>14.5</v>
      </c>
      <c r="AJ35" s="88">
        <v>10.4</v>
      </c>
      <c r="AK35" s="88">
        <v>-34.1</v>
      </c>
      <c r="AL35" s="88">
        <v>-70.36666666666666</v>
      </c>
      <c r="AM35" s="88">
        <v>2134</v>
      </c>
      <c r="AN35" s="88">
        <f>MAX(DATOS_TEMPERATURA_MEDIA[[#This Row],[Enero]:[Diciembre]])-MIN(DATOS_TEMPERATURA_MEDIA[[#This Row],[Enero]:[Diciembre]])</f>
        <v>11</v>
      </c>
      <c r="AP35" s="119" t="s">
        <v>567</v>
      </c>
      <c r="AQ35" s="49" t="s">
        <v>568</v>
      </c>
      <c r="AX35" s="120">
        <v>2.8</v>
      </c>
      <c r="BD35">
        <f>Temperatura_interior_fija-DATOS_TEMPERATURA_MEDIA_MÍNIMA[[#This Row],[Julio]]</f>
        <v>16.2</v>
      </c>
      <c r="BG35" t="s">
        <v>1575</v>
      </c>
      <c r="BH35" s="47">
        <v>23</v>
      </c>
      <c r="BI35" s="47">
        <v>17.100000000000001</v>
      </c>
      <c r="BJ35" s="47">
        <v>27.7</v>
      </c>
      <c r="BK35" s="47">
        <v>68.400000000000006</v>
      </c>
      <c r="BL35" s="47">
        <v>209.4</v>
      </c>
      <c r="BM35" s="47">
        <v>235.8</v>
      </c>
      <c r="BN35" s="47">
        <v>241.7</v>
      </c>
      <c r="BO35" s="47">
        <v>169.2</v>
      </c>
      <c r="BP35" s="47">
        <v>89.7</v>
      </c>
      <c r="BQ35" s="47">
        <v>61.1</v>
      </c>
      <c r="BR35" s="47">
        <v>46.6</v>
      </c>
      <c r="BS35" s="47">
        <v>31.4</v>
      </c>
      <c r="BT35" s="47">
        <v>1221.0999999999999</v>
      </c>
      <c r="BU35" s="47">
        <v>165</v>
      </c>
      <c r="BV35" s="88">
        <f>AVERAGE(Tabla32[[#This Row],[Mayo]:[Septiembre]])/30</f>
        <v>6.3053333333333343</v>
      </c>
      <c r="CA35" s="49" t="s">
        <v>566</v>
      </c>
      <c r="CB35" s="88">
        <v>14.3</v>
      </c>
      <c r="CC35" s="88">
        <v>13.6</v>
      </c>
      <c r="CD35" s="88">
        <v>12.1</v>
      </c>
      <c r="CE35" s="88">
        <v>10.1</v>
      </c>
      <c r="CF35" s="88">
        <v>8.8000000000000007</v>
      </c>
      <c r="CG35" s="88">
        <v>6.7</v>
      </c>
      <c r="CH35" s="88">
        <v>6.6</v>
      </c>
      <c r="CI35" s="88">
        <v>6.8</v>
      </c>
      <c r="CJ35" s="88">
        <v>7.8</v>
      </c>
      <c r="CK35" s="88">
        <v>9.6</v>
      </c>
      <c r="CL35" s="88">
        <v>11.6</v>
      </c>
      <c r="CM35" s="88">
        <v>13.4</v>
      </c>
      <c r="CN35" s="88">
        <v>10.1</v>
      </c>
      <c r="CO35" s="88">
        <f>IF(DATOS_TEMPERATURA_MEDIA45[[#This Row],[Enero]]&gt;$DA$1,0,20-DATOS_TEMPERATURA_MEDIA45[[#This Row],[Enero]])*CO$1</f>
        <v>176.7</v>
      </c>
      <c r="CP35" s="88">
        <f>IF(DATOS_TEMPERATURA_MEDIA45[[#This Row],[Febrero]]&gt;$DA$1,0,20-DATOS_TEMPERATURA_MEDIA45[[#This Row],[Febrero]])*CP$1</f>
        <v>179.20000000000002</v>
      </c>
      <c r="CQ35" s="88">
        <f>IF(DATOS_TEMPERATURA_MEDIA45[[#This Row],[Marzo]]&gt;$DA$1,0,20-DATOS_TEMPERATURA_MEDIA45[[#This Row],[Marzo]])*CQ$1</f>
        <v>244.9</v>
      </c>
      <c r="CR35" s="88">
        <f>IF(DATOS_TEMPERATURA_MEDIA45[[#This Row],[Abril]]&gt;$DA$1,0,20-DATOS_TEMPERATURA_MEDIA45[[#This Row],[Abril]])*CR$1</f>
        <v>297</v>
      </c>
      <c r="CS35" s="88">
        <f>IF(DATOS_TEMPERATURA_MEDIA45[[#This Row],[Mayo]]&gt;$DA$1,0,20-DATOS_TEMPERATURA_MEDIA45[[#This Row],[Mayo]])*CS$1</f>
        <v>347.2</v>
      </c>
      <c r="CT35" s="88">
        <f>IF(DATOS_TEMPERATURA_MEDIA45[[#This Row],[Junio]]&gt;$DA$1,0,20-DATOS_TEMPERATURA_MEDIA45[[#This Row],[Junio]])*CT$1</f>
        <v>399</v>
      </c>
      <c r="CU35" s="88">
        <f>IF(DATOS_TEMPERATURA_MEDIA45[[#This Row],[Julio]]&gt;$DA$1,0,20-DATOS_TEMPERATURA_MEDIA45[[#This Row],[Julio]])*CU$1</f>
        <v>415.40000000000003</v>
      </c>
      <c r="CV35" s="88">
        <f>IF(DATOS_TEMPERATURA_MEDIA45[[#This Row],[Agosto]]&gt;$DA$1,0,20-DATOS_TEMPERATURA_MEDIA45[[#This Row],[Agosto]])*CV$1</f>
        <v>409.2</v>
      </c>
      <c r="CW35" s="88">
        <f>IF(DATOS_TEMPERATURA_MEDIA45[[#This Row],[Septiembre]]&gt;$DA$1,0,20-DATOS_TEMPERATURA_MEDIA45[[#This Row],[Septiembre]])*CW$1</f>
        <v>366</v>
      </c>
      <c r="CX35" s="88">
        <f>IF(DATOS_TEMPERATURA_MEDIA45[[#This Row],[Octubre]]&gt;$DA$1,0,20-DATOS_TEMPERATURA_MEDIA45[[#This Row],[Octubre]])*CX$1</f>
        <v>322.40000000000003</v>
      </c>
      <c r="CY35" s="88">
        <f>IF(DATOS_TEMPERATURA_MEDIA45[[#This Row],[Noviembre]]&gt;$DA$1,0,20-DATOS_TEMPERATURA_MEDIA45[[#This Row],[Noviembre]])*CY$1</f>
        <v>252</v>
      </c>
      <c r="CZ35" s="88">
        <f>IF(DATOS_TEMPERATURA_MEDIA45[[#This Row],[Diciembre]]&gt;$DA$1,0,20-DATOS_TEMPERATURA_MEDIA45[[#This Row],[Diciembre]])*CZ$1</f>
        <v>204.6</v>
      </c>
      <c r="DA35" s="88">
        <f>SUM(DATOS_TEMPERATURA_MEDIA45[[#This Row],[GDC 1]:[GDC 12]])</f>
        <v>3613.6</v>
      </c>
      <c r="DD35" t="s">
        <v>544</v>
      </c>
      <c r="DF35">
        <v>35</v>
      </c>
      <c r="DG35">
        <v>45</v>
      </c>
      <c r="DH35">
        <v>71</v>
      </c>
      <c r="DI35">
        <v>34</v>
      </c>
      <c r="DJ35">
        <f t="shared" si="0"/>
        <v>-35.75</v>
      </c>
      <c r="DK35">
        <f t="shared" si="1"/>
        <v>-71.566666666666663</v>
      </c>
      <c r="DL35">
        <v>150</v>
      </c>
    </row>
    <row r="36" spans="2:116" x14ac:dyDescent="0.45">
      <c r="B36" t="s">
        <v>125</v>
      </c>
      <c r="C36" s="89">
        <v>2.1</v>
      </c>
      <c r="D36">
        <v>0.84</v>
      </c>
      <c r="E36">
        <v>3.6</v>
      </c>
      <c r="H36" t="s">
        <v>15</v>
      </c>
      <c r="I36" t="s">
        <v>569</v>
      </c>
      <c r="J36" t="s">
        <v>570</v>
      </c>
      <c r="P36">
        <v>14</v>
      </c>
      <c r="Q36" s="48">
        <v>0.34</v>
      </c>
      <c r="R36" s="48">
        <v>1.63</v>
      </c>
      <c r="S36" s="48">
        <v>0.36</v>
      </c>
      <c r="T36" s="48">
        <v>1.9</v>
      </c>
      <c r="U36">
        <v>34</v>
      </c>
      <c r="V36" s="49" t="s">
        <v>571</v>
      </c>
      <c r="W36" t="s">
        <v>594</v>
      </c>
      <c r="X36" s="88">
        <v>13.6</v>
      </c>
      <c r="Y36" s="88">
        <v>13.2</v>
      </c>
      <c r="Z36" s="88">
        <v>11.5</v>
      </c>
      <c r="AA36" s="88">
        <v>9.1999999999999993</v>
      </c>
      <c r="AB36" s="88">
        <v>6.7</v>
      </c>
      <c r="AC36" s="88">
        <v>4.3</v>
      </c>
      <c r="AD36" s="88">
        <v>3.9</v>
      </c>
      <c r="AE36" s="88">
        <v>5.0999999999999996</v>
      </c>
      <c r="AF36" s="88">
        <v>6.9</v>
      </c>
      <c r="AG36" s="88">
        <v>9.1</v>
      </c>
      <c r="AH36" s="88">
        <v>11.4</v>
      </c>
      <c r="AI36" s="88">
        <v>12.9</v>
      </c>
      <c r="AJ36" s="88">
        <v>9</v>
      </c>
      <c r="AK36" s="88">
        <v>-45.4</v>
      </c>
      <c r="AL36" s="88">
        <v>-72.7</v>
      </c>
      <c r="AM36" s="88">
        <v>10</v>
      </c>
      <c r="AN36" s="88">
        <f>MAX(DATOS_TEMPERATURA_MEDIA[[#This Row],[Enero]:[Diciembre]])-MIN(DATOS_TEMPERATURA_MEDIA[[#This Row],[Enero]:[Diciembre]])</f>
        <v>9.6999999999999993</v>
      </c>
      <c r="AP36" s="7" t="s">
        <v>526</v>
      </c>
      <c r="AQ36" s="49" t="s">
        <v>572</v>
      </c>
      <c r="AX36" s="120">
        <v>3.5</v>
      </c>
      <c r="BD36">
        <f>Temperatura_interior_fija-DATOS_TEMPERATURA_MEDIA_MÍNIMA[[#This Row],[Julio]]</f>
        <v>15.5</v>
      </c>
      <c r="BG36" t="s">
        <v>1576</v>
      </c>
      <c r="BH36" s="47">
        <v>46.3</v>
      </c>
      <c r="BI36" s="47">
        <v>33.799999999999997</v>
      </c>
      <c r="BJ36" s="47">
        <v>40.9</v>
      </c>
      <c r="BK36" s="47">
        <v>88.6</v>
      </c>
      <c r="BL36" s="47">
        <v>247.3</v>
      </c>
      <c r="BM36" s="47">
        <v>261.60000000000002</v>
      </c>
      <c r="BN36" s="47">
        <v>241.8</v>
      </c>
      <c r="BO36" s="47">
        <v>204.8</v>
      </c>
      <c r="BP36" s="47">
        <v>129.30000000000001</v>
      </c>
      <c r="BQ36" s="47">
        <v>108</v>
      </c>
      <c r="BR36" s="47">
        <v>76.7</v>
      </c>
      <c r="BS36" s="47">
        <v>60.4</v>
      </c>
      <c r="BT36" s="47">
        <v>1539.5</v>
      </c>
      <c r="BU36" s="47">
        <v>141.5</v>
      </c>
      <c r="BV36" s="88">
        <f>AVERAGE(Tabla32[[#This Row],[Mayo]:[Septiembre]])/30</f>
        <v>7.2319999999999993</v>
      </c>
      <c r="CA36" s="49" t="s">
        <v>582</v>
      </c>
      <c r="CB36" s="88">
        <v>15.4</v>
      </c>
      <c r="CC36" s="88">
        <v>15.3</v>
      </c>
      <c r="CD36" s="88">
        <v>12.3</v>
      </c>
      <c r="CE36" s="88">
        <v>8.8000000000000007</v>
      </c>
      <c r="CF36" s="88">
        <v>5.4</v>
      </c>
      <c r="CG36" s="88">
        <v>3</v>
      </c>
      <c r="CH36" s="88">
        <v>2.2999999999999998</v>
      </c>
      <c r="CI36" s="88">
        <v>3.7</v>
      </c>
      <c r="CJ36" s="88">
        <v>6.4</v>
      </c>
      <c r="CK36" s="88">
        <v>9.3000000000000007</v>
      </c>
      <c r="CL36" s="88">
        <v>12.5</v>
      </c>
      <c r="CM36" s="88">
        <v>14.4</v>
      </c>
      <c r="CN36" s="88">
        <v>9</v>
      </c>
      <c r="CO36" s="88">
        <f>IF(DATOS_TEMPERATURA_MEDIA45[[#This Row],[Enero]]&gt;$DA$1,0,20-DATOS_TEMPERATURA_MEDIA45[[#This Row],[Enero]])*CO$1</f>
        <v>142.6</v>
      </c>
      <c r="CP36" s="88">
        <f>IF(DATOS_TEMPERATURA_MEDIA45[[#This Row],[Febrero]]&gt;$DA$1,0,20-DATOS_TEMPERATURA_MEDIA45[[#This Row],[Febrero]])*CP$1</f>
        <v>131.59999999999997</v>
      </c>
      <c r="CQ36" s="88">
        <f>IF(DATOS_TEMPERATURA_MEDIA45[[#This Row],[Marzo]]&gt;$DA$1,0,20-DATOS_TEMPERATURA_MEDIA45[[#This Row],[Marzo]])*CQ$1</f>
        <v>238.7</v>
      </c>
      <c r="CR36" s="88">
        <f>IF(DATOS_TEMPERATURA_MEDIA45[[#This Row],[Abril]]&gt;$DA$1,0,20-DATOS_TEMPERATURA_MEDIA45[[#This Row],[Abril]])*CR$1</f>
        <v>336</v>
      </c>
      <c r="CS36" s="88">
        <f>IF(DATOS_TEMPERATURA_MEDIA45[[#This Row],[Mayo]]&gt;$DA$1,0,20-DATOS_TEMPERATURA_MEDIA45[[#This Row],[Mayo]])*CS$1</f>
        <v>452.59999999999997</v>
      </c>
      <c r="CT36" s="88">
        <f>IF(DATOS_TEMPERATURA_MEDIA45[[#This Row],[Junio]]&gt;$DA$1,0,20-DATOS_TEMPERATURA_MEDIA45[[#This Row],[Junio]])*CT$1</f>
        <v>510</v>
      </c>
      <c r="CU36" s="88">
        <f>IF(DATOS_TEMPERATURA_MEDIA45[[#This Row],[Julio]]&gt;$DA$1,0,20-DATOS_TEMPERATURA_MEDIA45[[#This Row],[Julio]])*CU$1</f>
        <v>548.69999999999993</v>
      </c>
      <c r="CV36" s="88">
        <f>IF(DATOS_TEMPERATURA_MEDIA45[[#This Row],[Agosto]]&gt;$DA$1,0,20-DATOS_TEMPERATURA_MEDIA45[[#This Row],[Agosto]])*CV$1</f>
        <v>505.3</v>
      </c>
      <c r="CW36" s="88">
        <f>IF(DATOS_TEMPERATURA_MEDIA45[[#This Row],[Septiembre]]&gt;$DA$1,0,20-DATOS_TEMPERATURA_MEDIA45[[#This Row],[Septiembre]])*CW$1</f>
        <v>408</v>
      </c>
      <c r="CX36" s="88">
        <f>IF(DATOS_TEMPERATURA_MEDIA45[[#This Row],[Octubre]]&gt;$DA$1,0,20-DATOS_TEMPERATURA_MEDIA45[[#This Row],[Octubre]])*CX$1</f>
        <v>331.7</v>
      </c>
      <c r="CY36" s="88">
        <f>IF(DATOS_TEMPERATURA_MEDIA45[[#This Row],[Noviembre]]&gt;$DA$1,0,20-DATOS_TEMPERATURA_MEDIA45[[#This Row],[Noviembre]])*CY$1</f>
        <v>225</v>
      </c>
      <c r="CZ36" s="88">
        <f>IF(DATOS_TEMPERATURA_MEDIA45[[#This Row],[Diciembre]]&gt;$DA$1,0,20-DATOS_TEMPERATURA_MEDIA45[[#This Row],[Diciembre]])*CZ$1</f>
        <v>173.6</v>
      </c>
      <c r="DA36" s="88">
        <f>SUM(DATOS_TEMPERATURA_MEDIA45[[#This Row],[GDC 1]:[GDC 12]])</f>
        <v>4003.7999999999997</v>
      </c>
      <c r="DD36" t="s">
        <v>547</v>
      </c>
      <c r="DF36">
        <v>35</v>
      </c>
      <c r="DG36">
        <v>58</v>
      </c>
      <c r="DH36">
        <v>72</v>
      </c>
      <c r="DI36">
        <v>20</v>
      </c>
      <c r="DJ36">
        <f t="shared" si="0"/>
        <v>-35.966666666666669</v>
      </c>
      <c r="DK36">
        <f t="shared" si="1"/>
        <v>-72.333333333333329</v>
      </c>
      <c r="DL36">
        <v>140</v>
      </c>
    </row>
    <row r="37" spans="2:116" x14ac:dyDescent="0.45">
      <c r="B37" t="s">
        <v>573</v>
      </c>
      <c r="C37">
        <v>0.8</v>
      </c>
      <c r="D37">
        <v>0.47</v>
      </c>
      <c r="E37">
        <v>0.7</v>
      </c>
      <c r="H37" t="s">
        <v>16</v>
      </c>
      <c r="I37" t="s">
        <v>574</v>
      </c>
      <c r="J37" t="s">
        <v>575</v>
      </c>
      <c r="P37">
        <v>15</v>
      </c>
      <c r="Q37" s="48">
        <v>0.33</v>
      </c>
      <c r="R37" s="48">
        <v>1.61</v>
      </c>
      <c r="S37" s="48">
        <v>0.35</v>
      </c>
      <c r="T37" s="48">
        <v>1.87</v>
      </c>
      <c r="U37">
        <v>35</v>
      </c>
      <c r="V37" s="49" t="s">
        <v>576</v>
      </c>
      <c r="W37" t="s">
        <v>594</v>
      </c>
      <c r="X37" s="88">
        <v>13.6</v>
      </c>
      <c r="Y37" s="88">
        <v>13.2</v>
      </c>
      <c r="Z37" s="88">
        <v>11.2</v>
      </c>
      <c r="AA37" s="88">
        <v>8.1999999999999993</v>
      </c>
      <c r="AB37" s="88">
        <v>5.2</v>
      </c>
      <c r="AC37" s="88">
        <v>2.6</v>
      </c>
      <c r="AD37" s="88">
        <v>2</v>
      </c>
      <c r="AE37" s="88">
        <v>3.8</v>
      </c>
      <c r="AF37" s="88">
        <v>5.9</v>
      </c>
      <c r="AG37" s="88">
        <v>8.4</v>
      </c>
      <c r="AH37" s="88">
        <v>11</v>
      </c>
      <c r="AI37" s="88">
        <v>12.6</v>
      </c>
      <c r="AJ37" s="88">
        <v>8.1</v>
      </c>
      <c r="AK37" s="88"/>
      <c r="AL37" s="88"/>
      <c r="AM37" s="88"/>
      <c r="AN37" s="88">
        <f>MAX(DATOS_TEMPERATURA_MEDIA[[#This Row],[Enero]:[Diciembre]])-MIN(DATOS_TEMPERATURA_MEDIA[[#This Row],[Enero]:[Diciembre]])</f>
        <v>11.6</v>
      </c>
      <c r="AP37" s="7" t="s">
        <v>532</v>
      </c>
      <c r="AQ37" s="49" t="s">
        <v>577</v>
      </c>
      <c r="AX37" s="120">
        <v>3.8</v>
      </c>
      <c r="BD37">
        <f>Temperatura_interior_fija-DATOS_TEMPERATURA_MEDIA_MÍNIMA[[#This Row],[Julio]]</f>
        <v>15.2</v>
      </c>
      <c r="BG37" t="s">
        <v>1577</v>
      </c>
      <c r="BH37" s="47">
        <v>17.899999999999999</v>
      </c>
      <c r="BI37" s="47">
        <v>12</v>
      </c>
      <c r="BJ37" s="47">
        <v>21.8</v>
      </c>
      <c r="BK37" s="47">
        <v>48.3</v>
      </c>
      <c r="BL37" s="47">
        <v>171.1</v>
      </c>
      <c r="BM37" s="47">
        <v>214.3</v>
      </c>
      <c r="BN37" s="47">
        <v>238.6</v>
      </c>
      <c r="BO37" s="47">
        <v>158.19999999999999</v>
      </c>
      <c r="BP37" s="47">
        <v>93.8</v>
      </c>
      <c r="BQ37" s="47">
        <v>54.3</v>
      </c>
      <c r="BR37" s="47">
        <v>39.799999999999997</v>
      </c>
      <c r="BS37" s="47">
        <v>24.7</v>
      </c>
      <c r="BT37" s="47">
        <v>1094.8</v>
      </c>
      <c r="BU37" s="47">
        <v>141.5</v>
      </c>
      <c r="BV37" s="88">
        <f>AVERAGE(Tabla32[[#This Row],[Mayo]:[Septiembre]])/30</f>
        <v>5.84</v>
      </c>
      <c r="CA37" s="49" t="s">
        <v>571</v>
      </c>
      <c r="CB37" s="88">
        <v>13.6</v>
      </c>
      <c r="CC37" s="88">
        <v>13.2</v>
      </c>
      <c r="CD37" s="88">
        <v>11.5</v>
      </c>
      <c r="CE37" s="88">
        <v>9.1999999999999993</v>
      </c>
      <c r="CF37" s="88">
        <v>6.7</v>
      </c>
      <c r="CG37" s="88">
        <v>4.3</v>
      </c>
      <c r="CH37" s="88">
        <v>3.9</v>
      </c>
      <c r="CI37" s="88">
        <v>5.0999999999999996</v>
      </c>
      <c r="CJ37" s="88">
        <v>6.9</v>
      </c>
      <c r="CK37" s="88">
        <v>9.1</v>
      </c>
      <c r="CL37" s="88">
        <v>11.4</v>
      </c>
      <c r="CM37" s="88">
        <v>12.9</v>
      </c>
      <c r="CN37" s="88">
        <v>9</v>
      </c>
      <c r="CO37" s="88">
        <f>IF(DATOS_TEMPERATURA_MEDIA45[[#This Row],[Enero]]&gt;$DA$1,0,20-DATOS_TEMPERATURA_MEDIA45[[#This Row],[Enero]])*CO$1</f>
        <v>198.4</v>
      </c>
      <c r="CP37" s="88">
        <f>IF(DATOS_TEMPERATURA_MEDIA45[[#This Row],[Febrero]]&gt;$DA$1,0,20-DATOS_TEMPERATURA_MEDIA45[[#This Row],[Febrero]])*CP$1</f>
        <v>190.40000000000003</v>
      </c>
      <c r="CQ37" s="88">
        <f>IF(DATOS_TEMPERATURA_MEDIA45[[#This Row],[Marzo]]&gt;$DA$1,0,20-DATOS_TEMPERATURA_MEDIA45[[#This Row],[Marzo]])*CQ$1</f>
        <v>263.5</v>
      </c>
      <c r="CR37" s="88">
        <f>IF(DATOS_TEMPERATURA_MEDIA45[[#This Row],[Abril]]&gt;$DA$1,0,20-DATOS_TEMPERATURA_MEDIA45[[#This Row],[Abril]])*CR$1</f>
        <v>324</v>
      </c>
      <c r="CS37" s="88">
        <f>IF(DATOS_TEMPERATURA_MEDIA45[[#This Row],[Mayo]]&gt;$DA$1,0,20-DATOS_TEMPERATURA_MEDIA45[[#This Row],[Mayo]])*CS$1</f>
        <v>412.3</v>
      </c>
      <c r="CT37" s="88">
        <f>IF(DATOS_TEMPERATURA_MEDIA45[[#This Row],[Junio]]&gt;$DA$1,0,20-DATOS_TEMPERATURA_MEDIA45[[#This Row],[Junio]])*CT$1</f>
        <v>471</v>
      </c>
      <c r="CU37" s="88">
        <f>IF(DATOS_TEMPERATURA_MEDIA45[[#This Row],[Julio]]&gt;$DA$1,0,20-DATOS_TEMPERATURA_MEDIA45[[#This Row],[Julio]])*CU$1</f>
        <v>499.1</v>
      </c>
      <c r="CV37" s="88">
        <f>IF(DATOS_TEMPERATURA_MEDIA45[[#This Row],[Agosto]]&gt;$DA$1,0,20-DATOS_TEMPERATURA_MEDIA45[[#This Row],[Agosto]])*CV$1</f>
        <v>461.90000000000003</v>
      </c>
      <c r="CW37" s="88">
        <f>IF(DATOS_TEMPERATURA_MEDIA45[[#This Row],[Septiembre]]&gt;$DA$1,0,20-DATOS_TEMPERATURA_MEDIA45[[#This Row],[Septiembre]])*CW$1</f>
        <v>393</v>
      </c>
      <c r="CX37" s="88">
        <f>IF(DATOS_TEMPERATURA_MEDIA45[[#This Row],[Octubre]]&gt;$DA$1,0,20-DATOS_TEMPERATURA_MEDIA45[[#This Row],[Octubre]])*CX$1</f>
        <v>337.90000000000003</v>
      </c>
      <c r="CY37" s="88">
        <f>IF(DATOS_TEMPERATURA_MEDIA45[[#This Row],[Noviembre]]&gt;$DA$1,0,20-DATOS_TEMPERATURA_MEDIA45[[#This Row],[Noviembre]])*CY$1</f>
        <v>258</v>
      </c>
      <c r="CZ37" s="88">
        <f>IF(DATOS_TEMPERATURA_MEDIA45[[#This Row],[Diciembre]]&gt;$DA$1,0,20-DATOS_TEMPERATURA_MEDIA45[[#This Row],[Diciembre]])*CZ$1</f>
        <v>220.1</v>
      </c>
      <c r="DA37" s="88">
        <f>SUM(DATOS_TEMPERATURA_MEDIA45[[#This Row],[GDC 1]:[GDC 12]])</f>
        <v>4029.6000000000004</v>
      </c>
      <c r="DD37" t="s">
        <v>550</v>
      </c>
      <c r="DF37">
        <v>36</v>
      </c>
      <c r="DG37">
        <v>34</v>
      </c>
      <c r="DH37">
        <v>72</v>
      </c>
      <c r="DI37">
        <v>2</v>
      </c>
      <c r="DJ37">
        <f t="shared" si="0"/>
        <v>-36.56666666666667</v>
      </c>
      <c r="DK37">
        <f t="shared" si="1"/>
        <v>-72.033333333333331</v>
      </c>
      <c r="DL37">
        <v>124</v>
      </c>
    </row>
    <row r="38" spans="2:116" x14ac:dyDescent="0.45">
      <c r="B38" t="s">
        <v>578</v>
      </c>
      <c r="C38" s="89">
        <v>0.8</v>
      </c>
      <c r="D38">
        <v>0.47</v>
      </c>
      <c r="E38">
        <v>0.87</v>
      </c>
      <c r="H38" t="s">
        <v>1528</v>
      </c>
      <c r="I38" t="s">
        <v>1529</v>
      </c>
      <c r="J38" t="s">
        <v>1530</v>
      </c>
      <c r="P38">
        <v>16</v>
      </c>
      <c r="Q38" s="48">
        <v>0.32</v>
      </c>
      <c r="R38" s="48">
        <v>1.6</v>
      </c>
      <c r="S38" s="48">
        <v>0.34</v>
      </c>
      <c r="T38" s="48">
        <v>1.84</v>
      </c>
      <c r="U38">
        <v>36</v>
      </c>
      <c r="V38" s="49" t="s">
        <v>579</v>
      </c>
      <c r="W38" t="s">
        <v>594</v>
      </c>
      <c r="X38" s="88">
        <v>11.9</v>
      </c>
      <c r="Y38" s="88">
        <v>11.4</v>
      </c>
      <c r="Z38" s="88">
        <v>9.3000000000000007</v>
      </c>
      <c r="AA38" s="88">
        <v>6.5</v>
      </c>
      <c r="AB38" s="88">
        <v>1.3</v>
      </c>
      <c r="AC38" s="88">
        <v>0.8</v>
      </c>
      <c r="AD38" s="88">
        <v>0.2</v>
      </c>
      <c r="AE38" s="88">
        <v>2</v>
      </c>
      <c r="AF38" s="88">
        <v>4.3</v>
      </c>
      <c r="AG38" s="88">
        <v>6.6</v>
      </c>
      <c r="AH38" s="88">
        <v>9.1</v>
      </c>
      <c r="AI38" s="88">
        <v>10.8</v>
      </c>
      <c r="AJ38" s="88">
        <v>6.4</v>
      </c>
      <c r="AK38" s="88"/>
      <c r="AL38" s="88"/>
      <c r="AM38" s="88"/>
      <c r="AN38" s="88">
        <f>MAX(DATOS_TEMPERATURA_MEDIA[[#This Row],[Enero]:[Diciembre]])-MIN(DATOS_TEMPERATURA_MEDIA[[#This Row],[Enero]:[Diciembre]])</f>
        <v>11.700000000000001</v>
      </c>
      <c r="AP38" s="7" t="s">
        <v>537</v>
      </c>
      <c r="AQ38" s="49" t="s">
        <v>580</v>
      </c>
      <c r="AX38" s="120">
        <v>3.8</v>
      </c>
      <c r="BD38">
        <f>Temperatura_interior_fija-DATOS_TEMPERATURA_MEDIA_MÍNIMA[[#This Row],[Julio]]</f>
        <v>15.2</v>
      </c>
      <c r="BG38" t="s">
        <v>1578</v>
      </c>
      <c r="BH38" s="47">
        <v>17.8</v>
      </c>
      <c r="BI38" s="47">
        <v>13.4</v>
      </c>
      <c r="BJ38" s="47">
        <v>16.899999999999999</v>
      </c>
      <c r="BK38" s="47">
        <v>41.4</v>
      </c>
      <c r="BL38" s="47">
        <v>101.6</v>
      </c>
      <c r="BM38" s="47">
        <v>110.9</v>
      </c>
      <c r="BN38" s="47">
        <v>120.3</v>
      </c>
      <c r="BO38" s="47">
        <v>79.2</v>
      </c>
      <c r="BP38" s="47">
        <v>50.9</v>
      </c>
      <c r="BQ38" s="47">
        <v>43.2</v>
      </c>
      <c r="BR38" s="47">
        <v>26.8</v>
      </c>
      <c r="BS38" s="47">
        <v>26.7</v>
      </c>
      <c r="BT38" s="47">
        <v>649.1</v>
      </c>
      <c r="BU38" s="47">
        <v>115.1</v>
      </c>
      <c r="BV38" s="88">
        <f>AVERAGE(Tabla32[[#This Row],[Mayo]:[Septiembre]])/30</f>
        <v>3.0859999999999999</v>
      </c>
      <c r="CA38" s="49" t="s">
        <v>576</v>
      </c>
      <c r="CB38" s="88">
        <v>13.6</v>
      </c>
      <c r="CC38" s="88">
        <v>13.2</v>
      </c>
      <c r="CD38" s="88">
        <v>11.2</v>
      </c>
      <c r="CE38" s="88">
        <v>8.1999999999999993</v>
      </c>
      <c r="CF38" s="88">
        <v>5.2</v>
      </c>
      <c r="CG38" s="88">
        <v>2.6</v>
      </c>
      <c r="CH38" s="88">
        <v>2</v>
      </c>
      <c r="CI38" s="88">
        <v>3.8</v>
      </c>
      <c r="CJ38" s="88">
        <v>5.9</v>
      </c>
      <c r="CK38" s="88">
        <v>8.4</v>
      </c>
      <c r="CL38" s="88">
        <v>11</v>
      </c>
      <c r="CM38" s="88">
        <v>12.6</v>
      </c>
      <c r="CN38" s="88">
        <v>8.1</v>
      </c>
      <c r="CO38" s="88">
        <f>IF(DATOS_TEMPERATURA_MEDIA45[[#This Row],[Enero]]&gt;$DA$1,0,20-DATOS_TEMPERATURA_MEDIA45[[#This Row],[Enero]])*CO$1</f>
        <v>198.4</v>
      </c>
      <c r="CP38" s="88">
        <f>IF(DATOS_TEMPERATURA_MEDIA45[[#This Row],[Febrero]]&gt;$DA$1,0,20-DATOS_TEMPERATURA_MEDIA45[[#This Row],[Febrero]])*CP$1</f>
        <v>190.40000000000003</v>
      </c>
      <c r="CQ38" s="88">
        <f>IF(DATOS_TEMPERATURA_MEDIA45[[#This Row],[Marzo]]&gt;$DA$1,0,20-DATOS_TEMPERATURA_MEDIA45[[#This Row],[Marzo]])*CQ$1</f>
        <v>272.8</v>
      </c>
      <c r="CR38" s="88">
        <f>IF(DATOS_TEMPERATURA_MEDIA45[[#This Row],[Abril]]&gt;$DA$1,0,20-DATOS_TEMPERATURA_MEDIA45[[#This Row],[Abril]])*CR$1</f>
        <v>354</v>
      </c>
      <c r="CS38" s="88">
        <f>IF(DATOS_TEMPERATURA_MEDIA45[[#This Row],[Mayo]]&gt;$DA$1,0,20-DATOS_TEMPERATURA_MEDIA45[[#This Row],[Mayo]])*CS$1</f>
        <v>458.8</v>
      </c>
      <c r="CT38" s="88">
        <f>IF(DATOS_TEMPERATURA_MEDIA45[[#This Row],[Junio]]&gt;$DA$1,0,20-DATOS_TEMPERATURA_MEDIA45[[#This Row],[Junio]])*CT$1</f>
        <v>522</v>
      </c>
      <c r="CU38" s="88">
        <f>IF(DATOS_TEMPERATURA_MEDIA45[[#This Row],[Julio]]&gt;$DA$1,0,20-DATOS_TEMPERATURA_MEDIA45[[#This Row],[Julio]])*CU$1</f>
        <v>558</v>
      </c>
      <c r="CV38" s="88">
        <f>IF(DATOS_TEMPERATURA_MEDIA45[[#This Row],[Agosto]]&gt;$DA$1,0,20-DATOS_TEMPERATURA_MEDIA45[[#This Row],[Agosto]])*CV$1</f>
        <v>502.2</v>
      </c>
      <c r="CW38" s="88">
        <f>IF(DATOS_TEMPERATURA_MEDIA45[[#This Row],[Septiembre]]&gt;$DA$1,0,20-DATOS_TEMPERATURA_MEDIA45[[#This Row],[Septiembre]])*CW$1</f>
        <v>423</v>
      </c>
      <c r="CX38" s="88">
        <f>IF(DATOS_TEMPERATURA_MEDIA45[[#This Row],[Octubre]]&gt;$DA$1,0,20-DATOS_TEMPERATURA_MEDIA45[[#This Row],[Octubre]])*CX$1</f>
        <v>359.59999999999997</v>
      </c>
      <c r="CY38" s="88">
        <f>IF(DATOS_TEMPERATURA_MEDIA45[[#This Row],[Noviembre]]&gt;$DA$1,0,20-DATOS_TEMPERATURA_MEDIA45[[#This Row],[Noviembre]])*CY$1</f>
        <v>270</v>
      </c>
      <c r="CZ38" s="88">
        <f>IF(DATOS_TEMPERATURA_MEDIA45[[#This Row],[Diciembre]]&gt;$DA$1,0,20-DATOS_TEMPERATURA_MEDIA45[[#This Row],[Diciembre]])*CZ$1</f>
        <v>229.4</v>
      </c>
      <c r="DA38" s="88">
        <f>SUM(DATOS_TEMPERATURA_MEDIA45[[#This Row],[GDC 1]:[GDC 12]])</f>
        <v>4338.5999999999995</v>
      </c>
      <c r="DD38" t="s">
        <v>1111</v>
      </c>
      <c r="DF38">
        <v>36</v>
      </c>
      <c r="DG38">
        <v>37</v>
      </c>
      <c r="DH38">
        <v>72</v>
      </c>
      <c r="DI38">
        <v>57</v>
      </c>
      <c r="DJ38">
        <f t="shared" si="0"/>
        <v>-36.616666666666667</v>
      </c>
      <c r="DK38">
        <f t="shared" si="1"/>
        <v>-72.95</v>
      </c>
      <c r="DL38">
        <v>5</v>
      </c>
    </row>
    <row r="39" spans="2:116" x14ac:dyDescent="0.45">
      <c r="B39" t="s">
        <v>581</v>
      </c>
      <c r="C39">
        <v>0.8</v>
      </c>
      <c r="D39">
        <v>0.38</v>
      </c>
      <c r="E39">
        <v>0.6</v>
      </c>
      <c r="H39" t="s">
        <v>1369</v>
      </c>
      <c r="I39" t="s">
        <v>1371</v>
      </c>
      <c r="J39" t="s">
        <v>1373</v>
      </c>
      <c r="P39">
        <v>17</v>
      </c>
      <c r="Q39" s="48">
        <v>0.31</v>
      </c>
      <c r="R39" s="48">
        <v>1.59</v>
      </c>
      <c r="S39" s="48">
        <v>0.33</v>
      </c>
      <c r="T39" s="48">
        <v>1.82</v>
      </c>
      <c r="U39">
        <v>37</v>
      </c>
      <c r="V39" s="49" t="s">
        <v>582</v>
      </c>
      <c r="W39" t="s">
        <v>594</v>
      </c>
      <c r="X39" s="88">
        <v>15.4</v>
      </c>
      <c r="Y39" s="88">
        <v>15.3</v>
      </c>
      <c r="Z39" s="88">
        <v>12.3</v>
      </c>
      <c r="AA39" s="88">
        <v>8.8000000000000007</v>
      </c>
      <c r="AB39" s="88">
        <v>5.4</v>
      </c>
      <c r="AC39" s="88">
        <v>3</v>
      </c>
      <c r="AD39" s="88">
        <v>2.2999999999999998</v>
      </c>
      <c r="AE39" s="88">
        <v>3.7</v>
      </c>
      <c r="AF39" s="88">
        <v>6.4</v>
      </c>
      <c r="AG39" s="88">
        <v>9.3000000000000007</v>
      </c>
      <c r="AH39" s="88">
        <v>12.5</v>
      </c>
      <c r="AI39" s="88">
        <v>14.4</v>
      </c>
      <c r="AJ39" s="88">
        <v>9</v>
      </c>
      <c r="AK39" s="88"/>
      <c r="AL39" s="88"/>
      <c r="AM39" s="88"/>
      <c r="AN39" s="88">
        <f>MAX(DATOS_TEMPERATURA_MEDIA[[#This Row],[Enero]:[Diciembre]])-MIN(DATOS_TEMPERATURA_MEDIA[[#This Row],[Enero]:[Diciembre]])</f>
        <v>13.100000000000001</v>
      </c>
      <c r="AP39" s="7" t="s">
        <v>542</v>
      </c>
      <c r="AQ39" s="49" t="s">
        <v>583</v>
      </c>
      <c r="AX39" s="120">
        <v>3.8</v>
      </c>
      <c r="BD39">
        <f>Temperatura_interior_fija-DATOS_TEMPERATURA_MEDIA_MÍNIMA[[#This Row],[Julio]]</f>
        <v>15.2</v>
      </c>
      <c r="BG39" t="s">
        <v>1584</v>
      </c>
      <c r="BH39" s="47">
        <v>25.8</v>
      </c>
      <c r="BI39" s="47">
        <v>24.9</v>
      </c>
      <c r="BJ39" s="47">
        <v>30.3</v>
      </c>
      <c r="BK39" s="47">
        <v>228.1</v>
      </c>
      <c r="BL39" s="47">
        <v>345.3</v>
      </c>
      <c r="BM39" s="47">
        <v>151.80000000000001</v>
      </c>
      <c r="BN39" s="47">
        <v>166.3</v>
      </c>
      <c r="BO39" s="47">
        <v>127</v>
      </c>
      <c r="BP39" s="47">
        <v>82.5</v>
      </c>
      <c r="BQ39" s="47">
        <v>65.400000000000006</v>
      </c>
      <c r="BR39" s="47">
        <v>45</v>
      </c>
      <c r="BS39" s="47">
        <v>36.5</v>
      </c>
      <c r="BT39" s="47">
        <v>1328.9</v>
      </c>
      <c r="BU39" s="47">
        <v>131.9</v>
      </c>
      <c r="BV39" s="88">
        <f>AVERAGE(Tabla32[[#This Row],[Mayo]:[Septiembre]])/30</f>
        <v>5.8193333333333337</v>
      </c>
      <c r="CA39" s="49" t="s">
        <v>585</v>
      </c>
      <c r="CB39" s="88">
        <v>13.6</v>
      </c>
      <c r="CC39" s="88">
        <v>13.2</v>
      </c>
      <c r="CD39" s="88">
        <v>10.5</v>
      </c>
      <c r="CE39" s="88">
        <v>7.4</v>
      </c>
      <c r="CF39" s="88">
        <v>4</v>
      </c>
      <c r="CG39" s="88">
        <v>1.1000000000000001</v>
      </c>
      <c r="CH39" s="88">
        <v>0.9</v>
      </c>
      <c r="CI39" s="88">
        <v>3</v>
      </c>
      <c r="CJ39" s="88">
        <v>5.8</v>
      </c>
      <c r="CK39" s="88">
        <v>8.5</v>
      </c>
      <c r="CL39" s="88">
        <v>11.1</v>
      </c>
      <c r="CM39" s="88">
        <v>12.7</v>
      </c>
      <c r="CN39" s="88">
        <v>7.7</v>
      </c>
      <c r="CO39" s="88">
        <f>IF(DATOS_TEMPERATURA_MEDIA45[[#This Row],[Enero]]&gt;$DA$1,0,20-DATOS_TEMPERATURA_MEDIA45[[#This Row],[Enero]])*CO$1</f>
        <v>198.4</v>
      </c>
      <c r="CP39" s="88">
        <f>IF(DATOS_TEMPERATURA_MEDIA45[[#This Row],[Febrero]]&gt;$DA$1,0,20-DATOS_TEMPERATURA_MEDIA45[[#This Row],[Febrero]])*CP$1</f>
        <v>190.40000000000003</v>
      </c>
      <c r="CQ39" s="88">
        <f>IF(DATOS_TEMPERATURA_MEDIA45[[#This Row],[Marzo]]&gt;$DA$1,0,20-DATOS_TEMPERATURA_MEDIA45[[#This Row],[Marzo]])*CQ$1</f>
        <v>294.5</v>
      </c>
      <c r="CR39" s="88">
        <f>IF(DATOS_TEMPERATURA_MEDIA45[[#This Row],[Abril]]&gt;$DA$1,0,20-DATOS_TEMPERATURA_MEDIA45[[#This Row],[Abril]])*CR$1</f>
        <v>378</v>
      </c>
      <c r="CS39" s="88">
        <f>IF(DATOS_TEMPERATURA_MEDIA45[[#This Row],[Mayo]]&gt;$DA$1,0,20-DATOS_TEMPERATURA_MEDIA45[[#This Row],[Mayo]])*CS$1</f>
        <v>496</v>
      </c>
      <c r="CT39" s="88">
        <f>IF(DATOS_TEMPERATURA_MEDIA45[[#This Row],[Junio]]&gt;$DA$1,0,20-DATOS_TEMPERATURA_MEDIA45[[#This Row],[Junio]])*CT$1</f>
        <v>567</v>
      </c>
      <c r="CU39" s="88">
        <f>IF(DATOS_TEMPERATURA_MEDIA45[[#This Row],[Julio]]&gt;$DA$1,0,20-DATOS_TEMPERATURA_MEDIA45[[#This Row],[Julio]])*CU$1</f>
        <v>592.1</v>
      </c>
      <c r="CV39" s="88">
        <f>IF(DATOS_TEMPERATURA_MEDIA45[[#This Row],[Agosto]]&gt;$DA$1,0,20-DATOS_TEMPERATURA_MEDIA45[[#This Row],[Agosto]])*CV$1</f>
        <v>527</v>
      </c>
      <c r="CW39" s="88">
        <f>IF(DATOS_TEMPERATURA_MEDIA45[[#This Row],[Septiembre]]&gt;$DA$1,0,20-DATOS_TEMPERATURA_MEDIA45[[#This Row],[Septiembre]])*CW$1</f>
        <v>426</v>
      </c>
      <c r="CX39" s="88">
        <f>IF(DATOS_TEMPERATURA_MEDIA45[[#This Row],[Octubre]]&gt;$DA$1,0,20-DATOS_TEMPERATURA_MEDIA45[[#This Row],[Octubre]])*CX$1</f>
        <v>356.5</v>
      </c>
      <c r="CY39" s="88">
        <f>IF(DATOS_TEMPERATURA_MEDIA45[[#This Row],[Noviembre]]&gt;$DA$1,0,20-DATOS_TEMPERATURA_MEDIA45[[#This Row],[Noviembre]])*CY$1</f>
        <v>267</v>
      </c>
      <c r="CZ39" s="88">
        <f>IF(DATOS_TEMPERATURA_MEDIA45[[#This Row],[Diciembre]]&gt;$DA$1,0,20-DATOS_TEMPERATURA_MEDIA45[[#This Row],[Diciembre]])*CZ$1</f>
        <v>226.3</v>
      </c>
      <c r="DA39" s="88">
        <f>SUM(DATOS_TEMPERATURA_MEDIA45[[#This Row],[GDC 1]:[GDC 12]])</f>
        <v>4519.2</v>
      </c>
      <c r="DD39" t="s">
        <v>1109</v>
      </c>
      <c r="DF39">
        <v>36</v>
      </c>
      <c r="DG39">
        <v>37</v>
      </c>
      <c r="DH39">
        <v>73</v>
      </c>
      <c r="DI39">
        <v>6</v>
      </c>
      <c r="DJ39">
        <f t="shared" si="0"/>
        <v>-36.616666666666667</v>
      </c>
      <c r="DK39">
        <f t="shared" si="1"/>
        <v>-73.099999999999994</v>
      </c>
      <c r="DL39">
        <v>91</v>
      </c>
    </row>
    <row r="40" spans="2:116" x14ac:dyDescent="0.45">
      <c r="B40" t="s">
        <v>584</v>
      </c>
      <c r="C40" s="89">
        <v>0.6</v>
      </c>
      <c r="D40">
        <v>0.33</v>
      </c>
      <c r="E40">
        <v>0.6</v>
      </c>
      <c r="H40" t="s">
        <v>1370</v>
      </c>
      <c r="I40" t="s">
        <v>1372</v>
      </c>
      <c r="J40" t="s">
        <v>1374</v>
      </c>
      <c r="P40">
        <v>18</v>
      </c>
      <c r="Q40" s="48">
        <v>0.3</v>
      </c>
      <c r="R40" s="48">
        <v>1.58</v>
      </c>
      <c r="S40" s="48">
        <v>0.32</v>
      </c>
      <c r="T40" s="48">
        <v>1.8</v>
      </c>
      <c r="U40">
        <v>38</v>
      </c>
      <c r="V40" s="49" t="s">
        <v>585</v>
      </c>
      <c r="W40" t="s">
        <v>594</v>
      </c>
      <c r="X40" s="88">
        <v>13.6</v>
      </c>
      <c r="Y40" s="88">
        <v>13.2</v>
      </c>
      <c r="Z40" s="88">
        <v>10.5</v>
      </c>
      <c r="AA40" s="88">
        <v>7.4</v>
      </c>
      <c r="AB40" s="88">
        <v>4</v>
      </c>
      <c r="AC40" s="88">
        <v>1.1000000000000001</v>
      </c>
      <c r="AD40" s="88">
        <v>0.9</v>
      </c>
      <c r="AE40" s="88">
        <v>3</v>
      </c>
      <c r="AF40" s="88">
        <v>5.8</v>
      </c>
      <c r="AG40" s="88">
        <v>8.5</v>
      </c>
      <c r="AH40" s="88">
        <v>11.1</v>
      </c>
      <c r="AI40" s="88">
        <v>12.7</v>
      </c>
      <c r="AJ40" s="88">
        <v>7.7</v>
      </c>
      <c r="AK40" s="88"/>
      <c r="AL40" s="88"/>
      <c r="AM40" s="88"/>
      <c r="AN40" s="88">
        <f>MAX(DATOS_TEMPERATURA_MEDIA[[#This Row],[Enero]:[Diciembre]])-MIN(DATOS_TEMPERATURA_MEDIA[[#This Row],[Enero]:[Diciembre]])</f>
        <v>12.7</v>
      </c>
      <c r="AP40" s="7" t="s">
        <v>545</v>
      </c>
      <c r="AQ40" s="49" t="str">
        <f>+"Provincia de Biobío"</f>
        <v>Provincia de Biobío</v>
      </c>
      <c r="AX40" s="120">
        <v>4.8</v>
      </c>
      <c r="BD40">
        <f>Temperatura_interior_fija-DATOS_TEMPERATURA_MEDIA_MÍNIMA[[#This Row],[Julio]]</f>
        <v>14.2</v>
      </c>
      <c r="BG40" t="s">
        <v>1585</v>
      </c>
      <c r="BH40" s="47">
        <v>24.7</v>
      </c>
      <c r="BI40" s="47">
        <v>22.8</v>
      </c>
      <c r="BJ40" s="47">
        <v>26</v>
      </c>
      <c r="BK40" s="47">
        <v>51</v>
      </c>
      <c r="BL40" s="47">
        <v>113.9</v>
      </c>
      <c r="BM40" s="47">
        <v>124.3</v>
      </c>
      <c r="BN40" s="47">
        <v>118.7</v>
      </c>
      <c r="BO40" s="47">
        <v>95</v>
      </c>
      <c r="BP40" s="47">
        <v>63.4</v>
      </c>
      <c r="BQ40" s="47">
        <v>48.8</v>
      </c>
      <c r="BR40" s="47">
        <v>179.5</v>
      </c>
      <c r="BS40" s="47">
        <v>27.6</v>
      </c>
      <c r="BT40" s="47">
        <v>895.7</v>
      </c>
      <c r="BU40" s="47">
        <v>169</v>
      </c>
      <c r="BV40" s="88">
        <f>AVERAGE(Tabla32[[#This Row],[Mayo]:[Septiembre]])/30</f>
        <v>3.4353333333333329</v>
      </c>
      <c r="CA40" s="49" t="s">
        <v>579</v>
      </c>
      <c r="CB40" s="88">
        <v>11.9</v>
      </c>
      <c r="CC40" s="88">
        <v>11.4</v>
      </c>
      <c r="CD40" s="88">
        <v>9.3000000000000007</v>
      </c>
      <c r="CE40" s="88">
        <v>6.5</v>
      </c>
      <c r="CF40" s="88">
        <v>1.3</v>
      </c>
      <c r="CG40" s="88">
        <v>0.8</v>
      </c>
      <c r="CH40" s="88">
        <v>0.2</v>
      </c>
      <c r="CI40" s="88">
        <v>2</v>
      </c>
      <c r="CJ40" s="88">
        <v>4.3</v>
      </c>
      <c r="CK40" s="88">
        <v>6.6</v>
      </c>
      <c r="CL40" s="88">
        <v>9.1</v>
      </c>
      <c r="CM40" s="88">
        <v>10.8</v>
      </c>
      <c r="CN40" s="88">
        <v>6.4</v>
      </c>
      <c r="CO40" s="88">
        <f>IF(DATOS_TEMPERATURA_MEDIA45[[#This Row],[Enero]]&gt;$DA$1,0,20-DATOS_TEMPERATURA_MEDIA45[[#This Row],[Enero]])*CO$1</f>
        <v>251.1</v>
      </c>
      <c r="CP40" s="88">
        <f>IF(DATOS_TEMPERATURA_MEDIA45[[#This Row],[Febrero]]&gt;$DA$1,0,20-DATOS_TEMPERATURA_MEDIA45[[#This Row],[Febrero]])*CP$1</f>
        <v>240.79999999999998</v>
      </c>
      <c r="CQ40" s="88">
        <f>IF(DATOS_TEMPERATURA_MEDIA45[[#This Row],[Marzo]]&gt;$DA$1,0,20-DATOS_TEMPERATURA_MEDIA45[[#This Row],[Marzo]])*CQ$1</f>
        <v>331.7</v>
      </c>
      <c r="CR40" s="88">
        <f>IF(DATOS_TEMPERATURA_MEDIA45[[#This Row],[Abril]]&gt;$DA$1,0,20-DATOS_TEMPERATURA_MEDIA45[[#This Row],[Abril]])*CR$1</f>
        <v>405</v>
      </c>
      <c r="CS40" s="88">
        <f>IF(DATOS_TEMPERATURA_MEDIA45[[#This Row],[Mayo]]&gt;$DA$1,0,20-DATOS_TEMPERATURA_MEDIA45[[#This Row],[Mayo]])*CS$1</f>
        <v>579.69999999999993</v>
      </c>
      <c r="CT40" s="88">
        <f>IF(DATOS_TEMPERATURA_MEDIA45[[#This Row],[Junio]]&gt;$DA$1,0,20-DATOS_TEMPERATURA_MEDIA45[[#This Row],[Junio]])*CT$1</f>
        <v>576</v>
      </c>
      <c r="CU40" s="88">
        <f>IF(DATOS_TEMPERATURA_MEDIA45[[#This Row],[Julio]]&gt;$DA$1,0,20-DATOS_TEMPERATURA_MEDIA45[[#This Row],[Julio]])*CU$1</f>
        <v>613.80000000000007</v>
      </c>
      <c r="CV40" s="88">
        <f>IF(DATOS_TEMPERATURA_MEDIA45[[#This Row],[Agosto]]&gt;$DA$1,0,20-DATOS_TEMPERATURA_MEDIA45[[#This Row],[Agosto]])*CV$1</f>
        <v>558</v>
      </c>
      <c r="CW40" s="88">
        <f>IF(DATOS_TEMPERATURA_MEDIA45[[#This Row],[Septiembre]]&gt;$DA$1,0,20-DATOS_TEMPERATURA_MEDIA45[[#This Row],[Septiembre]])*CW$1</f>
        <v>471</v>
      </c>
      <c r="CX40" s="88">
        <f>IF(DATOS_TEMPERATURA_MEDIA45[[#This Row],[Octubre]]&gt;$DA$1,0,20-DATOS_TEMPERATURA_MEDIA45[[#This Row],[Octubre]])*CX$1</f>
        <v>415.40000000000003</v>
      </c>
      <c r="CY40" s="88">
        <f>IF(DATOS_TEMPERATURA_MEDIA45[[#This Row],[Noviembre]]&gt;$DA$1,0,20-DATOS_TEMPERATURA_MEDIA45[[#This Row],[Noviembre]])*CY$1</f>
        <v>327</v>
      </c>
      <c r="CZ40" s="88">
        <f>IF(DATOS_TEMPERATURA_MEDIA45[[#This Row],[Diciembre]]&gt;$DA$1,0,20-DATOS_TEMPERATURA_MEDIA45[[#This Row],[Diciembre]])*CZ$1</f>
        <v>285.2</v>
      </c>
      <c r="DA40" s="88">
        <f>SUM(DATOS_TEMPERATURA_MEDIA45[[#This Row],[GDC 1]:[GDC 12]])</f>
        <v>5054.7</v>
      </c>
      <c r="DD40" t="s">
        <v>554</v>
      </c>
      <c r="DF40">
        <v>36</v>
      </c>
      <c r="DG40">
        <v>46</v>
      </c>
      <c r="DH40">
        <v>73</v>
      </c>
      <c r="DI40">
        <v>3</v>
      </c>
      <c r="DJ40">
        <f t="shared" si="0"/>
        <v>-36.766666666666666</v>
      </c>
      <c r="DK40">
        <f t="shared" si="1"/>
        <v>-73.05</v>
      </c>
      <c r="DL40">
        <v>12</v>
      </c>
    </row>
    <row r="41" spans="2:116" x14ac:dyDescent="0.45">
      <c r="B41" t="s">
        <v>586</v>
      </c>
      <c r="C41">
        <v>0.45</v>
      </c>
      <c r="D41">
        <v>0.28000000000000003</v>
      </c>
      <c r="E41">
        <v>0.5</v>
      </c>
      <c r="P41">
        <v>19</v>
      </c>
      <c r="Q41" s="48">
        <v>0.3</v>
      </c>
      <c r="R41" s="48">
        <v>1.58</v>
      </c>
      <c r="S41" s="48">
        <v>0.31</v>
      </c>
      <c r="T41" s="48">
        <v>1.78</v>
      </c>
      <c r="U41">
        <v>39</v>
      </c>
      <c r="V41" s="49" t="s">
        <v>587</v>
      </c>
      <c r="W41" t="s">
        <v>594</v>
      </c>
      <c r="X41" s="88">
        <v>10.5</v>
      </c>
      <c r="Y41" s="88">
        <v>10.1</v>
      </c>
      <c r="Z41" s="88">
        <v>8.1999999999999993</v>
      </c>
      <c r="AA41" s="88">
        <v>6</v>
      </c>
      <c r="AB41" s="88">
        <v>3.4</v>
      </c>
      <c r="AC41" s="88">
        <v>1.5</v>
      </c>
      <c r="AD41" s="88">
        <v>1.1000000000000001</v>
      </c>
      <c r="AE41" s="88">
        <v>2</v>
      </c>
      <c r="AF41" s="88">
        <v>4</v>
      </c>
      <c r="AG41" s="88">
        <v>6.4</v>
      </c>
      <c r="AH41" s="88">
        <v>8.1999999999999993</v>
      </c>
      <c r="AI41" s="88">
        <v>9.6999999999999993</v>
      </c>
      <c r="AJ41" s="88">
        <v>5.9</v>
      </c>
      <c r="AK41" s="88">
        <v>-53</v>
      </c>
      <c r="AL41" s="88">
        <v>-70.966666666666669</v>
      </c>
      <c r="AM41" s="88">
        <v>37</v>
      </c>
      <c r="AN41" s="88">
        <f>MAX(DATOS_TEMPERATURA_MEDIA[[#This Row],[Enero]:[Diciembre]])-MIN(DATOS_TEMPERATURA_MEDIA[[#This Row],[Enero]:[Diciembre]])</f>
        <v>9.4</v>
      </c>
      <c r="AP41" s="118" t="s">
        <v>548</v>
      </c>
      <c r="AQ41" s="49" t="str">
        <f>+"Provincia de Concepción"</f>
        <v>Provincia de Concepción</v>
      </c>
      <c r="AX41" s="120">
        <v>5.7</v>
      </c>
      <c r="BD41">
        <f>Temperatura_interior_fija-DATOS_TEMPERATURA_MEDIA_MÍNIMA[[#This Row],[Julio]]</f>
        <v>13.3</v>
      </c>
      <c r="BG41" t="s">
        <v>1586</v>
      </c>
      <c r="BH41" s="47">
        <v>42.4</v>
      </c>
      <c r="BI41" s="47">
        <v>40.799999999999997</v>
      </c>
      <c r="BJ41" s="47">
        <v>45.9</v>
      </c>
      <c r="BK41" s="47">
        <v>80.099999999999994</v>
      </c>
      <c r="BL41" s="47">
        <v>175.9</v>
      </c>
      <c r="BM41" s="47">
        <v>177</v>
      </c>
      <c r="BN41" s="47">
        <v>168.8</v>
      </c>
      <c r="BO41" s="47">
        <v>134.69999999999999</v>
      </c>
      <c r="BP41" s="47">
        <v>94.1</v>
      </c>
      <c r="BQ41" s="47">
        <v>85.7</v>
      </c>
      <c r="BR41" s="47">
        <v>59.1</v>
      </c>
      <c r="BS41" s="47">
        <v>52.9</v>
      </c>
      <c r="BT41" s="47">
        <v>1157.4000000000001</v>
      </c>
      <c r="BU41" s="47">
        <v>131.80000000000001</v>
      </c>
      <c r="BV41" s="88">
        <f>AVERAGE(Tabla32[[#This Row],[Mayo]:[Septiembre]])/30</f>
        <v>5.0033333333333339</v>
      </c>
      <c r="CA41" s="49" t="s">
        <v>587</v>
      </c>
      <c r="CB41" s="88">
        <v>10.5</v>
      </c>
      <c r="CC41" s="88">
        <v>10.1</v>
      </c>
      <c r="CD41" s="88">
        <v>8.1999999999999993</v>
      </c>
      <c r="CE41" s="88">
        <v>6</v>
      </c>
      <c r="CF41" s="88">
        <v>3.4</v>
      </c>
      <c r="CG41" s="88">
        <v>1.5</v>
      </c>
      <c r="CH41" s="88">
        <v>1.1000000000000001</v>
      </c>
      <c r="CI41" s="88">
        <v>2</v>
      </c>
      <c r="CJ41" s="88">
        <v>4</v>
      </c>
      <c r="CK41" s="88">
        <v>6.4</v>
      </c>
      <c r="CL41" s="88">
        <v>8.1999999999999993</v>
      </c>
      <c r="CM41" s="88">
        <v>9.6999999999999993</v>
      </c>
      <c r="CN41" s="88">
        <v>5.9</v>
      </c>
      <c r="CO41" s="88">
        <f>IF(DATOS_TEMPERATURA_MEDIA45[[#This Row],[Enero]]&gt;$DA$1,0,20-DATOS_TEMPERATURA_MEDIA45[[#This Row],[Enero]])*CO$1</f>
        <v>294.5</v>
      </c>
      <c r="CP41" s="88">
        <f>IF(DATOS_TEMPERATURA_MEDIA45[[#This Row],[Febrero]]&gt;$DA$1,0,20-DATOS_TEMPERATURA_MEDIA45[[#This Row],[Febrero]])*CP$1</f>
        <v>277.2</v>
      </c>
      <c r="CQ41" s="88">
        <f>IF(DATOS_TEMPERATURA_MEDIA45[[#This Row],[Marzo]]&gt;$DA$1,0,20-DATOS_TEMPERATURA_MEDIA45[[#This Row],[Marzo]])*CQ$1</f>
        <v>365.8</v>
      </c>
      <c r="CR41" s="88">
        <f>IF(DATOS_TEMPERATURA_MEDIA45[[#This Row],[Abril]]&gt;$DA$1,0,20-DATOS_TEMPERATURA_MEDIA45[[#This Row],[Abril]])*CR$1</f>
        <v>420</v>
      </c>
      <c r="CS41" s="88">
        <f>IF(DATOS_TEMPERATURA_MEDIA45[[#This Row],[Mayo]]&gt;$DA$1,0,20-DATOS_TEMPERATURA_MEDIA45[[#This Row],[Mayo]])*CS$1</f>
        <v>514.6</v>
      </c>
      <c r="CT41" s="88">
        <f>IF(DATOS_TEMPERATURA_MEDIA45[[#This Row],[Junio]]&gt;$DA$1,0,20-DATOS_TEMPERATURA_MEDIA45[[#This Row],[Junio]])*CT$1</f>
        <v>555</v>
      </c>
      <c r="CU41" s="88">
        <f>IF(DATOS_TEMPERATURA_MEDIA45[[#This Row],[Julio]]&gt;$DA$1,0,20-DATOS_TEMPERATURA_MEDIA45[[#This Row],[Julio]])*CU$1</f>
        <v>585.9</v>
      </c>
      <c r="CV41" s="88">
        <f>IF(DATOS_TEMPERATURA_MEDIA45[[#This Row],[Agosto]]&gt;$DA$1,0,20-DATOS_TEMPERATURA_MEDIA45[[#This Row],[Agosto]])*CV$1</f>
        <v>558</v>
      </c>
      <c r="CW41" s="88">
        <f>IF(DATOS_TEMPERATURA_MEDIA45[[#This Row],[Septiembre]]&gt;$DA$1,0,20-DATOS_TEMPERATURA_MEDIA45[[#This Row],[Septiembre]])*CW$1</f>
        <v>480</v>
      </c>
      <c r="CX41" s="88">
        <f>IF(DATOS_TEMPERATURA_MEDIA45[[#This Row],[Octubre]]&gt;$DA$1,0,20-DATOS_TEMPERATURA_MEDIA45[[#This Row],[Octubre]])*CX$1</f>
        <v>421.59999999999997</v>
      </c>
      <c r="CY41" s="88">
        <f>IF(DATOS_TEMPERATURA_MEDIA45[[#This Row],[Noviembre]]&gt;$DA$1,0,20-DATOS_TEMPERATURA_MEDIA45[[#This Row],[Noviembre]])*CY$1</f>
        <v>354</v>
      </c>
      <c r="CZ41" s="88">
        <f>IF(DATOS_TEMPERATURA_MEDIA45[[#This Row],[Diciembre]]&gt;$DA$1,0,20-DATOS_TEMPERATURA_MEDIA45[[#This Row],[Diciembre]])*CZ$1</f>
        <v>319.3</v>
      </c>
      <c r="DA41" s="88">
        <f>SUM(DATOS_TEMPERATURA_MEDIA45[[#This Row],[GDC 1]:[GDC 12]])</f>
        <v>5145.9000000000005</v>
      </c>
      <c r="DD41" t="s">
        <v>795</v>
      </c>
      <c r="DF41">
        <v>37</v>
      </c>
      <c r="DG41">
        <v>24</v>
      </c>
      <c r="DH41">
        <v>72</v>
      </c>
      <c r="DI41">
        <v>26</v>
      </c>
      <c r="DJ41">
        <f t="shared" si="0"/>
        <v>-37.4</v>
      </c>
      <c r="DK41">
        <f t="shared" si="1"/>
        <v>-72.433333333333337</v>
      </c>
      <c r="DL41">
        <v>109</v>
      </c>
    </row>
    <row r="42" spans="2:116" x14ac:dyDescent="0.45">
      <c r="B42" t="s">
        <v>588</v>
      </c>
      <c r="C42" s="89">
        <v>0.4</v>
      </c>
      <c r="D42">
        <v>0.28000000000000003</v>
      </c>
      <c r="E42">
        <v>0.39</v>
      </c>
      <c r="P42">
        <v>20</v>
      </c>
      <c r="Q42" s="48">
        <v>0.28999999999999998</v>
      </c>
      <c r="R42" s="48">
        <v>1.57</v>
      </c>
      <c r="S42" s="48">
        <v>0.3</v>
      </c>
      <c r="T42" s="48">
        <v>1.77</v>
      </c>
      <c r="U42">
        <v>40</v>
      </c>
      <c r="V42" s="49" t="s">
        <v>589</v>
      </c>
      <c r="W42" t="s">
        <v>594</v>
      </c>
      <c r="X42" s="88">
        <v>7.2</v>
      </c>
      <c r="Y42" s="88">
        <v>7.5</v>
      </c>
      <c r="Z42" s="88">
        <v>6.6</v>
      </c>
      <c r="AA42" s="88">
        <v>5.6</v>
      </c>
      <c r="AB42" s="88">
        <v>5.4</v>
      </c>
      <c r="AC42" s="88">
        <v>3.7</v>
      </c>
      <c r="AD42" s="88">
        <v>3.2</v>
      </c>
      <c r="AE42" s="88">
        <v>3.2</v>
      </c>
      <c r="AF42" s="88">
        <v>3.6</v>
      </c>
      <c r="AG42" s="88">
        <v>4.7</v>
      </c>
      <c r="AH42" s="88">
        <v>5.5</v>
      </c>
      <c r="AI42" s="88">
        <v>6.5</v>
      </c>
      <c r="AJ42" s="88">
        <v>5.0999999999999996</v>
      </c>
      <c r="AK42" s="88"/>
      <c r="AL42" s="88"/>
      <c r="AM42" s="88"/>
      <c r="AN42" s="88">
        <f>MAX(DATOS_TEMPERATURA_MEDIA[[#This Row],[Enero]:[Diciembre]])-MIN(DATOS_TEMPERATURA_MEDIA[[#This Row],[Enero]:[Diciembre]])</f>
        <v>4.3</v>
      </c>
      <c r="AP42" s="119" t="s">
        <v>590</v>
      </c>
      <c r="AQ42" s="49" t="str">
        <f>+"Provincia de Arauco"</f>
        <v>Provincia de Arauco</v>
      </c>
      <c r="AX42" s="120">
        <v>5.0999999999999996</v>
      </c>
      <c r="BD42">
        <f>Temperatura_interior_fija-DATOS_TEMPERATURA_MEDIA_MÍNIMA[[#This Row],[Julio]]</f>
        <v>13.9</v>
      </c>
      <c r="BG42" t="s">
        <v>1587</v>
      </c>
      <c r="BH42" s="47">
        <v>84.4</v>
      </c>
      <c r="BI42" s="47">
        <v>64.8</v>
      </c>
      <c r="BJ42" s="47">
        <v>86.2</v>
      </c>
      <c r="BK42" s="47">
        <v>145.9</v>
      </c>
      <c r="BL42" s="47">
        <v>316.5</v>
      </c>
      <c r="BM42" s="47">
        <v>333.7</v>
      </c>
      <c r="BN42" s="47">
        <v>295.10000000000002</v>
      </c>
      <c r="BO42" s="47">
        <v>262.60000000000002</v>
      </c>
      <c r="BP42" s="47">
        <v>173.5</v>
      </c>
      <c r="BQ42" s="47">
        <v>155.19999999999999</v>
      </c>
      <c r="BR42" s="47">
        <v>123.1</v>
      </c>
      <c r="BS42" s="47">
        <v>79.2</v>
      </c>
      <c r="BT42" s="47">
        <v>2120.1999999999998</v>
      </c>
      <c r="BU42" s="47" t="s">
        <v>1248</v>
      </c>
      <c r="BV42" s="88">
        <f>AVERAGE(Tabla32[[#This Row],[Mayo]:[Septiembre]])/30</f>
        <v>9.2093333333333351</v>
      </c>
      <c r="CA42" s="49" t="s">
        <v>589</v>
      </c>
      <c r="CB42" s="88">
        <v>7.2</v>
      </c>
      <c r="CC42" s="88">
        <v>7.5</v>
      </c>
      <c r="CD42" s="88">
        <v>6.6</v>
      </c>
      <c r="CE42" s="88">
        <v>5.6</v>
      </c>
      <c r="CF42" s="88">
        <v>5.4</v>
      </c>
      <c r="CG42" s="88">
        <v>3.7</v>
      </c>
      <c r="CH42" s="88">
        <v>3.2</v>
      </c>
      <c r="CI42" s="88">
        <v>3.2</v>
      </c>
      <c r="CJ42" s="88">
        <v>3.6</v>
      </c>
      <c r="CK42" s="88">
        <v>4.7</v>
      </c>
      <c r="CL42" s="88">
        <v>5.5</v>
      </c>
      <c r="CM42" s="88">
        <v>6.5</v>
      </c>
      <c r="CN42" s="88">
        <v>5.0999999999999996</v>
      </c>
      <c r="CO42" s="88">
        <f>IF(DATOS_TEMPERATURA_MEDIA45[[#This Row],[Enero]]&gt;$DA$1,0,20-DATOS_TEMPERATURA_MEDIA45[[#This Row],[Enero]])*CO$1</f>
        <v>396.8</v>
      </c>
      <c r="CP42" s="88">
        <f>IF(DATOS_TEMPERATURA_MEDIA45[[#This Row],[Febrero]]&gt;$DA$1,0,20-DATOS_TEMPERATURA_MEDIA45[[#This Row],[Febrero]])*CP$1</f>
        <v>350</v>
      </c>
      <c r="CQ42" s="88">
        <f>IF(DATOS_TEMPERATURA_MEDIA45[[#This Row],[Marzo]]&gt;$DA$1,0,20-DATOS_TEMPERATURA_MEDIA45[[#This Row],[Marzo]])*CQ$1</f>
        <v>415.40000000000003</v>
      </c>
      <c r="CR42" s="88">
        <f>IF(DATOS_TEMPERATURA_MEDIA45[[#This Row],[Abril]]&gt;$DA$1,0,20-DATOS_TEMPERATURA_MEDIA45[[#This Row],[Abril]])*CR$1</f>
        <v>432</v>
      </c>
      <c r="CS42" s="88">
        <f>IF(DATOS_TEMPERATURA_MEDIA45[[#This Row],[Mayo]]&gt;$DA$1,0,20-DATOS_TEMPERATURA_MEDIA45[[#This Row],[Mayo]])*CS$1</f>
        <v>452.59999999999997</v>
      </c>
      <c r="CT42" s="88">
        <f>IF(DATOS_TEMPERATURA_MEDIA45[[#This Row],[Junio]]&gt;$DA$1,0,20-DATOS_TEMPERATURA_MEDIA45[[#This Row],[Junio]])*CT$1</f>
        <v>489</v>
      </c>
      <c r="CU42" s="88">
        <f>IF(DATOS_TEMPERATURA_MEDIA45[[#This Row],[Julio]]&gt;$DA$1,0,20-DATOS_TEMPERATURA_MEDIA45[[#This Row],[Julio]])*CU$1</f>
        <v>520.80000000000007</v>
      </c>
      <c r="CV42" s="88">
        <f>IF(DATOS_TEMPERATURA_MEDIA45[[#This Row],[Agosto]]&gt;$DA$1,0,20-DATOS_TEMPERATURA_MEDIA45[[#This Row],[Agosto]])*CV$1</f>
        <v>520.80000000000007</v>
      </c>
      <c r="CW42" s="88">
        <f>IF(DATOS_TEMPERATURA_MEDIA45[[#This Row],[Septiembre]]&gt;$DA$1,0,20-DATOS_TEMPERATURA_MEDIA45[[#This Row],[Septiembre]])*CW$1</f>
        <v>491.99999999999994</v>
      </c>
      <c r="CX42" s="88">
        <f>IF(DATOS_TEMPERATURA_MEDIA45[[#This Row],[Octubre]]&gt;$DA$1,0,20-DATOS_TEMPERATURA_MEDIA45[[#This Row],[Octubre]])*CX$1</f>
        <v>474.3</v>
      </c>
      <c r="CY42" s="88">
        <f>IF(DATOS_TEMPERATURA_MEDIA45[[#This Row],[Noviembre]]&gt;$DA$1,0,20-DATOS_TEMPERATURA_MEDIA45[[#This Row],[Noviembre]])*CY$1</f>
        <v>435</v>
      </c>
      <c r="CZ42" s="88">
        <f>IF(DATOS_TEMPERATURA_MEDIA45[[#This Row],[Diciembre]]&gt;$DA$1,0,20-DATOS_TEMPERATURA_MEDIA45[[#This Row],[Diciembre]])*CZ$1</f>
        <v>418.5</v>
      </c>
      <c r="DA42" s="88">
        <f>SUM(DATOS_TEMPERATURA_MEDIA45[[#This Row],[GDC 1]:[GDC 12]])</f>
        <v>5397.2000000000007</v>
      </c>
      <c r="DD42" t="s">
        <v>983</v>
      </c>
      <c r="DF42">
        <v>37</v>
      </c>
      <c r="DG42">
        <v>35</v>
      </c>
      <c r="DH42">
        <v>73</v>
      </c>
      <c r="DI42">
        <v>40</v>
      </c>
      <c r="DJ42">
        <f t="shared" si="0"/>
        <v>-37.583333333333336</v>
      </c>
      <c r="DK42">
        <f t="shared" si="1"/>
        <v>-73.666666666666671</v>
      </c>
      <c r="DL42">
        <v>140</v>
      </c>
    </row>
    <row r="43" spans="2:116" x14ac:dyDescent="0.45">
      <c r="B43" t="s">
        <v>591</v>
      </c>
      <c r="C43">
        <v>0.35</v>
      </c>
      <c r="D43">
        <v>0.25</v>
      </c>
      <c r="E43">
        <v>0.32</v>
      </c>
      <c r="P43">
        <v>22</v>
      </c>
      <c r="Q43" s="48">
        <v>0.27</v>
      </c>
      <c r="R43" s="48">
        <v>1.56</v>
      </c>
      <c r="S43" s="48">
        <v>0.28000000000000003</v>
      </c>
      <c r="T43" s="48">
        <v>1.74</v>
      </c>
      <c r="U43">
        <v>41</v>
      </c>
      <c r="V43" s="49" t="s">
        <v>592</v>
      </c>
      <c r="W43" t="s">
        <v>1699</v>
      </c>
      <c r="X43" s="88">
        <v>1.5</v>
      </c>
      <c r="Y43" s="88">
        <v>1.6</v>
      </c>
      <c r="Z43" s="88">
        <v>0.5</v>
      </c>
      <c r="AA43" s="88">
        <v>-2</v>
      </c>
      <c r="AB43" s="88">
        <v>-4</v>
      </c>
      <c r="AC43" s="88">
        <v>-5.7</v>
      </c>
      <c r="AD43" s="88">
        <v>-5.6</v>
      </c>
      <c r="AE43" s="88">
        <v>-6.7</v>
      </c>
      <c r="AF43" s="88">
        <v>-4.4000000000000004</v>
      </c>
      <c r="AG43" s="88">
        <v>-2.5</v>
      </c>
      <c r="AH43" s="88">
        <v>-1</v>
      </c>
      <c r="AI43" s="88">
        <v>0.6</v>
      </c>
      <c r="AJ43" s="88">
        <v>-2.2999999999999998</v>
      </c>
      <c r="AK43" s="88">
        <v>-62.416666666666664</v>
      </c>
      <c r="AL43" s="88">
        <v>-58.883333333333333</v>
      </c>
      <c r="AM43" s="88">
        <v>10</v>
      </c>
      <c r="AN43" s="88">
        <f>MAX(DATOS_TEMPERATURA_MEDIA[[#This Row],[Enero]:[Diciembre]])-MIN(DATOS_TEMPERATURA_MEDIA[[#This Row],[Enero]:[Diciembre]])</f>
        <v>8.3000000000000007</v>
      </c>
      <c r="AP43" s="119" t="s">
        <v>593</v>
      </c>
      <c r="AQ43" s="49" t="str">
        <f>+"Provincia de Malleco"</f>
        <v>Provincia de Malleco</v>
      </c>
      <c r="AX43" s="120">
        <v>4.2</v>
      </c>
      <c r="BD43">
        <f>Temperatura_interior_fija-DATOS_TEMPERATURA_MEDIA_MÍNIMA[[#This Row],[Julio]]</f>
        <v>14.8</v>
      </c>
      <c r="BG43" t="s">
        <v>1588</v>
      </c>
      <c r="BH43" s="47">
        <v>89</v>
      </c>
      <c r="BI43" s="47">
        <v>79.400000000000006</v>
      </c>
      <c r="BJ43" s="47">
        <v>86.8</v>
      </c>
      <c r="BK43" s="47">
        <v>166.5</v>
      </c>
      <c r="BL43" s="47">
        <v>417.3</v>
      </c>
      <c r="BM43" s="47">
        <v>395.4</v>
      </c>
      <c r="BN43" s="47">
        <v>413.1</v>
      </c>
      <c r="BO43" s="47">
        <v>326.10000000000002</v>
      </c>
      <c r="BP43" s="47">
        <v>233.2</v>
      </c>
      <c r="BQ43" s="47">
        <v>192.4</v>
      </c>
      <c r="BR43" s="47">
        <v>123.6</v>
      </c>
      <c r="BS43" s="47">
        <v>102.9</v>
      </c>
      <c r="BT43" s="47">
        <v>2625.7</v>
      </c>
      <c r="BU43" s="47">
        <v>178.4</v>
      </c>
      <c r="BV43" s="88">
        <f>AVERAGE(Tabla32[[#This Row],[Mayo]:[Septiembre]])/30</f>
        <v>11.900666666666668</v>
      </c>
      <c r="CA43" s="49" t="s">
        <v>592</v>
      </c>
      <c r="CB43" s="88">
        <v>1.5</v>
      </c>
      <c r="CC43" s="88">
        <v>1.6</v>
      </c>
      <c r="CD43" s="88">
        <v>0.5</v>
      </c>
      <c r="CE43" s="88">
        <v>-2</v>
      </c>
      <c r="CF43" s="88">
        <v>-4</v>
      </c>
      <c r="CG43" s="88">
        <v>-5.7</v>
      </c>
      <c r="CH43" s="88">
        <v>-5.6</v>
      </c>
      <c r="CI43" s="88">
        <v>-6.7</v>
      </c>
      <c r="CJ43" s="88">
        <v>-4.4000000000000004</v>
      </c>
      <c r="CK43" s="88">
        <v>-2.5</v>
      </c>
      <c r="CL43" s="88">
        <v>-1</v>
      </c>
      <c r="CM43" s="88">
        <v>0.6</v>
      </c>
      <c r="CN43" s="88">
        <v>-2.2999999999999998</v>
      </c>
      <c r="CO43" s="88">
        <f>IF(DATOS_TEMPERATURA_MEDIA45[[#This Row],[Enero]]&gt;$DA$1,0,20-DATOS_TEMPERATURA_MEDIA45[[#This Row],[Enero]])*CO$1</f>
        <v>573.5</v>
      </c>
      <c r="CP43" s="88">
        <f>IF(DATOS_TEMPERATURA_MEDIA45[[#This Row],[Febrero]]&gt;$DA$1,0,20-DATOS_TEMPERATURA_MEDIA45[[#This Row],[Febrero]])*CP$1</f>
        <v>515.19999999999993</v>
      </c>
      <c r="CQ43" s="88">
        <f>IF(DATOS_TEMPERATURA_MEDIA45[[#This Row],[Marzo]]&gt;$DA$1,0,20-DATOS_TEMPERATURA_MEDIA45[[#This Row],[Marzo]])*CQ$1</f>
        <v>604.5</v>
      </c>
      <c r="CR43" s="88">
        <f>IF(DATOS_TEMPERATURA_MEDIA45[[#This Row],[Abril]]&gt;$DA$1,0,20-DATOS_TEMPERATURA_MEDIA45[[#This Row],[Abril]])*CR$1</f>
        <v>660</v>
      </c>
      <c r="CS43" s="88">
        <f>IF(DATOS_TEMPERATURA_MEDIA45[[#This Row],[Mayo]]&gt;$DA$1,0,20-DATOS_TEMPERATURA_MEDIA45[[#This Row],[Mayo]])*CS$1</f>
        <v>744</v>
      </c>
      <c r="CT43" s="88">
        <f>IF(DATOS_TEMPERATURA_MEDIA45[[#This Row],[Junio]]&gt;$DA$1,0,20-DATOS_TEMPERATURA_MEDIA45[[#This Row],[Junio]])*CT$1</f>
        <v>771</v>
      </c>
      <c r="CU43" s="88">
        <f>IF(DATOS_TEMPERATURA_MEDIA45[[#This Row],[Julio]]&gt;$DA$1,0,20-DATOS_TEMPERATURA_MEDIA45[[#This Row],[Julio]])*CU$1</f>
        <v>793.6</v>
      </c>
      <c r="CV43" s="88">
        <f>IF(DATOS_TEMPERATURA_MEDIA45[[#This Row],[Agosto]]&gt;$DA$1,0,20-DATOS_TEMPERATURA_MEDIA45[[#This Row],[Agosto]])*CV$1</f>
        <v>827.69999999999993</v>
      </c>
      <c r="CW43" s="88">
        <f>IF(DATOS_TEMPERATURA_MEDIA45[[#This Row],[Septiembre]]&gt;$DA$1,0,20-DATOS_TEMPERATURA_MEDIA45[[#This Row],[Septiembre]])*CW$1</f>
        <v>732</v>
      </c>
      <c r="CX43" s="88">
        <f>IF(DATOS_TEMPERATURA_MEDIA45[[#This Row],[Octubre]]&gt;$DA$1,0,20-DATOS_TEMPERATURA_MEDIA45[[#This Row],[Octubre]])*CX$1</f>
        <v>697.5</v>
      </c>
      <c r="CY43" s="88">
        <f>IF(DATOS_TEMPERATURA_MEDIA45[[#This Row],[Noviembre]]&gt;$DA$1,0,20-DATOS_TEMPERATURA_MEDIA45[[#This Row],[Noviembre]])*CY$1</f>
        <v>630</v>
      </c>
      <c r="CZ43" s="88">
        <f>IF(DATOS_TEMPERATURA_MEDIA45[[#This Row],[Diciembre]]&gt;$DA$1,0,20-DATOS_TEMPERATURA_MEDIA45[[#This Row],[Diciembre]])*CZ$1</f>
        <v>601.4</v>
      </c>
      <c r="DA43" s="88">
        <f>SUM(DATOS_TEMPERATURA_MEDIA45[[#This Row],[GDC 1]:[GDC 12]])</f>
        <v>8150.4</v>
      </c>
      <c r="DD43" t="s">
        <v>754</v>
      </c>
      <c r="DF43">
        <v>37</v>
      </c>
      <c r="DG43">
        <v>48</v>
      </c>
      <c r="DH43">
        <v>72</v>
      </c>
      <c r="DI43">
        <v>42</v>
      </c>
      <c r="DJ43">
        <f t="shared" si="0"/>
        <v>-37.799999999999997</v>
      </c>
      <c r="DK43">
        <f t="shared" si="1"/>
        <v>-72.7</v>
      </c>
      <c r="DL43">
        <v>72</v>
      </c>
    </row>
    <row r="44" spans="2:116" x14ac:dyDescent="0.45">
      <c r="B44" t="s">
        <v>594</v>
      </c>
      <c r="C44" s="104">
        <v>0.3</v>
      </c>
      <c r="D44">
        <v>0.25</v>
      </c>
      <c r="E44">
        <v>0.32</v>
      </c>
      <c r="H44" t="s">
        <v>595</v>
      </c>
      <c r="J44" t="s">
        <v>596</v>
      </c>
      <c r="K44" t="s">
        <v>597</v>
      </c>
      <c r="P44">
        <v>25</v>
      </c>
      <c r="Q44" s="48">
        <v>0.25</v>
      </c>
      <c r="R44" s="48">
        <v>1.54</v>
      </c>
      <c r="S44" s="48">
        <v>0.26</v>
      </c>
      <c r="T44" s="48">
        <v>1.7</v>
      </c>
      <c r="U44">
        <v>42</v>
      </c>
      <c r="V44" s="49" t="s">
        <v>598</v>
      </c>
      <c r="W44" t="s">
        <v>1699</v>
      </c>
      <c r="X44" s="88">
        <v>1.2</v>
      </c>
      <c r="Y44" s="88">
        <v>1.3</v>
      </c>
      <c r="Z44" s="88">
        <v>0.2</v>
      </c>
      <c r="AA44" s="88">
        <v>-2</v>
      </c>
      <c r="AB44" s="88">
        <v>-4</v>
      </c>
      <c r="AC44" s="88">
        <v>-5.7</v>
      </c>
      <c r="AD44" s="88">
        <v>-6.7</v>
      </c>
      <c r="AE44" s="88">
        <v>-6.7</v>
      </c>
      <c r="AF44" s="88">
        <v>-4.5999999999999996</v>
      </c>
      <c r="AG44" s="88">
        <v>-2.8</v>
      </c>
      <c r="AH44" s="88">
        <v>-1</v>
      </c>
      <c r="AI44" s="88">
        <v>0.6</v>
      </c>
      <c r="AJ44" s="88">
        <v>-2.5</v>
      </c>
      <c r="AK44" s="88"/>
      <c r="AL44" s="88"/>
      <c r="AM44" s="88"/>
      <c r="AN44" s="88">
        <f>MAX(DATOS_TEMPERATURA_MEDIA[[#This Row],[Enero]:[Diciembre]])-MIN(DATOS_TEMPERATURA_MEDIA[[#This Row],[Enero]:[Diciembre]])</f>
        <v>8</v>
      </c>
      <c r="AP44" s="7" t="s">
        <v>551</v>
      </c>
      <c r="AQ44" s="49" t="str">
        <f>+"Provincia de Cautín"</f>
        <v>Provincia de Cautín</v>
      </c>
      <c r="AX44" s="120">
        <v>3.9</v>
      </c>
      <c r="BD44">
        <f>Temperatura_interior_fija-DATOS_TEMPERATURA_MEDIA_MÍNIMA[[#This Row],[Julio]]</f>
        <v>15.1</v>
      </c>
      <c r="BG44" t="s">
        <v>1589</v>
      </c>
      <c r="BH44" s="47">
        <v>68.8</v>
      </c>
      <c r="BI44" s="47">
        <v>60.9</v>
      </c>
      <c r="BJ44" s="47">
        <v>77.3</v>
      </c>
      <c r="BK44" s="47">
        <v>148.19999999999999</v>
      </c>
      <c r="BL44" s="47">
        <v>336.1</v>
      </c>
      <c r="BM44" s="47">
        <v>323.7</v>
      </c>
      <c r="BN44" s="47">
        <v>342.1</v>
      </c>
      <c r="BO44" s="47">
        <v>290.2</v>
      </c>
      <c r="BP44" s="47">
        <v>183.3</v>
      </c>
      <c r="BQ44" s="47">
        <v>138.5</v>
      </c>
      <c r="BR44" s="47">
        <v>103</v>
      </c>
      <c r="BS44" s="47">
        <v>72.599999999999994</v>
      </c>
      <c r="BT44" s="47">
        <v>2144.6999999999998</v>
      </c>
      <c r="BU44" s="47">
        <v>250</v>
      </c>
      <c r="BV44" s="88">
        <f>AVERAGE(Tabla32[[#This Row],[Mayo]:[Septiembre]])/30</f>
        <v>9.8360000000000003</v>
      </c>
      <c r="CA44" s="49" t="s">
        <v>598</v>
      </c>
      <c r="CB44" s="88">
        <v>1.2</v>
      </c>
      <c r="CC44" s="88">
        <v>1.3</v>
      </c>
      <c r="CD44" s="88">
        <v>0.2</v>
      </c>
      <c r="CE44" s="88">
        <v>-2</v>
      </c>
      <c r="CF44" s="88">
        <v>-4</v>
      </c>
      <c r="CG44" s="88">
        <v>-5.7</v>
      </c>
      <c r="CH44" s="88">
        <v>-6.7</v>
      </c>
      <c r="CI44" s="88">
        <v>-6.7</v>
      </c>
      <c r="CJ44" s="88">
        <v>-4.5999999999999996</v>
      </c>
      <c r="CK44" s="88">
        <v>-2.8</v>
      </c>
      <c r="CL44" s="88">
        <v>-1</v>
      </c>
      <c r="CM44" s="88">
        <v>0.6</v>
      </c>
      <c r="CN44" s="88">
        <v>-2.5</v>
      </c>
      <c r="CO44" s="88">
        <f>IF(DATOS_TEMPERATURA_MEDIA45[[#This Row],[Enero]]&gt;$DA$1,0,20-DATOS_TEMPERATURA_MEDIA45[[#This Row],[Enero]])*CO$1</f>
        <v>582.80000000000007</v>
      </c>
      <c r="CP44" s="88">
        <f>IF(DATOS_TEMPERATURA_MEDIA45[[#This Row],[Febrero]]&gt;$DA$1,0,20-DATOS_TEMPERATURA_MEDIA45[[#This Row],[Febrero]])*CP$1</f>
        <v>523.6</v>
      </c>
      <c r="CQ44" s="88">
        <f>IF(DATOS_TEMPERATURA_MEDIA45[[#This Row],[Marzo]]&gt;$DA$1,0,20-DATOS_TEMPERATURA_MEDIA45[[#This Row],[Marzo]])*CQ$1</f>
        <v>613.80000000000007</v>
      </c>
      <c r="CR44" s="88">
        <f>IF(DATOS_TEMPERATURA_MEDIA45[[#This Row],[Abril]]&gt;$DA$1,0,20-DATOS_TEMPERATURA_MEDIA45[[#This Row],[Abril]])*CR$1</f>
        <v>660</v>
      </c>
      <c r="CS44" s="88">
        <f>IF(DATOS_TEMPERATURA_MEDIA45[[#This Row],[Mayo]]&gt;$DA$1,0,20-DATOS_TEMPERATURA_MEDIA45[[#This Row],[Mayo]])*CS$1</f>
        <v>744</v>
      </c>
      <c r="CT44" s="88">
        <f>IF(DATOS_TEMPERATURA_MEDIA45[[#This Row],[Junio]]&gt;$DA$1,0,20-DATOS_TEMPERATURA_MEDIA45[[#This Row],[Junio]])*CT$1</f>
        <v>771</v>
      </c>
      <c r="CU44" s="88">
        <f>IF(DATOS_TEMPERATURA_MEDIA45[[#This Row],[Julio]]&gt;$DA$1,0,20-DATOS_TEMPERATURA_MEDIA45[[#This Row],[Julio]])*CU$1</f>
        <v>827.69999999999993</v>
      </c>
      <c r="CV44" s="88">
        <f>IF(DATOS_TEMPERATURA_MEDIA45[[#This Row],[Agosto]]&gt;$DA$1,0,20-DATOS_TEMPERATURA_MEDIA45[[#This Row],[Agosto]])*CV$1</f>
        <v>827.69999999999993</v>
      </c>
      <c r="CW44" s="88">
        <f>IF(DATOS_TEMPERATURA_MEDIA45[[#This Row],[Septiembre]]&gt;$DA$1,0,20-DATOS_TEMPERATURA_MEDIA45[[#This Row],[Septiembre]])*CW$1</f>
        <v>738</v>
      </c>
      <c r="CX44" s="88">
        <f>IF(DATOS_TEMPERATURA_MEDIA45[[#This Row],[Octubre]]&gt;$DA$1,0,20-DATOS_TEMPERATURA_MEDIA45[[#This Row],[Octubre]])*CX$1</f>
        <v>706.80000000000007</v>
      </c>
      <c r="CY44" s="88">
        <f>IF(DATOS_TEMPERATURA_MEDIA45[[#This Row],[Noviembre]]&gt;$DA$1,0,20-DATOS_TEMPERATURA_MEDIA45[[#This Row],[Noviembre]])*CY$1</f>
        <v>630</v>
      </c>
      <c r="CZ44" s="88">
        <f>IF(DATOS_TEMPERATURA_MEDIA45[[#This Row],[Diciembre]]&gt;$DA$1,0,20-DATOS_TEMPERATURA_MEDIA45[[#This Row],[Diciembre]])*CZ$1</f>
        <v>601.4</v>
      </c>
      <c r="DA44" s="88">
        <f>SUM(DATOS_TEMPERATURA_MEDIA45[[#This Row],[GDC 1]:[GDC 12]])</f>
        <v>8226.8000000000011</v>
      </c>
      <c r="DD44" t="s">
        <v>1132</v>
      </c>
      <c r="DF44">
        <v>38</v>
      </c>
      <c r="DG44">
        <v>15</v>
      </c>
      <c r="DH44">
        <v>72</v>
      </c>
      <c r="DI44">
        <v>40</v>
      </c>
      <c r="DJ44">
        <f t="shared" si="0"/>
        <v>-38.25</v>
      </c>
      <c r="DK44">
        <f t="shared" si="1"/>
        <v>-72.666666666666671</v>
      </c>
      <c r="DL44">
        <v>177</v>
      </c>
    </row>
    <row r="45" spans="2:116" x14ac:dyDescent="0.45">
      <c r="H45" t="s">
        <v>408</v>
      </c>
      <c r="I45" t="s">
        <v>112</v>
      </c>
      <c r="J45">
        <v>1</v>
      </c>
      <c r="K45">
        <v>31</v>
      </c>
      <c r="P45">
        <v>30</v>
      </c>
      <c r="Q45" s="48">
        <v>0.23</v>
      </c>
      <c r="R45" s="48">
        <v>1.52</v>
      </c>
      <c r="S45" s="48">
        <v>0.24</v>
      </c>
      <c r="T45" s="48">
        <v>1.66</v>
      </c>
      <c r="U45">
        <v>43</v>
      </c>
      <c r="V45" s="49" t="s">
        <v>599</v>
      </c>
      <c r="W45" t="s">
        <v>1699</v>
      </c>
      <c r="X45" s="88">
        <v>0.5</v>
      </c>
      <c r="Y45" s="88">
        <v>0.1</v>
      </c>
      <c r="Z45" s="88">
        <v>-1.4</v>
      </c>
      <c r="AA45" s="88">
        <v>-4.0999999999999996</v>
      </c>
      <c r="AB45" s="88">
        <v>-6.3</v>
      </c>
      <c r="AC45" s="88">
        <v>-8</v>
      </c>
      <c r="AD45" s="88">
        <v>-8.5</v>
      </c>
      <c r="AE45" s="88">
        <v>-8.4</v>
      </c>
      <c r="AF45" s="88">
        <v>-5.6</v>
      </c>
      <c r="AG45" s="88">
        <v>-3.5</v>
      </c>
      <c r="AH45" s="88">
        <v>-1.7</v>
      </c>
      <c r="AI45" s="88">
        <v>0.1</v>
      </c>
      <c r="AJ45" s="88">
        <v>-3.9</v>
      </c>
      <c r="AK45" s="88"/>
      <c r="AL45" s="88"/>
      <c r="AM45" s="88"/>
      <c r="AN45" s="88">
        <f>MAX(DATOS_TEMPERATURA_MEDIA[[#This Row],[Enero]:[Diciembre]])-MIN(DATOS_TEMPERATURA_MEDIA[[#This Row],[Enero]:[Diciembre]])</f>
        <v>9</v>
      </c>
      <c r="AP45" s="7" t="s">
        <v>555</v>
      </c>
      <c r="AQ45" s="49" t="str">
        <f>+"Provincia de Valdivia"</f>
        <v>Provincia de Valdivia</v>
      </c>
      <c r="AX45" s="120">
        <v>3.5</v>
      </c>
      <c r="BD45">
        <f>Temperatura_interior_fija-DATOS_TEMPERATURA_MEDIA_MÍNIMA[[#This Row],[Julio]]</f>
        <v>15.5</v>
      </c>
      <c r="BG45" t="s">
        <v>1590</v>
      </c>
      <c r="BH45" s="47">
        <v>42.3</v>
      </c>
      <c r="BI45" s="47">
        <v>49</v>
      </c>
      <c r="BJ45" s="47">
        <v>57.3</v>
      </c>
      <c r="BK45" s="47">
        <v>115.6</v>
      </c>
      <c r="BL45" s="47">
        <v>246.4</v>
      </c>
      <c r="BM45" s="47">
        <v>234.9</v>
      </c>
      <c r="BN45" s="47">
        <v>235.1</v>
      </c>
      <c r="BO45" s="47">
        <v>203.3</v>
      </c>
      <c r="BP45" s="47">
        <v>127.4</v>
      </c>
      <c r="BQ45" s="47">
        <v>98.7</v>
      </c>
      <c r="BR45" s="47">
        <v>65.7</v>
      </c>
      <c r="BS45" s="47">
        <v>55.1</v>
      </c>
      <c r="BT45" s="47">
        <v>1530.8</v>
      </c>
      <c r="BU45" s="47">
        <v>155.19999999999999</v>
      </c>
      <c r="BV45" s="88">
        <f>AVERAGE(Tabla32[[#This Row],[Mayo]:[Septiembre]])/30</f>
        <v>6.980666666666667</v>
      </c>
      <c r="CA45" s="49" t="s">
        <v>599</v>
      </c>
      <c r="CB45" s="88">
        <v>0.5</v>
      </c>
      <c r="CC45" s="88">
        <v>0.1</v>
      </c>
      <c r="CD45" s="88">
        <v>-1.4</v>
      </c>
      <c r="CE45" s="88">
        <v>-4.0999999999999996</v>
      </c>
      <c r="CF45" s="88">
        <v>-6.3</v>
      </c>
      <c r="CG45" s="88">
        <v>-8</v>
      </c>
      <c r="CH45" s="88">
        <v>-8.5</v>
      </c>
      <c r="CI45" s="88">
        <v>-8.4</v>
      </c>
      <c r="CJ45" s="88">
        <v>-5.6</v>
      </c>
      <c r="CK45" s="88">
        <v>-3.5</v>
      </c>
      <c r="CL45" s="88">
        <v>-1.7</v>
      </c>
      <c r="CM45" s="88">
        <v>0.1</v>
      </c>
      <c r="CN45" s="88">
        <v>-3.9</v>
      </c>
      <c r="CO45" s="88">
        <f>IF(DATOS_TEMPERATURA_MEDIA45[[#This Row],[Enero]]&gt;$DA$1,0,20-DATOS_TEMPERATURA_MEDIA45[[#This Row],[Enero]])*CO$1</f>
        <v>604.5</v>
      </c>
      <c r="CP45" s="88">
        <f>IF(DATOS_TEMPERATURA_MEDIA45[[#This Row],[Febrero]]&gt;$DA$1,0,20-DATOS_TEMPERATURA_MEDIA45[[#This Row],[Febrero]])*CP$1</f>
        <v>557.19999999999993</v>
      </c>
      <c r="CQ45" s="88">
        <f>IF(DATOS_TEMPERATURA_MEDIA45[[#This Row],[Marzo]]&gt;$DA$1,0,20-DATOS_TEMPERATURA_MEDIA45[[#This Row],[Marzo]])*CQ$1</f>
        <v>663.4</v>
      </c>
      <c r="CR45" s="88">
        <f>IF(DATOS_TEMPERATURA_MEDIA45[[#This Row],[Abril]]&gt;$DA$1,0,20-DATOS_TEMPERATURA_MEDIA45[[#This Row],[Abril]])*CR$1</f>
        <v>723</v>
      </c>
      <c r="CS45" s="88">
        <f>IF(DATOS_TEMPERATURA_MEDIA45[[#This Row],[Mayo]]&gt;$DA$1,0,20-DATOS_TEMPERATURA_MEDIA45[[#This Row],[Mayo]])*CS$1</f>
        <v>815.30000000000007</v>
      </c>
      <c r="CT45" s="88">
        <f>IF(DATOS_TEMPERATURA_MEDIA45[[#This Row],[Junio]]&gt;$DA$1,0,20-DATOS_TEMPERATURA_MEDIA45[[#This Row],[Junio]])*CT$1</f>
        <v>840</v>
      </c>
      <c r="CU45" s="88">
        <f>IF(DATOS_TEMPERATURA_MEDIA45[[#This Row],[Julio]]&gt;$DA$1,0,20-DATOS_TEMPERATURA_MEDIA45[[#This Row],[Julio]])*CU$1</f>
        <v>883.5</v>
      </c>
      <c r="CV45" s="88">
        <f>IF(DATOS_TEMPERATURA_MEDIA45[[#This Row],[Agosto]]&gt;$DA$1,0,20-DATOS_TEMPERATURA_MEDIA45[[#This Row],[Agosto]])*CV$1</f>
        <v>880.4</v>
      </c>
      <c r="CW45" s="88">
        <f>IF(DATOS_TEMPERATURA_MEDIA45[[#This Row],[Septiembre]]&gt;$DA$1,0,20-DATOS_TEMPERATURA_MEDIA45[[#This Row],[Septiembre]])*CW$1</f>
        <v>768</v>
      </c>
      <c r="CX45" s="88">
        <f>IF(DATOS_TEMPERATURA_MEDIA45[[#This Row],[Octubre]]&gt;$DA$1,0,20-DATOS_TEMPERATURA_MEDIA45[[#This Row],[Octubre]])*CX$1</f>
        <v>728.5</v>
      </c>
      <c r="CY45" s="88">
        <f>IF(DATOS_TEMPERATURA_MEDIA45[[#This Row],[Noviembre]]&gt;$DA$1,0,20-DATOS_TEMPERATURA_MEDIA45[[#This Row],[Noviembre]])*CY$1</f>
        <v>651</v>
      </c>
      <c r="CZ45" s="88">
        <f>IF(DATOS_TEMPERATURA_MEDIA45[[#This Row],[Diciembre]]&gt;$DA$1,0,20-DATOS_TEMPERATURA_MEDIA45[[#This Row],[Diciembre]])*CZ$1</f>
        <v>616.9</v>
      </c>
      <c r="DA45" s="88">
        <f>SUM(DATOS_TEMPERATURA_MEDIA45[[#This Row],[GDC 1]:[GDC 12]])</f>
        <v>8731.6999999999989</v>
      </c>
      <c r="DD45" t="s">
        <v>1001</v>
      </c>
      <c r="DF45">
        <v>38</v>
      </c>
      <c r="DG45">
        <v>26</v>
      </c>
      <c r="DH45">
        <v>71</v>
      </c>
      <c r="DI45">
        <v>15</v>
      </c>
      <c r="DJ45">
        <f t="shared" si="0"/>
        <v>-38.43333333333333</v>
      </c>
      <c r="DK45">
        <f t="shared" si="1"/>
        <v>-71.25</v>
      </c>
      <c r="DL45">
        <v>900</v>
      </c>
    </row>
    <row r="46" spans="2:116" x14ac:dyDescent="0.45">
      <c r="H46" t="s">
        <v>409</v>
      </c>
      <c r="I46" t="s">
        <v>113</v>
      </c>
      <c r="J46">
        <v>2</v>
      </c>
      <c r="K46">
        <v>28</v>
      </c>
      <c r="P46">
        <v>35</v>
      </c>
      <c r="Q46" s="48">
        <v>0.22</v>
      </c>
      <c r="R46" s="48">
        <v>1.5</v>
      </c>
      <c r="S46" s="48">
        <v>0.22</v>
      </c>
      <c r="T46" s="48">
        <v>1.62</v>
      </c>
      <c r="AP46" s="118" t="s">
        <v>558</v>
      </c>
      <c r="AQ46" s="49" t="str">
        <f>+"Provincia del Ranco"</f>
        <v>Provincia del Ranco</v>
      </c>
      <c r="AX46" s="120">
        <v>5.0999999999999996</v>
      </c>
      <c r="BD46">
        <f>Temperatura_interior_fija-DATOS_TEMPERATURA_MEDIA_MÍNIMA[[#This Row],[Julio]]</f>
        <v>13.9</v>
      </c>
      <c r="BG46" t="s">
        <v>1591</v>
      </c>
      <c r="BH46" s="47">
        <v>54.1</v>
      </c>
      <c r="BI46" s="47">
        <v>54.6</v>
      </c>
      <c r="BJ46" s="47">
        <v>70.5</v>
      </c>
      <c r="BK46" s="47">
        <v>133</v>
      </c>
      <c r="BL46" s="47">
        <v>294.60000000000002</v>
      </c>
      <c r="BM46" s="47">
        <v>297.10000000000002</v>
      </c>
      <c r="BN46" s="47">
        <v>312.3</v>
      </c>
      <c r="BO46" s="47">
        <v>247</v>
      </c>
      <c r="BP46" s="47">
        <v>162.4</v>
      </c>
      <c r="BQ46" s="47">
        <v>109.2</v>
      </c>
      <c r="BR46" s="47">
        <v>73</v>
      </c>
      <c r="BS46" s="47">
        <v>63.2</v>
      </c>
      <c r="BT46" s="47">
        <v>1871</v>
      </c>
      <c r="BU46" s="47">
        <v>175.4</v>
      </c>
      <c r="BV46" s="88">
        <f>AVERAGE(Tabla32[[#This Row],[Mayo]:[Septiembre]])/30</f>
        <v>8.7560000000000002</v>
      </c>
      <c r="DD46" t="s">
        <v>883</v>
      </c>
      <c r="DF46">
        <v>38</v>
      </c>
      <c r="DG46">
        <v>26</v>
      </c>
      <c r="DH46">
        <v>71</v>
      </c>
      <c r="DI46">
        <v>54</v>
      </c>
      <c r="DJ46">
        <f t="shared" si="0"/>
        <v>-38.43333333333333</v>
      </c>
      <c r="DK46">
        <f t="shared" si="1"/>
        <v>-71.900000000000006</v>
      </c>
      <c r="DL46">
        <v>521</v>
      </c>
    </row>
    <row r="47" spans="2:116" x14ac:dyDescent="0.45">
      <c r="C47" t="s">
        <v>600</v>
      </c>
      <c r="E47" t="s">
        <v>145</v>
      </c>
      <c r="H47" t="s">
        <v>410</v>
      </c>
      <c r="I47" t="s">
        <v>114</v>
      </c>
      <c r="J47">
        <v>3</v>
      </c>
      <c r="K47">
        <v>31</v>
      </c>
      <c r="P47">
        <v>40</v>
      </c>
      <c r="Q47" s="48">
        <v>0.2</v>
      </c>
      <c r="R47" s="48">
        <v>1.49</v>
      </c>
      <c r="S47" s="48">
        <v>0.21</v>
      </c>
      <c r="T47" s="48">
        <v>1.6</v>
      </c>
      <c r="AP47" s="119" t="s">
        <v>601</v>
      </c>
      <c r="AQ47" s="49" t="str">
        <f>+"Provincia de Osorno"</f>
        <v>Provincia de Osorno</v>
      </c>
      <c r="AX47" s="120">
        <v>3.4</v>
      </c>
      <c r="BD47">
        <f>Temperatura_interior_fija-DATOS_TEMPERATURA_MEDIA_MÍNIMA[[#This Row],[Julio]]</f>
        <v>15.6</v>
      </c>
      <c r="BG47" t="s">
        <v>1062</v>
      </c>
      <c r="BH47" s="47">
        <v>63.5</v>
      </c>
      <c r="BI47" s="47">
        <v>61.1</v>
      </c>
      <c r="BJ47" s="47">
        <v>81.099999999999994</v>
      </c>
      <c r="BK47" s="47">
        <v>139.9</v>
      </c>
      <c r="BL47" s="47">
        <v>356.3</v>
      </c>
      <c r="BM47" s="47">
        <v>362.9</v>
      </c>
      <c r="BN47" s="47">
        <v>388.1</v>
      </c>
      <c r="BO47" s="47">
        <v>301</v>
      </c>
      <c r="BP47" s="47">
        <v>200.9</v>
      </c>
      <c r="BQ47" s="47">
        <v>167.1</v>
      </c>
      <c r="BR47" s="47">
        <v>120.4</v>
      </c>
      <c r="BS47" s="47">
        <v>103.6</v>
      </c>
      <c r="BT47" s="47">
        <v>2345.9</v>
      </c>
      <c r="BU47" s="47">
        <v>254</v>
      </c>
      <c r="BV47" s="88">
        <f>AVERAGE(Tabla32[[#This Row],[Mayo]:[Septiembre]])/30</f>
        <v>10.728000000000002</v>
      </c>
      <c r="DD47" t="s">
        <v>557</v>
      </c>
      <c r="DF47">
        <v>38</v>
      </c>
      <c r="DG47">
        <v>45</v>
      </c>
      <c r="DH47">
        <v>72</v>
      </c>
      <c r="DI47">
        <v>38</v>
      </c>
      <c r="DJ47">
        <f t="shared" si="0"/>
        <v>-38.75</v>
      </c>
      <c r="DK47">
        <f t="shared" si="1"/>
        <v>-72.63333333333334</v>
      </c>
      <c r="DL47">
        <v>114</v>
      </c>
    </row>
    <row r="48" spans="2:116" x14ac:dyDescent="0.45">
      <c r="B48" t="s">
        <v>149</v>
      </c>
      <c r="C48" t="s">
        <v>602</v>
      </c>
      <c r="D48" t="s">
        <v>603</v>
      </c>
      <c r="E48" t="s">
        <v>602</v>
      </c>
      <c r="F48" t="s">
        <v>603</v>
      </c>
      <c r="H48" t="s">
        <v>411</v>
      </c>
      <c r="I48" t="s">
        <v>115</v>
      </c>
      <c r="J48">
        <v>4</v>
      </c>
      <c r="K48">
        <v>30</v>
      </c>
      <c r="P48">
        <v>45</v>
      </c>
      <c r="Q48" s="48">
        <v>0.19</v>
      </c>
      <c r="R48" s="48">
        <v>1.47</v>
      </c>
      <c r="S48" s="48">
        <v>0.19</v>
      </c>
      <c r="T48" s="48">
        <v>1.58</v>
      </c>
      <c r="AI48" s="1"/>
      <c r="AJ48" s="1"/>
      <c r="AK48" s="1"/>
      <c r="AL48" s="1"/>
      <c r="AM48" s="1"/>
      <c r="AN48" s="1"/>
      <c r="AO48" s="1"/>
      <c r="AP48" s="119" t="s">
        <v>605</v>
      </c>
      <c r="AQ48" s="49" t="str">
        <f>+"Provincia de Llanquihue"</f>
        <v>Provincia de Llanquihue</v>
      </c>
      <c r="AX48" s="120">
        <v>3.9</v>
      </c>
      <c r="BD48">
        <f>Temperatura_interior_fija-DATOS_TEMPERATURA_MEDIA_MÍNIMA[[#This Row],[Julio]]</f>
        <v>15.1</v>
      </c>
      <c r="BG48" t="s">
        <v>969</v>
      </c>
      <c r="BH48" s="47">
        <v>78.599999999999994</v>
      </c>
      <c r="BI48" s="47">
        <v>80.099999999999994</v>
      </c>
      <c r="BJ48" s="47">
        <v>90.5</v>
      </c>
      <c r="BK48" s="47">
        <v>146.30000000000001</v>
      </c>
      <c r="BL48" s="47">
        <v>272.89999999999998</v>
      </c>
      <c r="BM48" s="47">
        <v>272.7</v>
      </c>
      <c r="BN48" s="47">
        <v>266.2</v>
      </c>
      <c r="BO48" s="47">
        <v>253.4</v>
      </c>
      <c r="BP48" s="47">
        <v>170.5</v>
      </c>
      <c r="BQ48" s="47">
        <v>143.1</v>
      </c>
      <c r="BR48" s="47">
        <v>107.3</v>
      </c>
      <c r="BS48" s="47">
        <v>94.5</v>
      </c>
      <c r="BT48" s="47">
        <v>1976.1</v>
      </c>
      <c r="BU48" s="47">
        <v>135</v>
      </c>
      <c r="BV48" s="88">
        <f>AVERAGE(Tabla32[[#This Row],[Mayo]:[Septiembre]])/30</f>
        <v>8.2380000000000013</v>
      </c>
      <c r="DD48" t="s">
        <v>997</v>
      </c>
      <c r="DF48">
        <v>39</v>
      </c>
      <c r="DG48">
        <v>23</v>
      </c>
      <c r="DH48">
        <v>72</v>
      </c>
      <c r="DI48">
        <v>38</v>
      </c>
      <c r="DJ48">
        <f t="shared" si="0"/>
        <v>-39.383333333333333</v>
      </c>
      <c r="DK48">
        <f t="shared" si="1"/>
        <v>-72.63333333333334</v>
      </c>
      <c r="DL48">
        <v>112</v>
      </c>
    </row>
    <row r="49" spans="2:116" x14ac:dyDescent="0.45">
      <c r="B49" t="s">
        <v>606</v>
      </c>
      <c r="C49">
        <v>45</v>
      </c>
      <c r="D49">
        <v>45</v>
      </c>
      <c r="E49">
        <v>41</v>
      </c>
      <c r="F49">
        <v>41</v>
      </c>
      <c r="H49" t="s">
        <v>412</v>
      </c>
      <c r="I49" t="s">
        <v>116</v>
      </c>
      <c r="J49">
        <v>5</v>
      </c>
      <c r="K49">
        <v>31</v>
      </c>
      <c r="P49">
        <v>50</v>
      </c>
      <c r="Q49" s="48">
        <v>0.18</v>
      </c>
      <c r="R49" s="48">
        <v>1.46</v>
      </c>
      <c r="S49" s="48">
        <v>0.18</v>
      </c>
      <c r="T49" s="48">
        <v>1.56</v>
      </c>
      <c r="V49" s="485" t="s">
        <v>604</v>
      </c>
      <c r="W49" s="486"/>
      <c r="X49" s="486"/>
      <c r="Y49" s="486"/>
      <c r="Z49" s="486"/>
      <c r="AA49" s="486"/>
      <c r="AB49" s="486"/>
      <c r="AC49" s="486"/>
      <c r="AD49" s="486"/>
      <c r="AE49" s="486"/>
      <c r="AF49" s="486"/>
      <c r="AG49" s="486"/>
      <c r="AH49" s="486"/>
      <c r="AI49" s="486"/>
      <c r="AJ49" s="314"/>
      <c r="AK49" s="314"/>
      <c r="AL49" s="314"/>
      <c r="AM49" s="314"/>
      <c r="AN49" s="314"/>
      <c r="AO49" s="314"/>
      <c r="AP49" s="7" t="s">
        <v>560</v>
      </c>
      <c r="AQ49" s="49" t="str">
        <f>+"Provincia de Chiloé"</f>
        <v>Provincia de Chiloé</v>
      </c>
      <c r="AX49" s="120">
        <v>4</v>
      </c>
      <c r="BD49">
        <f>Temperatura_interior_fija-DATOS_TEMPERATURA_MEDIA_MÍNIMA[[#This Row],[Julio]]</f>
        <v>15</v>
      </c>
      <c r="BG49" t="s">
        <v>1123</v>
      </c>
      <c r="BH49" s="47">
        <v>42.9</v>
      </c>
      <c r="BI49" s="47">
        <v>47.4</v>
      </c>
      <c r="BJ49" s="47">
        <v>50.7</v>
      </c>
      <c r="BK49" s="47">
        <v>84.4</v>
      </c>
      <c r="BL49" s="47">
        <v>178.5</v>
      </c>
      <c r="BM49" s="47">
        <v>163.9</v>
      </c>
      <c r="BN49" s="47">
        <v>169.5</v>
      </c>
      <c r="BO49" s="47">
        <v>143</v>
      </c>
      <c r="BP49" s="47">
        <v>90</v>
      </c>
      <c r="BQ49" s="47">
        <v>64.099999999999994</v>
      </c>
      <c r="BR49" s="47">
        <v>54.9</v>
      </c>
      <c r="BS49" s="47">
        <v>53.2</v>
      </c>
      <c r="BT49" s="47">
        <v>1142.5</v>
      </c>
      <c r="BU49" s="47">
        <v>117.5</v>
      </c>
      <c r="BV49" s="88">
        <f>AVERAGE(Tabla32[[#This Row],[Mayo]:[Septiembre]])/30</f>
        <v>4.9659999999999993</v>
      </c>
      <c r="CA49" t="s">
        <v>430</v>
      </c>
      <c r="CO49" t="s">
        <v>475</v>
      </c>
      <c r="CQ49" t="s">
        <v>555</v>
      </c>
      <c r="CS49" t="s">
        <v>636</v>
      </c>
      <c r="DD49" t="s">
        <v>559</v>
      </c>
      <c r="DF49">
        <v>39</v>
      </c>
      <c r="DG49">
        <v>38</v>
      </c>
      <c r="DH49">
        <v>73</v>
      </c>
      <c r="DI49">
        <v>5</v>
      </c>
      <c r="DJ49">
        <f t="shared" si="0"/>
        <v>-39.633333333333333</v>
      </c>
      <c r="DK49">
        <f t="shared" si="1"/>
        <v>-73.083333333333329</v>
      </c>
      <c r="DL49">
        <v>19</v>
      </c>
    </row>
    <row r="50" spans="2:116" ht="14.65" thickBot="1" x14ac:dyDescent="0.5">
      <c r="B50" t="s">
        <v>607</v>
      </c>
      <c r="C50">
        <v>45</v>
      </c>
      <c r="D50">
        <v>69</v>
      </c>
      <c r="E50">
        <v>41</v>
      </c>
      <c r="F50">
        <v>65</v>
      </c>
      <c r="H50" t="s">
        <v>413</v>
      </c>
      <c r="I50" t="s">
        <v>117</v>
      </c>
      <c r="J50">
        <v>6</v>
      </c>
      <c r="K50">
        <v>30</v>
      </c>
      <c r="P50">
        <v>75</v>
      </c>
      <c r="Q50" s="48">
        <v>0.15</v>
      </c>
      <c r="R50" s="48">
        <v>1.43</v>
      </c>
      <c r="S50" s="48">
        <v>0.15</v>
      </c>
      <c r="T50" s="48">
        <v>1.5</v>
      </c>
      <c r="V50" s="85" t="s">
        <v>407</v>
      </c>
      <c r="W50" s="85" t="s">
        <v>277</v>
      </c>
      <c r="X50" s="86" t="s">
        <v>408</v>
      </c>
      <c r="Y50" s="86" t="s">
        <v>409</v>
      </c>
      <c r="Z50" s="86" t="s">
        <v>410</v>
      </c>
      <c r="AA50" s="86" t="s">
        <v>411</v>
      </c>
      <c r="AB50" s="86" t="s">
        <v>412</v>
      </c>
      <c r="AC50" s="86" t="s">
        <v>413</v>
      </c>
      <c r="AD50" s="86" t="s">
        <v>126</v>
      </c>
      <c r="AE50" s="86" t="s">
        <v>414</v>
      </c>
      <c r="AF50" s="86" t="s">
        <v>415</v>
      </c>
      <c r="AG50" s="86" t="s">
        <v>416</v>
      </c>
      <c r="AH50" s="86" t="s">
        <v>417</v>
      </c>
      <c r="AI50" s="87" t="s">
        <v>418</v>
      </c>
      <c r="AJ50" s="85" t="s">
        <v>608</v>
      </c>
      <c r="AK50" s="85" t="s">
        <v>729</v>
      </c>
      <c r="AL50" s="85" t="s">
        <v>728</v>
      </c>
      <c r="AM50" s="85" t="s">
        <v>1771</v>
      </c>
      <c r="AN50" s="1"/>
      <c r="AO50" s="1"/>
      <c r="AP50" s="7" t="s">
        <v>563</v>
      </c>
      <c r="AQ50" s="49" t="str">
        <f>+"Provincia de Palena"</f>
        <v>Provincia de Palena</v>
      </c>
      <c r="AX50" s="120">
        <v>-5.6</v>
      </c>
      <c r="BD50">
        <f>Temperatura_interior_fija-DATOS_TEMPERATURA_MEDIA_MÍNIMA[[#This Row],[Julio]]</f>
        <v>24.6</v>
      </c>
      <c r="BG50" t="s">
        <v>1140</v>
      </c>
      <c r="BH50" s="47">
        <v>48.9</v>
      </c>
      <c r="BI50" s="47">
        <v>51.9</v>
      </c>
      <c r="BJ50" s="47">
        <v>56.3</v>
      </c>
      <c r="BK50" s="47">
        <v>97.7</v>
      </c>
      <c r="BL50" s="47">
        <v>198.4</v>
      </c>
      <c r="BM50" s="47">
        <v>187</v>
      </c>
      <c r="BN50" s="47">
        <v>189.2</v>
      </c>
      <c r="BO50" s="47">
        <v>158.5</v>
      </c>
      <c r="BP50" s="47">
        <v>99.4</v>
      </c>
      <c r="BQ50" s="47">
        <v>69.7</v>
      </c>
      <c r="BR50" s="47">
        <v>57.3</v>
      </c>
      <c r="BS50" s="47">
        <v>46.7</v>
      </c>
      <c r="BT50" s="47">
        <v>1261</v>
      </c>
      <c r="BU50" s="47">
        <v>139.30000000000001</v>
      </c>
      <c r="BV50" s="88">
        <f>AVERAGE(Tabla32[[#This Row],[Mayo]:[Septiembre]])/30</f>
        <v>5.5499999999999989</v>
      </c>
      <c r="CA50" t="s">
        <v>435</v>
      </c>
      <c r="CO50" t="s">
        <v>479</v>
      </c>
      <c r="CQ50" t="s">
        <v>558</v>
      </c>
      <c r="CS50" t="s">
        <v>638</v>
      </c>
      <c r="DD50" t="s">
        <v>561</v>
      </c>
      <c r="DF50">
        <v>40</v>
      </c>
      <c r="DG50">
        <v>36</v>
      </c>
      <c r="DH50">
        <v>73</v>
      </c>
      <c r="DI50">
        <v>4</v>
      </c>
      <c r="DJ50">
        <f t="shared" si="0"/>
        <v>-40.6</v>
      </c>
      <c r="DK50">
        <f t="shared" si="1"/>
        <v>-73.066666666666663</v>
      </c>
      <c r="DL50">
        <v>65</v>
      </c>
    </row>
    <row r="51" spans="2:116" x14ac:dyDescent="0.45">
      <c r="B51" t="s">
        <v>143</v>
      </c>
      <c r="C51">
        <v>45</v>
      </c>
      <c r="D51">
        <v>94</v>
      </c>
      <c r="E51">
        <v>41</v>
      </c>
      <c r="F51">
        <v>90</v>
      </c>
      <c r="H51" t="s">
        <v>126</v>
      </c>
      <c r="I51" t="s">
        <v>118</v>
      </c>
      <c r="J51">
        <v>7</v>
      </c>
      <c r="K51">
        <v>31</v>
      </c>
      <c r="P51">
        <v>100</v>
      </c>
      <c r="Q51" s="48">
        <v>0.13</v>
      </c>
      <c r="R51" s="48">
        <v>1.41</v>
      </c>
      <c r="S51" s="48">
        <v>0.13</v>
      </c>
      <c r="T51" s="48">
        <v>1.47</v>
      </c>
      <c r="V51" s="50" t="s">
        <v>429</v>
      </c>
      <c r="W51" t="s">
        <v>125</v>
      </c>
      <c r="X51" s="48">
        <v>0.71</v>
      </c>
      <c r="Y51" s="48">
        <v>0.71</v>
      </c>
      <c r="Z51" s="48">
        <v>0.73</v>
      </c>
      <c r="AA51" s="48">
        <v>0.74</v>
      </c>
      <c r="AB51" s="48">
        <v>0.76</v>
      </c>
      <c r="AC51" s="48">
        <v>0.77</v>
      </c>
      <c r="AD51" s="48">
        <v>0.78</v>
      </c>
      <c r="AE51" s="48">
        <v>0.78</v>
      </c>
      <c r="AF51" s="48">
        <v>0.77</v>
      </c>
      <c r="AG51" s="48">
        <v>0.75</v>
      </c>
      <c r="AH51" s="48">
        <v>0.72</v>
      </c>
      <c r="AI51" s="48">
        <v>0.71</v>
      </c>
      <c r="AJ51" s="48">
        <v>0.74</v>
      </c>
      <c r="AK51" s="88">
        <v>-18.333333333333332</v>
      </c>
      <c r="AL51" s="88">
        <v>-70.316666666666663</v>
      </c>
      <c r="AM51" s="88">
        <v>100</v>
      </c>
      <c r="AN51" s="48"/>
      <c r="AO51" s="48"/>
      <c r="AP51" s="7" t="s">
        <v>568</v>
      </c>
      <c r="AQ51" s="49" t="str">
        <f>+"Provincia de Coyhaique"</f>
        <v>Provincia de Coyhaique</v>
      </c>
      <c r="AX51" s="120">
        <v>-0.4</v>
      </c>
      <c r="BD51">
        <f>Temperatura_interior_fija-DATOS_TEMPERATURA_MEDIA_MÍNIMA[[#This Row],[Julio]]</f>
        <v>19.399999999999999</v>
      </c>
      <c r="BG51" t="s">
        <v>1592</v>
      </c>
      <c r="BH51" s="47">
        <v>48.7</v>
      </c>
      <c r="BI51" s="47">
        <v>60.5</v>
      </c>
      <c r="BJ51" s="47">
        <v>53.2</v>
      </c>
      <c r="BK51" s="47">
        <v>105.2</v>
      </c>
      <c r="BL51" s="47">
        <v>199.6</v>
      </c>
      <c r="BM51" s="47">
        <v>189.8</v>
      </c>
      <c r="BN51" s="47">
        <v>197.8</v>
      </c>
      <c r="BO51" s="47">
        <v>173</v>
      </c>
      <c r="BP51" s="47">
        <v>104.6</v>
      </c>
      <c r="BQ51" s="47">
        <v>80.3</v>
      </c>
      <c r="BR51" s="47">
        <v>58.7</v>
      </c>
      <c r="BS51" s="47">
        <v>60.4</v>
      </c>
      <c r="BT51" s="47">
        <v>1331.8</v>
      </c>
      <c r="BU51" s="47">
        <v>96.4</v>
      </c>
      <c r="BV51" s="88">
        <f>AVERAGE(Tabla32[[#This Row],[Mayo]:[Septiembre]])/30</f>
        <v>5.7653333333333334</v>
      </c>
      <c r="CA51" t="s">
        <v>439</v>
      </c>
      <c r="CO51" t="s">
        <v>483</v>
      </c>
      <c r="CQ51" t="s">
        <v>560</v>
      </c>
      <c r="CS51" t="s">
        <v>643</v>
      </c>
      <c r="DD51" t="s">
        <v>566</v>
      </c>
      <c r="DF51">
        <v>41</v>
      </c>
      <c r="DG51">
        <v>28</v>
      </c>
      <c r="DH51">
        <v>72</v>
      </c>
      <c r="DI51">
        <v>56</v>
      </c>
      <c r="DJ51">
        <f t="shared" si="0"/>
        <v>-41.466666666666669</v>
      </c>
      <c r="DK51">
        <f t="shared" si="1"/>
        <v>-72.933333333333337</v>
      </c>
      <c r="DL51">
        <v>90</v>
      </c>
    </row>
    <row r="52" spans="2:116" x14ac:dyDescent="0.45">
      <c r="B52" t="s">
        <v>142</v>
      </c>
      <c r="C52">
        <v>45</v>
      </c>
      <c r="D52">
        <v>118</v>
      </c>
      <c r="E52">
        <v>41</v>
      </c>
      <c r="F52">
        <v>114</v>
      </c>
      <c r="H52" t="s">
        <v>414</v>
      </c>
      <c r="I52" t="s">
        <v>119</v>
      </c>
      <c r="J52">
        <v>8</v>
      </c>
      <c r="K52">
        <v>31</v>
      </c>
      <c r="P52">
        <v>200</v>
      </c>
      <c r="Q52" s="48">
        <v>0.09</v>
      </c>
      <c r="R52" s="48">
        <v>1.37</v>
      </c>
      <c r="S52" s="48">
        <v>0.08</v>
      </c>
      <c r="T52" s="48">
        <v>1.4</v>
      </c>
      <c r="V52" t="s">
        <v>434</v>
      </c>
      <c r="W52" t="s">
        <v>125</v>
      </c>
      <c r="X52" s="48">
        <v>0.71</v>
      </c>
      <c r="Y52" s="48">
        <v>0.72</v>
      </c>
      <c r="Z52" s="48">
        <v>0.74</v>
      </c>
      <c r="AA52" s="48">
        <v>0.76</v>
      </c>
      <c r="AB52" s="48">
        <v>0.76</v>
      </c>
      <c r="AC52" s="48">
        <v>0.77</v>
      </c>
      <c r="AD52" s="48">
        <v>0.77</v>
      </c>
      <c r="AE52" s="48">
        <v>0.76</v>
      </c>
      <c r="AF52" s="48">
        <v>0.76</v>
      </c>
      <c r="AG52" s="48">
        <v>0.73</v>
      </c>
      <c r="AH52" s="48">
        <v>0.72</v>
      </c>
      <c r="AI52" s="48">
        <v>0.71</v>
      </c>
      <c r="AJ52" s="48">
        <v>0.74</v>
      </c>
      <c r="AK52" s="88">
        <v>-20.533333333333335</v>
      </c>
      <c r="AL52" s="88">
        <v>-70.183333333333337</v>
      </c>
      <c r="AM52" s="88">
        <v>52</v>
      </c>
      <c r="AN52" s="48"/>
      <c r="AO52" s="48"/>
      <c r="AP52" s="118" t="s">
        <v>572</v>
      </c>
      <c r="AQ52" s="49" t="str">
        <f>+"Provincia de Aysén"</f>
        <v>Provincia de Aysén</v>
      </c>
      <c r="AX52" s="120">
        <v>1.8</v>
      </c>
      <c r="BD52">
        <f>Temperatura_interior_fija-DATOS_TEMPERATURA_MEDIA_MÍNIMA[[#This Row],[Julio]]</f>
        <v>17.2</v>
      </c>
      <c r="BG52" t="s">
        <v>1593</v>
      </c>
      <c r="BH52" s="47">
        <v>94.4</v>
      </c>
      <c r="BI52" s="47">
        <v>79</v>
      </c>
      <c r="BJ52" s="47">
        <v>95.5</v>
      </c>
      <c r="BK52" s="47">
        <v>159.5</v>
      </c>
      <c r="BL52" s="47">
        <v>249.7</v>
      </c>
      <c r="BM52" s="47">
        <v>245.8</v>
      </c>
      <c r="BN52" s="47">
        <v>228.2</v>
      </c>
      <c r="BO52" s="47">
        <v>198.5</v>
      </c>
      <c r="BP52" s="47">
        <v>151.19999999999999</v>
      </c>
      <c r="BQ52" s="47">
        <v>159.30000000000001</v>
      </c>
      <c r="BR52" s="47">
        <v>116.5</v>
      </c>
      <c r="BS52" s="47">
        <v>96.9</v>
      </c>
      <c r="BT52" s="47">
        <v>1874.5</v>
      </c>
      <c r="BU52" s="47">
        <v>253</v>
      </c>
      <c r="BV52" s="88">
        <f>AVERAGE(Tabla32[[#This Row],[Mayo]:[Septiembre]])/30</f>
        <v>7.1560000000000006</v>
      </c>
      <c r="CA52" t="s">
        <v>443</v>
      </c>
      <c r="CO52" t="s">
        <v>488</v>
      </c>
      <c r="CQ52" t="s">
        <v>563</v>
      </c>
      <c r="CS52" t="s">
        <v>644</v>
      </c>
      <c r="DD52" t="s">
        <v>749</v>
      </c>
      <c r="DF52">
        <v>41</v>
      </c>
      <c r="DG52">
        <v>54</v>
      </c>
      <c r="DH52">
        <v>73</v>
      </c>
      <c r="DI52">
        <v>48</v>
      </c>
      <c r="DJ52">
        <f t="shared" si="0"/>
        <v>-41.9</v>
      </c>
      <c r="DK52">
        <f t="shared" si="1"/>
        <v>-73.8</v>
      </c>
      <c r="DL52">
        <v>116</v>
      </c>
    </row>
    <row r="53" spans="2:116" x14ac:dyDescent="0.45">
      <c r="B53" t="s">
        <v>609</v>
      </c>
      <c r="C53">
        <v>45</v>
      </c>
      <c r="D53">
        <v>142</v>
      </c>
      <c r="E53">
        <v>41</v>
      </c>
      <c r="F53">
        <v>138</v>
      </c>
      <c r="H53" t="s">
        <v>415</v>
      </c>
      <c r="I53" t="s">
        <v>120</v>
      </c>
      <c r="J53">
        <v>9</v>
      </c>
      <c r="K53">
        <v>30</v>
      </c>
      <c r="P53">
        <v>500</v>
      </c>
      <c r="Q53" s="48">
        <v>0.06</v>
      </c>
      <c r="R53" s="48">
        <v>1.34</v>
      </c>
      <c r="S53" s="48">
        <v>0.06</v>
      </c>
      <c r="T53" s="48">
        <v>1.36</v>
      </c>
      <c r="V53" s="49" t="s">
        <v>441</v>
      </c>
      <c r="W53" t="s">
        <v>125</v>
      </c>
      <c r="X53" s="48">
        <v>0.75</v>
      </c>
      <c r="Y53" s="48">
        <v>0.76</v>
      </c>
      <c r="Z53" s="48">
        <v>0.78</v>
      </c>
      <c r="AA53" s="48">
        <v>0.79</v>
      </c>
      <c r="AB53" s="48">
        <v>0.79</v>
      </c>
      <c r="AC53" s="48">
        <v>0.79</v>
      </c>
      <c r="AD53" s="48">
        <v>0.79</v>
      </c>
      <c r="AE53" s="48">
        <v>0.78</v>
      </c>
      <c r="AF53" s="48">
        <v>0.78</v>
      </c>
      <c r="AG53" s="48">
        <v>0.76</v>
      </c>
      <c r="AH53" s="48">
        <v>0.75</v>
      </c>
      <c r="AI53" s="48">
        <v>0.74</v>
      </c>
      <c r="AJ53" s="48">
        <v>0.77</v>
      </c>
      <c r="AK53" s="88">
        <v>-23.433333333333334</v>
      </c>
      <c r="AL53" s="88">
        <v>-70.466666666666669</v>
      </c>
      <c r="AM53" s="88">
        <v>119</v>
      </c>
      <c r="AN53" s="48"/>
      <c r="AO53" s="48"/>
      <c r="AP53" s="119" t="s">
        <v>610</v>
      </c>
      <c r="AQ53" s="49" t="str">
        <f>+"Provincia de General Carrera"</f>
        <v>Provincia de General Carrera</v>
      </c>
      <c r="AX53" s="120">
        <v>-0.7</v>
      </c>
      <c r="BD53">
        <f>Temperatura_interior_fija-DATOS_TEMPERATURA_MEDIA_MÍNIMA[[#This Row],[Julio]]</f>
        <v>19.7</v>
      </c>
      <c r="BG53" t="s">
        <v>1594</v>
      </c>
      <c r="BH53" s="47">
        <v>90.1</v>
      </c>
      <c r="BI53" s="47">
        <v>93.3</v>
      </c>
      <c r="BJ53" s="47">
        <v>98.9</v>
      </c>
      <c r="BK53" s="47">
        <v>143.30000000000001</v>
      </c>
      <c r="BL53" s="47">
        <v>234.1</v>
      </c>
      <c r="BM53" s="47">
        <v>223.8</v>
      </c>
      <c r="BN53" s="47">
        <v>228.7</v>
      </c>
      <c r="BO53" s="47">
        <v>208.5</v>
      </c>
      <c r="BP53" s="47">
        <v>145.9</v>
      </c>
      <c r="BQ53" s="47">
        <v>120.9</v>
      </c>
      <c r="BR53" s="47">
        <v>111.9</v>
      </c>
      <c r="BS53" s="47">
        <v>103.1</v>
      </c>
      <c r="BT53" s="47">
        <v>1802.5</v>
      </c>
      <c r="BU53" s="47">
        <v>133</v>
      </c>
      <c r="BV53" s="88">
        <f>AVERAGE(Tabla32[[#This Row],[Mayo]:[Septiembre]])/30</f>
        <v>6.9399999999999995</v>
      </c>
      <c r="CA53" t="s">
        <v>446</v>
      </c>
      <c r="CO53" t="s">
        <v>496</v>
      </c>
      <c r="CQ53" t="s">
        <v>568</v>
      </c>
      <c r="CS53" t="s">
        <v>645</v>
      </c>
      <c r="DD53" t="s">
        <v>810</v>
      </c>
      <c r="DF53">
        <v>42</v>
      </c>
      <c r="DG53">
        <v>29</v>
      </c>
      <c r="DH53">
        <v>73</v>
      </c>
      <c r="DI53">
        <v>48</v>
      </c>
      <c r="DJ53">
        <f t="shared" si="0"/>
        <v>-42.483333333333334</v>
      </c>
      <c r="DK53">
        <f t="shared" si="1"/>
        <v>-73.8</v>
      </c>
      <c r="DL53">
        <v>42</v>
      </c>
    </row>
    <row r="54" spans="2:116" x14ac:dyDescent="0.45">
      <c r="B54" t="s">
        <v>611</v>
      </c>
      <c r="C54">
        <v>45</v>
      </c>
      <c r="D54">
        <v>166</v>
      </c>
      <c r="E54">
        <v>41</v>
      </c>
      <c r="F54">
        <v>162</v>
      </c>
      <c r="H54" t="s">
        <v>416</v>
      </c>
      <c r="I54" t="s">
        <v>121</v>
      </c>
      <c r="J54">
        <v>10</v>
      </c>
      <c r="K54">
        <v>31</v>
      </c>
      <c r="P54">
        <v>1000</v>
      </c>
      <c r="Q54" s="48">
        <v>0.04</v>
      </c>
      <c r="R54" s="48">
        <v>1.32</v>
      </c>
      <c r="S54" s="48">
        <v>0.04</v>
      </c>
      <c r="T54" s="48">
        <v>1.34</v>
      </c>
      <c r="V54" t="s">
        <v>445</v>
      </c>
      <c r="W54" t="s">
        <v>125</v>
      </c>
      <c r="X54" s="48">
        <v>0.77</v>
      </c>
      <c r="Y54" s="48">
        <v>0.79</v>
      </c>
      <c r="Z54" s="48">
        <v>0.79</v>
      </c>
      <c r="AA54" s="48">
        <v>0.81</v>
      </c>
      <c r="AB54" s="48">
        <v>0.81</v>
      </c>
      <c r="AC54" s="48">
        <v>0.81</v>
      </c>
      <c r="AD54" s="48">
        <v>0.8</v>
      </c>
      <c r="AE54" s="48">
        <v>0.8</v>
      </c>
      <c r="AF54" s="48">
        <v>0.79</v>
      </c>
      <c r="AG54" s="48">
        <v>0.77</v>
      </c>
      <c r="AH54" s="48">
        <v>0.77</v>
      </c>
      <c r="AI54" s="48">
        <v>0.78</v>
      </c>
      <c r="AJ54" s="48">
        <v>0.79</v>
      </c>
      <c r="AK54" s="88">
        <v>-27.133333333333333</v>
      </c>
      <c r="AL54" s="88">
        <v>-109.36666666666666</v>
      </c>
      <c r="AM54" s="88">
        <v>51</v>
      </c>
      <c r="AN54" s="48"/>
      <c r="AO54" s="48"/>
      <c r="AP54" s="119" t="s">
        <v>612</v>
      </c>
      <c r="AQ54" s="49" t="str">
        <f>+"Provincia de Capitán Prat"</f>
        <v>Provincia de Capitán Prat</v>
      </c>
      <c r="AX54" s="120">
        <v>-1.6</v>
      </c>
      <c r="BD54">
        <f>Temperatura_interior_fija-DATOS_TEMPERATURA_MEDIA_MÍNIMA[[#This Row],[Julio]]</f>
        <v>20.6</v>
      </c>
      <c r="BG54" t="s">
        <v>1595</v>
      </c>
      <c r="BH54" s="47">
        <v>84.7</v>
      </c>
      <c r="BI54" s="47">
        <v>75</v>
      </c>
      <c r="BJ54" s="47">
        <v>82.6</v>
      </c>
      <c r="BK54" s="47">
        <v>141.69999999999999</v>
      </c>
      <c r="BL54" s="47">
        <v>271.60000000000002</v>
      </c>
      <c r="BM54" s="47">
        <v>261.89999999999998</v>
      </c>
      <c r="BN54" s="47">
        <v>295</v>
      </c>
      <c r="BO54" s="47">
        <v>227.2</v>
      </c>
      <c r="BP54" s="47">
        <v>155</v>
      </c>
      <c r="BQ54" s="47">
        <v>110.7</v>
      </c>
      <c r="BR54" s="47">
        <v>78.599999999999994</v>
      </c>
      <c r="BS54" s="47">
        <v>87.2</v>
      </c>
      <c r="BT54" s="47">
        <v>1871.2</v>
      </c>
      <c r="BU54" s="47">
        <v>110.4</v>
      </c>
      <c r="BV54" s="88">
        <f>AVERAGE(Tabla32[[#This Row],[Mayo]:[Septiembre]])/30</f>
        <v>8.0713333333333335</v>
      </c>
      <c r="CA54" t="s">
        <v>449</v>
      </c>
      <c r="CO54" t="s">
        <v>506</v>
      </c>
      <c r="CQ54" t="s">
        <v>572</v>
      </c>
      <c r="CS54" t="s">
        <v>647</v>
      </c>
      <c r="DD54" t="s">
        <v>766</v>
      </c>
      <c r="DF54">
        <v>45</v>
      </c>
      <c r="DG54">
        <v>24</v>
      </c>
      <c r="DH54">
        <v>72</v>
      </c>
      <c r="DI54">
        <v>42</v>
      </c>
      <c r="DJ54">
        <f t="shared" si="0"/>
        <v>-45.4</v>
      </c>
      <c r="DK54">
        <f t="shared" si="1"/>
        <v>-72.7</v>
      </c>
      <c r="DL54">
        <v>10</v>
      </c>
    </row>
    <row r="55" spans="2:116" x14ac:dyDescent="0.45">
      <c r="B55" t="s">
        <v>613</v>
      </c>
      <c r="C55">
        <v>45</v>
      </c>
      <c r="D55">
        <v>190</v>
      </c>
      <c r="E55">
        <v>41</v>
      </c>
      <c r="F55">
        <v>185</v>
      </c>
      <c r="H55" t="s">
        <v>417</v>
      </c>
      <c r="I55" t="s">
        <v>122</v>
      </c>
      <c r="J55">
        <v>11</v>
      </c>
      <c r="K55">
        <v>30</v>
      </c>
      <c r="P55" s="2" t="s">
        <v>31</v>
      </c>
      <c r="Q55" s="48">
        <v>0</v>
      </c>
      <c r="R55" s="48">
        <v>1.28</v>
      </c>
      <c r="S55" s="48">
        <v>0</v>
      </c>
      <c r="T55" s="48">
        <v>1.28</v>
      </c>
      <c r="V55" s="49" t="s">
        <v>87</v>
      </c>
      <c r="W55" t="s">
        <v>573</v>
      </c>
      <c r="X55" s="48">
        <v>0.42</v>
      </c>
      <c r="Y55" s="48">
        <v>0.47</v>
      </c>
      <c r="Z55" s="48">
        <v>0.47</v>
      </c>
      <c r="AA55" s="48">
        <v>0.39</v>
      </c>
      <c r="AB55" s="48">
        <v>0.34</v>
      </c>
      <c r="AC55" s="48">
        <v>0.34</v>
      </c>
      <c r="AD55" s="48">
        <v>0.33</v>
      </c>
      <c r="AE55" s="48">
        <v>0.31</v>
      </c>
      <c r="AF55" s="48">
        <v>0.32</v>
      </c>
      <c r="AG55" s="48">
        <v>0.32</v>
      </c>
      <c r="AH55" s="48">
        <v>0.31</v>
      </c>
      <c r="AI55" s="48">
        <v>0.36</v>
      </c>
      <c r="AJ55" s="48">
        <v>0.37</v>
      </c>
      <c r="AK55" s="88">
        <v>-22.483333333333334</v>
      </c>
      <c r="AL55" s="88">
        <v>-68.900000000000006</v>
      </c>
      <c r="AM55" s="88">
        <v>2270</v>
      </c>
      <c r="AN55" s="48"/>
      <c r="AO55" s="48"/>
      <c r="AP55" s="49" t="s">
        <v>577</v>
      </c>
      <c r="AQ55" s="49" t="str">
        <f>+"Provincia de Última Esperanza"</f>
        <v>Provincia de Última Esperanza</v>
      </c>
      <c r="AX55" s="120">
        <v>-1.3</v>
      </c>
      <c r="BD55">
        <f>Temperatura_interior_fija-DATOS_TEMPERATURA_MEDIA_MÍNIMA[[#This Row],[Julio]]</f>
        <v>20.3</v>
      </c>
      <c r="BG55" t="s">
        <v>1596</v>
      </c>
      <c r="BH55" s="47">
        <v>127.4</v>
      </c>
      <c r="BI55" s="47">
        <v>102.7</v>
      </c>
      <c r="BJ55" s="47">
        <v>105.2</v>
      </c>
      <c r="BK55" s="47">
        <v>166.5</v>
      </c>
      <c r="BL55" s="47">
        <v>165.2</v>
      </c>
      <c r="BM55" s="47">
        <v>253.7</v>
      </c>
      <c r="BN55" s="47">
        <v>270.2</v>
      </c>
      <c r="BO55" s="47">
        <v>254.2</v>
      </c>
      <c r="BP55" s="47">
        <v>182.1</v>
      </c>
      <c r="BQ55" s="47">
        <v>141.19999999999999</v>
      </c>
      <c r="BR55" s="47">
        <v>117.5</v>
      </c>
      <c r="BS55" s="47">
        <v>127.4</v>
      </c>
      <c r="BT55" s="47">
        <v>2113.3000000000002</v>
      </c>
      <c r="BU55" s="47">
        <v>125</v>
      </c>
      <c r="BV55" s="88">
        <f>AVERAGE(Tabla32[[#This Row],[Mayo]:[Septiembre]])/30</f>
        <v>7.5026666666666664</v>
      </c>
      <c r="CA55" t="s">
        <v>452</v>
      </c>
      <c r="CO55" t="s">
        <v>516</v>
      </c>
      <c r="CQ55" t="s">
        <v>577</v>
      </c>
      <c r="CS55" t="s">
        <v>653</v>
      </c>
      <c r="DD55" t="s">
        <v>587</v>
      </c>
      <c r="DF55">
        <v>53</v>
      </c>
      <c r="DG55">
        <v>0</v>
      </c>
      <c r="DH55">
        <v>70</v>
      </c>
      <c r="DI55">
        <v>58</v>
      </c>
      <c r="DJ55">
        <f t="shared" si="0"/>
        <v>-53</v>
      </c>
      <c r="DK55">
        <f t="shared" si="1"/>
        <v>-70.966666666666669</v>
      </c>
      <c r="DL55">
        <v>37</v>
      </c>
    </row>
    <row r="56" spans="2:116" x14ac:dyDescent="0.45">
      <c r="B56" t="s">
        <v>614</v>
      </c>
      <c r="C56">
        <v>45</v>
      </c>
      <c r="D56">
        <v>214</v>
      </c>
      <c r="E56">
        <v>41</v>
      </c>
      <c r="F56">
        <v>210</v>
      </c>
      <c r="H56" t="s">
        <v>418</v>
      </c>
      <c r="I56" t="s">
        <v>123</v>
      </c>
      <c r="J56">
        <v>12</v>
      </c>
      <c r="K56">
        <v>31</v>
      </c>
      <c r="V56" t="s">
        <v>448</v>
      </c>
      <c r="W56" t="s">
        <v>573</v>
      </c>
      <c r="X56" s="48">
        <v>0.7</v>
      </c>
      <c r="Y56" s="48">
        <v>0.71</v>
      </c>
      <c r="Z56" s="48">
        <v>0.75</v>
      </c>
      <c r="AA56" s="48">
        <v>0.77</v>
      </c>
      <c r="AB56" s="48">
        <v>0.78</v>
      </c>
      <c r="AC56" s="48">
        <v>0.78</v>
      </c>
      <c r="AD56" s="48">
        <v>0.76</v>
      </c>
      <c r="AE56" s="48">
        <v>0.77</v>
      </c>
      <c r="AF56" s="48">
        <v>0.75</v>
      </c>
      <c r="AG56" s="48">
        <v>0.74</v>
      </c>
      <c r="AH56" s="48">
        <v>0.72</v>
      </c>
      <c r="AI56" s="48">
        <v>0.7</v>
      </c>
      <c r="AJ56" s="48">
        <v>0.74</v>
      </c>
      <c r="AK56" s="88">
        <v>-27.3</v>
      </c>
      <c r="AL56" s="88">
        <v>-70.416666666666671</v>
      </c>
      <c r="AM56" s="88">
        <v>291</v>
      </c>
      <c r="AN56" s="48"/>
      <c r="AO56" s="48"/>
      <c r="AP56" s="7" t="s">
        <v>580</v>
      </c>
      <c r="AQ56" s="49" t="str">
        <f>+"Provincia de Magallanes"</f>
        <v>Provincia de Magallanes</v>
      </c>
      <c r="AX56" s="120">
        <v>-1.1000000000000001</v>
      </c>
      <c r="BD56">
        <f>Temperatura_interior_fija-DATOS_TEMPERATURA_MEDIA_MÍNIMA[[#This Row],[Julio]]</f>
        <v>20.100000000000001</v>
      </c>
      <c r="BG56" t="s">
        <v>1597</v>
      </c>
      <c r="BH56" s="47">
        <v>104</v>
      </c>
      <c r="BI56" s="47">
        <v>83.1</v>
      </c>
      <c r="BJ56" s="47">
        <v>83</v>
      </c>
      <c r="BK56" s="47">
        <v>161.1</v>
      </c>
      <c r="BL56" s="47">
        <v>298.5</v>
      </c>
      <c r="BM56" s="47">
        <v>278.7</v>
      </c>
      <c r="BN56" s="47">
        <v>291</v>
      </c>
      <c r="BO56" s="47">
        <v>260.89999999999998</v>
      </c>
      <c r="BP56" s="47">
        <v>177.7</v>
      </c>
      <c r="BQ56" s="47">
        <v>130.5</v>
      </c>
      <c r="BR56" s="47">
        <v>110.4</v>
      </c>
      <c r="BS56" s="47">
        <v>105.6</v>
      </c>
      <c r="BT56" s="47">
        <v>284.5</v>
      </c>
      <c r="BU56" s="47">
        <v>150.9</v>
      </c>
      <c r="BV56" s="88">
        <f>AVERAGE(Tabla32[[#This Row],[Mayo]:[Septiembre]])/30</f>
        <v>8.7119999999999997</v>
      </c>
      <c r="CA56" t="s">
        <v>456</v>
      </c>
      <c r="CO56" t="s">
        <v>526</v>
      </c>
      <c r="CQ56" t="s">
        <v>580</v>
      </c>
      <c r="CS56" t="s">
        <v>656</v>
      </c>
      <c r="DD56" t="s">
        <v>1776</v>
      </c>
      <c r="DF56">
        <v>62</v>
      </c>
      <c r="DG56">
        <v>25</v>
      </c>
      <c r="DH56">
        <v>58</v>
      </c>
      <c r="DI56">
        <v>53</v>
      </c>
      <c r="DJ56">
        <f t="shared" si="0"/>
        <v>-62.416666666666664</v>
      </c>
      <c r="DK56">
        <f t="shared" si="1"/>
        <v>-58.883333333333333</v>
      </c>
      <c r="DL56">
        <v>10</v>
      </c>
    </row>
    <row r="57" spans="2:116" x14ac:dyDescent="0.45">
      <c r="B57" t="s">
        <v>615</v>
      </c>
      <c r="C57">
        <v>45</v>
      </c>
      <c r="D57">
        <v>235</v>
      </c>
      <c r="E57">
        <v>41</v>
      </c>
      <c r="F57">
        <v>230</v>
      </c>
      <c r="V57" t="s">
        <v>450</v>
      </c>
      <c r="W57" t="s">
        <v>573</v>
      </c>
      <c r="X57" s="48">
        <v>0.68</v>
      </c>
      <c r="Y57" s="48">
        <v>0.7</v>
      </c>
      <c r="Z57" s="48">
        <v>0.73</v>
      </c>
      <c r="AA57" s="48">
        <v>0.74</v>
      </c>
      <c r="AB57" s="48">
        <v>0.73</v>
      </c>
      <c r="AC57" s="48">
        <v>0.69</v>
      </c>
      <c r="AD57" s="48">
        <v>0.69</v>
      </c>
      <c r="AE57" s="48">
        <v>0.69</v>
      </c>
      <c r="AF57" s="48">
        <v>0.69</v>
      </c>
      <c r="AG57" s="48">
        <v>0.69</v>
      </c>
      <c r="AH57" s="48">
        <v>0.7</v>
      </c>
      <c r="AI57" s="48">
        <v>0.68</v>
      </c>
      <c r="AJ57" s="48">
        <v>0.7</v>
      </c>
      <c r="AK57" s="88">
        <v>-28.583333333333332</v>
      </c>
      <c r="AL57" s="88">
        <v>-70.766666666666666</v>
      </c>
      <c r="AM57" s="88">
        <v>496</v>
      </c>
      <c r="AN57" s="48"/>
      <c r="AO57" s="48"/>
      <c r="AP57" s="118" t="s">
        <v>583</v>
      </c>
      <c r="AQ57" s="49" t="str">
        <f>+"Provincia de Tierra del Fuego"</f>
        <v>Provincia de Tierra del Fuego</v>
      </c>
      <c r="AX57" s="120">
        <v>-0.5</v>
      </c>
      <c r="BD57">
        <f>Temperatura_interior_fija-DATOS_TEMPERATURA_MEDIA_MÍNIMA[[#This Row],[Julio]]</f>
        <v>19.5</v>
      </c>
      <c r="BG57" t="s">
        <v>1598</v>
      </c>
      <c r="BH57" s="47">
        <v>80.599999999999994</v>
      </c>
      <c r="BI57" s="47">
        <v>70.8</v>
      </c>
      <c r="BJ57" s="47">
        <v>80.400000000000006</v>
      </c>
      <c r="BK57" s="47">
        <v>124.2</v>
      </c>
      <c r="BL57" s="47">
        <v>241.4</v>
      </c>
      <c r="BM57" s="47">
        <v>216.5</v>
      </c>
      <c r="BN57" s="47">
        <v>223.2</v>
      </c>
      <c r="BO57" s="47">
        <v>173.2</v>
      </c>
      <c r="BP57" s="47">
        <v>139.30000000000001</v>
      </c>
      <c r="BQ57" s="47">
        <v>93.3</v>
      </c>
      <c r="BR57" s="47">
        <v>85.8</v>
      </c>
      <c r="BS57" s="47">
        <v>107.4</v>
      </c>
      <c r="BT57" s="47">
        <v>1636.1</v>
      </c>
      <c r="BU57" s="47">
        <v>120.4</v>
      </c>
      <c r="BV57" s="88">
        <f>AVERAGE(Tabla32[[#This Row],[Mayo]:[Septiembre]])/30</f>
        <v>6.6239999999999988</v>
      </c>
      <c r="CA57" t="s">
        <v>458</v>
      </c>
      <c r="CO57" t="s">
        <v>532</v>
      </c>
      <c r="CQ57" t="s">
        <v>583</v>
      </c>
      <c r="CS57" t="s">
        <v>659</v>
      </c>
    </row>
    <row r="58" spans="2:116" x14ac:dyDescent="0.45">
      <c r="V58" s="49"/>
      <c r="W58" t="s">
        <v>573</v>
      </c>
      <c r="X58" s="48"/>
      <c r="Y58" s="48"/>
      <c r="Z58" s="48"/>
      <c r="AA58" s="48"/>
      <c r="AB58" s="48"/>
      <c r="AC58" s="48"/>
      <c r="AD58" s="48"/>
      <c r="AE58" s="48"/>
      <c r="AF58" s="48"/>
      <c r="AG58" s="48"/>
      <c r="AH58" s="48"/>
      <c r="AI58" s="48"/>
      <c r="AJ58" s="48"/>
      <c r="AK58" s="88"/>
      <c r="AL58" s="88"/>
      <c r="AM58" s="88"/>
      <c r="AN58" s="48"/>
      <c r="AO58" s="48"/>
      <c r="AP58" s="119" t="s">
        <v>616</v>
      </c>
      <c r="AQ58" s="49" t="str">
        <f>+"Provincia de la Antártica Chilena"</f>
        <v>Provincia de la Antártica Chilena</v>
      </c>
      <c r="AX58" s="120">
        <v>-0.7</v>
      </c>
      <c r="BD58">
        <f>Temperatura_interior_fija-DATOS_TEMPERATURA_MEDIA_MÍNIMA[[#This Row],[Julio]]</f>
        <v>19.7</v>
      </c>
      <c r="BG58" t="s">
        <v>1599</v>
      </c>
      <c r="BH58" s="47">
        <v>228.3</v>
      </c>
      <c r="BI58" s="47">
        <v>181.7</v>
      </c>
      <c r="BJ58" s="47">
        <v>212.9</v>
      </c>
      <c r="BK58" s="47">
        <v>294.89999999999998</v>
      </c>
      <c r="BL58" s="47">
        <v>446</v>
      </c>
      <c r="BM58" s="47">
        <v>399.2</v>
      </c>
      <c r="BN58" s="47">
        <v>390.8</v>
      </c>
      <c r="BO58" s="47">
        <v>401.1</v>
      </c>
      <c r="BP58" s="47">
        <v>328.2</v>
      </c>
      <c r="BQ58" s="47">
        <v>257.39999999999998</v>
      </c>
      <c r="BR58" s="47">
        <v>243.5</v>
      </c>
      <c r="BS58" s="47">
        <v>241.6</v>
      </c>
      <c r="BT58" s="47">
        <v>3625.6</v>
      </c>
      <c r="BU58" s="47">
        <v>142.80000000000001</v>
      </c>
      <c r="BV58" s="88">
        <f>AVERAGE(Tabla32[[#This Row],[Mayo]:[Septiembre]])/30</f>
        <v>13.102</v>
      </c>
      <c r="CA58" t="s">
        <v>460</v>
      </c>
      <c r="CO58" t="s">
        <v>537</v>
      </c>
      <c r="CQ58" t="s">
        <v>619</v>
      </c>
      <c r="CS58" t="s">
        <v>660</v>
      </c>
    </row>
    <row r="59" spans="2:116" x14ac:dyDescent="0.45">
      <c r="B59" t="s">
        <v>600</v>
      </c>
      <c r="D59" t="s">
        <v>617</v>
      </c>
      <c r="E59" t="str">
        <f>"cabezal "&amp;D59</f>
        <v>cabezal simple</v>
      </c>
      <c r="V59" t="s">
        <v>454</v>
      </c>
      <c r="W59" t="s">
        <v>578</v>
      </c>
      <c r="X59" s="48">
        <v>0.8</v>
      </c>
      <c r="Y59" s="48">
        <v>0.82</v>
      </c>
      <c r="Z59" s="48">
        <v>0.85</v>
      </c>
      <c r="AA59" s="48">
        <v>0.86</v>
      </c>
      <c r="AB59" s="48">
        <v>0.85</v>
      </c>
      <c r="AC59" s="48">
        <v>0.84</v>
      </c>
      <c r="AD59" s="48">
        <v>0.84</v>
      </c>
      <c r="AE59" s="48">
        <v>0.85</v>
      </c>
      <c r="AF59" s="48">
        <v>0.84</v>
      </c>
      <c r="AG59" s="48">
        <v>0.82</v>
      </c>
      <c r="AH59" s="48">
        <v>0.81</v>
      </c>
      <c r="AI59" s="48">
        <v>0.8</v>
      </c>
      <c r="AJ59" s="48">
        <v>0.83</v>
      </c>
      <c r="AK59" s="88">
        <v>-29.9</v>
      </c>
      <c r="AL59" s="88">
        <v>-71.2</v>
      </c>
      <c r="AM59" s="88">
        <v>142</v>
      </c>
      <c r="AN59" s="48"/>
      <c r="AO59" s="48"/>
      <c r="AP59" s="119" t="s">
        <v>618</v>
      </c>
      <c r="BG59" t="s">
        <v>1600</v>
      </c>
      <c r="BH59" s="47">
        <v>195.7</v>
      </c>
      <c r="BI59" s="47">
        <v>158.9</v>
      </c>
      <c r="BJ59" s="47">
        <v>165.8</v>
      </c>
      <c r="BK59" s="47">
        <v>239</v>
      </c>
      <c r="BL59" s="47">
        <v>320.10000000000002</v>
      </c>
      <c r="BM59" s="47">
        <v>283.10000000000002</v>
      </c>
      <c r="BN59" s="47">
        <v>280</v>
      </c>
      <c r="BO59" s="47">
        <v>257.60000000000002</v>
      </c>
      <c r="BP59" s="47">
        <v>209.1</v>
      </c>
      <c r="BQ59" s="47">
        <v>162.80000000000001</v>
      </c>
      <c r="BR59" s="47">
        <v>167.5</v>
      </c>
      <c r="BS59" s="47">
        <v>207.5</v>
      </c>
      <c r="BT59" s="47">
        <v>2647.1</v>
      </c>
      <c r="BU59" s="47">
        <v>171</v>
      </c>
      <c r="BV59" s="88">
        <f>AVERAGE(Tabla32[[#This Row],[Mayo]:[Septiembre]])/30</f>
        <v>8.9993333333333343</v>
      </c>
      <c r="CA59" t="s">
        <v>463</v>
      </c>
      <c r="CO59" t="s">
        <v>542</v>
      </c>
      <c r="CQ59" t="s">
        <v>621</v>
      </c>
      <c r="CS59" t="s">
        <v>665</v>
      </c>
    </row>
    <row r="60" spans="2:116" x14ac:dyDescent="0.45">
      <c r="B60" t="s">
        <v>145</v>
      </c>
      <c r="D60" t="s">
        <v>151</v>
      </c>
      <c r="E60" t="str">
        <f>"cabezal "&amp;D60</f>
        <v>cabezal doble</v>
      </c>
      <c r="V60" s="49"/>
      <c r="W60" t="s">
        <v>578</v>
      </c>
      <c r="X60" s="48"/>
      <c r="Y60" s="48"/>
      <c r="Z60" s="48"/>
      <c r="AA60" s="48"/>
      <c r="AB60" s="48"/>
      <c r="AC60" s="48"/>
      <c r="AD60" s="48"/>
      <c r="AE60" s="48"/>
      <c r="AF60" s="48"/>
      <c r="AG60" s="48"/>
      <c r="AH60" s="48"/>
      <c r="AI60" s="48"/>
      <c r="AJ60" s="48"/>
      <c r="AK60" s="88"/>
      <c r="AL60" s="88"/>
      <c r="AM60" s="88"/>
      <c r="AN60" s="48"/>
      <c r="AO60" s="48"/>
      <c r="AP60" s="7" t="s">
        <v>619</v>
      </c>
      <c r="BG60" t="s">
        <v>1601</v>
      </c>
      <c r="BH60" s="47">
        <v>65.2</v>
      </c>
      <c r="BI60" s="47">
        <v>56.8</v>
      </c>
      <c r="BJ60" s="47">
        <v>73.5</v>
      </c>
      <c r="BK60" s="47">
        <v>114.3</v>
      </c>
      <c r="BL60" s="47">
        <v>183.5</v>
      </c>
      <c r="BM60" s="47">
        <v>150.6</v>
      </c>
      <c r="BN60" s="47">
        <v>160.69999999999999</v>
      </c>
      <c r="BO60" s="47">
        <v>124.4</v>
      </c>
      <c r="BP60" s="47">
        <v>89.3</v>
      </c>
      <c r="BQ60" s="47">
        <v>54.8</v>
      </c>
      <c r="BR60" s="47">
        <v>56.9</v>
      </c>
      <c r="BS60" s="47">
        <v>75.900000000000006</v>
      </c>
      <c r="BT60" s="47">
        <v>1205.9000000000001</v>
      </c>
      <c r="BU60" s="47">
        <v>140</v>
      </c>
      <c r="BV60" s="88">
        <f>AVERAGE(Tabla32[[#This Row],[Mayo]:[Septiembre]])/30</f>
        <v>4.7233333333333327</v>
      </c>
      <c r="CA60" t="s">
        <v>467</v>
      </c>
      <c r="CO60" t="s">
        <v>545</v>
      </c>
      <c r="CQ60" t="s">
        <v>622</v>
      </c>
      <c r="CS60" t="s">
        <v>667</v>
      </c>
    </row>
    <row r="61" spans="2:116" x14ac:dyDescent="0.45">
      <c r="D61" t="s">
        <v>620</v>
      </c>
      <c r="E61" t="str">
        <f>"cabezal "&amp;D61</f>
        <v>cabezal triple</v>
      </c>
      <c r="H61" t="s">
        <v>1863</v>
      </c>
      <c r="I61" s="91">
        <v>20</v>
      </c>
      <c r="J61" t="s">
        <v>335</v>
      </c>
      <c r="V61" s="49"/>
      <c r="W61" t="s">
        <v>578</v>
      </c>
      <c r="X61" s="48"/>
      <c r="Y61" s="48"/>
      <c r="Z61" s="48"/>
      <c r="AA61" s="48"/>
      <c r="AB61" s="48"/>
      <c r="AC61" s="48"/>
      <c r="AD61" s="48"/>
      <c r="AE61" s="48"/>
      <c r="AF61" s="48"/>
      <c r="AG61" s="48"/>
      <c r="AH61" s="48"/>
      <c r="AI61" s="48"/>
      <c r="AJ61" s="48"/>
      <c r="AK61" s="88"/>
      <c r="AL61" s="88"/>
      <c r="AM61" s="88"/>
      <c r="AN61" s="48"/>
      <c r="AO61" s="48"/>
      <c r="AP61" s="7" t="s">
        <v>621</v>
      </c>
      <c r="BG61" t="s">
        <v>1602</v>
      </c>
      <c r="BH61" s="47">
        <v>28.1</v>
      </c>
      <c r="BI61" s="47">
        <v>20.399999999999999</v>
      </c>
      <c r="BJ61" s="47">
        <v>37.5</v>
      </c>
      <c r="BK61" s="47">
        <v>53.6</v>
      </c>
      <c r="BL61" s="47">
        <v>92.5</v>
      </c>
      <c r="BM61" s="47">
        <v>85.2</v>
      </c>
      <c r="BN61" s="47">
        <v>83.5</v>
      </c>
      <c r="BO61" s="47">
        <v>72.2</v>
      </c>
      <c r="BP61" s="47">
        <v>49</v>
      </c>
      <c r="BQ61" s="47">
        <v>29.6</v>
      </c>
      <c r="BR61" s="47">
        <v>28.3</v>
      </c>
      <c r="BS61" s="47">
        <v>31.7</v>
      </c>
      <c r="BT61" s="47">
        <v>611.6</v>
      </c>
      <c r="BU61" s="47">
        <v>75.900000000000006</v>
      </c>
      <c r="BV61" s="88">
        <f>AVERAGE(Tabla32[[#This Row],[Mayo]:[Septiembre]])/30</f>
        <v>2.5493333333333328</v>
      </c>
      <c r="CA61" t="s">
        <v>471</v>
      </c>
      <c r="CO61" t="s">
        <v>548</v>
      </c>
      <c r="CQ61" t="s">
        <v>627</v>
      </c>
      <c r="CS61" t="s">
        <v>668</v>
      </c>
    </row>
    <row r="62" spans="2:116" x14ac:dyDescent="0.45">
      <c r="B62" s="1" t="s">
        <v>1648</v>
      </c>
      <c r="V62" s="49" t="s">
        <v>472</v>
      </c>
      <c r="W62" t="s">
        <v>578</v>
      </c>
      <c r="X62" s="48">
        <v>0.82</v>
      </c>
      <c r="Y62" s="48">
        <v>0.84</v>
      </c>
      <c r="Z62" s="192">
        <v>0.86</v>
      </c>
      <c r="AA62" s="48">
        <v>0.88</v>
      </c>
      <c r="AB62" s="48">
        <v>0.89</v>
      </c>
      <c r="AC62" s="48">
        <v>0.89</v>
      </c>
      <c r="AD62" s="48">
        <v>0.89</v>
      </c>
      <c r="AE62" s="48">
        <v>0.88</v>
      </c>
      <c r="AF62" s="48">
        <v>0.86</v>
      </c>
      <c r="AG62" s="48">
        <v>0.86</v>
      </c>
      <c r="AH62" s="48">
        <v>0.84</v>
      </c>
      <c r="AI62" s="48">
        <v>0.82</v>
      </c>
      <c r="AJ62" s="48">
        <v>0.87</v>
      </c>
      <c r="AK62" s="88">
        <v>-32.783333333333331</v>
      </c>
      <c r="AL62" s="88">
        <v>-71.533333333333331</v>
      </c>
      <c r="AM62" s="88">
        <v>8</v>
      </c>
      <c r="AN62" s="48"/>
      <c r="AO62" s="48"/>
      <c r="AP62" s="118" t="s">
        <v>622</v>
      </c>
      <c r="AQ62" s="122" t="s">
        <v>421</v>
      </c>
      <c r="AR62" s="122" t="s">
        <v>408</v>
      </c>
      <c r="AS62" s="122" t="s">
        <v>409</v>
      </c>
      <c r="AT62" s="122" t="s">
        <v>410</v>
      </c>
      <c r="AU62" s="122" t="s">
        <v>411</v>
      </c>
      <c r="AV62" s="122" t="s">
        <v>412</v>
      </c>
      <c r="AW62" s="122" t="s">
        <v>413</v>
      </c>
      <c r="AX62" s="122" t="s">
        <v>126</v>
      </c>
      <c r="AY62" s="122" t="s">
        <v>414</v>
      </c>
      <c r="AZ62" s="122" t="s">
        <v>415</v>
      </c>
      <c r="BA62" s="122" t="s">
        <v>416</v>
      </c>
      <c r="BB62" s="122" t="s">
        <v>417</v>
      </c>
      <c r="BC62" s="122" t="s">
        <v>418</v>
      </c>
      <c r="BD62" s="122" t="s">
        <v>1470</v>
      </c>
      <c r="BG62" t="s">
        <v>1603</v>
      </c>
      <c r="BH62" s="47">
        <v>11.3</v>
      </c>
      <c r="BI62" s="47">
        <v>6.1</v>
      </c>
      <c r="BJ62" s="47">
        <v>15.3</v>
      </c>
      <c r="BK62" s="47">
        <v>24.3</v>
      </c>
      <c r="BL62" s="47">
        <v>46.8</v>
      </c>
      <c r="BM62" s="47">
        <v>39.9</v>
      </c>
      <c r="BN62" s="47">
        <v>54</v>
      </c>
      <c r="BO62" s="47">
        <v>39.700000000000003</v>
      </c>
      <c r="BP62" s="47">
        <v>23.8</v>
      </c>
      <c r="BQ62" s="47">
        <v>12.6</v>
      </c>
      <c r="BR62" s="47">
        <v>8.6999999999999993</v>
      </c>
      <c r="BS62" s="47">
        <v>9.5</v>
      </c>
      <c r="BT62" s="47">
        <v>292</v>
      </c>
      <c r="BU62" s="47">
        <v>77.099999999999994</v>
      </c>
      <c r="BV62" s="88">
        <f>AVERAGE(Tabla32[[#This Row],[Mayo]:[Septiembre]])/30</f>
        <v>1.3613333333333333</v>
      </c>
      <c r="CA62" t="s">
        <v>473</v>
      </c>
      <c r="CO62" t="s">
        <v>551</v>
      </c>
      <c r="CQ62" t="s">
        <v>630</v>
      </c>
      <c r="CS62" t="s">
        <v>669</v>
      </c>
    </row>
    <row r="63" spans="2:116" x14ac:dyDescent="0.45">
      <c r="B63" t="s">
        <v>497</v>
      </c>
      <c r="D63" t="s">
        <v>623</v>
      </c>
      <c r="E63">
        <v>2</v>
      </c>
      <c r="V63" s="49" t="s">
        <v>474</v>
      </c>
      <c r="W63" t="s">
        <v>578</v>
      </c>
      <c r="X63" s="48">
        <v>0.78</v>
      </c>
      <c r="Y63" s="48">
        <v>0.8</v>
      </c>
      <c r="Z63" s="48">
        <v>0.81</v>
      </c>
      <c r="AA63" s="48">
        <v>0.83</v>
      </c>
      <c r="AB63" s="48">
        <v>0.83</v>
      </c>
      <c r="AC63" s="48">
        <v>0.84</v>
      </c>
      <c r="AD63" s="48">
        <v>0.84</v>
      </c>
      <c r="AE63" s="48">
        <v>0.84</v>
      </c>
      <c r="AF63" s="48">
        <v>0.83</v>
      </c>
      <c r="AG63" s="48">
        <v>0.82</v>
      </c>
      <c r="AH63" s="48">
        <v>0.79</v>
      </c>
      <c r="AI63" s="48">
        <v>0.78</v>
      </c>
      <c r="AJ63" s="48">
        <v>0.82</v>
      </c>
      <c r="AK63" s="88">
        <v>-33.033333333333331</v>
      </c>
      <c r="AL63" s="88">
        <v>-71.63333333333334</v>
      </c>
      <c r="AM63" s="88">
        <v>41</v>
      </c>
      <c r="AN63" s="48"/>
      <c r="AO63" s="48"/>
      <c r="AP63" s="119" t="s">
        <v>624</v>
      </c>
      <c r="AQ63" t="s">
        <v>430</v>
      </c>
      <c r="AX63" s="120">
        <v>0.73</v>
      </c>
      <c r="BG63" t="s">
        <v>1604</v>
      </c>
      <c r="BH63" s="47">
        <v>26.4</v>
      </c>
      <c r="BI63" s="47">
        <v>26.8</v>
      </c>
      <c r="BJ63" s="47">
        <v>24.5</v>
      </c>
      <c r="BK63" s="47">
        <v>22.4</v>
      </c>
      <c r="BL63" s="47">
        <v>26</v>
      </c>
      <c r="BM63" s="47">
        <v>24.7</v>
      </c>
      <c r="BN63" s="47">
        <v>21.9</v>
      </c>
      <c r="BO63" s="47">
        <v>14.6</v>
      </c>
      <c r="BP63" s="47">
        <v>11.8</v>
      </c>
      <c r="BQ63" s="47">
        <v>15.2</v>
      </c>
      <c r="BR63" s="47">
        <v>20.7</v>
      </c>
      <c r="BS63" s="47">
        <v>23.4</v>
      </c>
      <c r="BT63" s="47">
        <v>258.39999999999998</v>
      </c>
      <c r="BU63" s="47">
        <v>63.6</v>
      </c>
      <c r="BV63" s="88">
        <f>AVERAGE(Tabla32[[#This Row],[Mayo]:[Septiembre]])/30</f>
        <v>0.65999999999999992</v>
      </c>
    </row>
    <row r="64" spans="2:116" x14ac:dyDescent="0.45">
      <c r="B64" t="s">
        <v>507</v>
      </c>
      <c r="D64" t="s">
        <v>625</v>
      </c>
      <c r="E64">
        <v>3</v>
      </c>
      <c r="V64" s="49" t="s">
        <v>495</v>
      </c>
      <c r="W64" t="s">
        <v>578</v>
      </c>
      <c r="X64" s="48">
        <v>0.73</v>
      </c>
      <c r="Y64" s="48">
        <v>0.73</v>
      </c>
      <c r="Z64" s="48">
        <v>0.74</v>
      </c>
      <c r="AA64" s="48">
        <v>0.76</v>
      </c>
      <c r="AB64" s="48">
        <v>0.79</v>
      </c>
      <c r="AC64" s="48">
        <v>0.78</v>
      </c>
      <c r="AD64" s="48">
        <v>0.78</v>
      </c>
      <c r="AE64" s="48">
        <v>0.77</v>
      </c>
      <c r="AF64" s="48">
        <v>0.75</v>
      </c>
      <c r="AG64" s="48">
        <v>0.74</v>
      </c>
      <c r="AH64" s="48">
        <v>0.73</v>
      </c>
      <c r="AI64" s="48">
        <v>0.73</v>
      </c>
      <c r="AJ64" s="48">
        <v>0.75</v>
      </c>
      <c r="AK64" s="88">
        <v>-33.616666666666667</v>
      </c>
      <c r="AL64" s="88">
        <v>-78.86666666666666</v>
      </c>
      <c r="AM64" s="88">
        <v>30</v>
      </c>
      <c r="AN64" s="48"/>
      <c r="AO64" s="48"/>
      <c r="AP64" s="119" t="s">
        <v>626</v>
      </c>
      <c r="AQ64" t="s">
        <v>435</v>
      </c>
      <c r="AX64" s="120">
        <v>0.73</v>
      </c>
      <c r="BG64" t="s">
        <v>1605</v>
      </c>
      <c r="BH64" s="47">
        <v>38.9</v>
      </c>
      <c r="BI64" s="47">
        <v>27.8</v>
      </c>
      <c r="BJ64" s="47">
        <v>29.6</v>
      </c>
      <c r="BK64" s="47">
        <v>36</v>
      </c>
      <c r="BL64" s="47">
        <v>41.6</v>
      </c>
      <c r="BM64" s="47">
        <v>28.2</v>
      </c>
      <c r="BN64" s="47">
        <v>30.2</v>
      </c>
      <c r="BO64" s="47">
        <v>30.2</v>
      </c>
      <c r="BP64" s="47">
        <v>24.2</v>
      </c>
      <c r="BQ64" s="47">
        <v>28.7</v>
      </c>
      <c r="BR64" s="47">
        <v>31.7</v>
      </c>
      <c r="BS64" s="47">
        <v>28.6</v>
      </c>
      <c r="BT64" s="47">
        <v>375.7</v>
      </c>
      <c r="BU64" s="47">
        <v>98</v>
      </c>
      <c r="BV64" s="88">
        <f>AVERAGE(Tabla32[[#This Row],[Mayo]:[Septiembre]])/30</f>
        <v>1.0293333333333332</v>
      </c>
    </row>
    <row r="65" spans="2:74" x14ac:dyDescent="0.45">
      <c r="B65" t="s">
        <v>517</v>
      </c>
      <c r="V65" s="49"/>
      <c r="W65" t="s">
        <v>581</v>
      </c>
      <c r="X65" s="48"/>
      <c r="Y65" s="48"/>
      <c r="Z65" s="48"/>
      <c r="AA65" s="48"/>
      <c r="AB65" s="48"/>
      <c r="AC65" s="48"/>
      <c r="AD65" s="48"/>
      <c r="AE65" s="48"/>
      <c r="AF65" s="48"/>
      <c r="AG65" s="48"/>
      <c r="AH65" s="48"/>
      <c r="AI65" s="48"/>
      <c r="AJ65" s="48"/>
      <c r="AK65" s="88"/>
      <c r="AL65" s="88"/>
      <c r="AM65" s="88"/>
      <c r="AN65" s="48"/>
      <c r="AO65" s="48"/>
      <c r="AP65" s="7" t="s">
        <v>627</v>
      </c>
      <c r="AQ65" s="49" t="s">
        <v>439</v>
      </c>
      <c r="AX65" s="120">
        <v>0.69</v>
      </c>
      <c r="BG65" t="s">
        <v>589</v>
      </c>
      <c r="BH65" s="47">
        <v>126</v>
      </c>
      <c r="BI65" s="47">
        <v>135.30000000000001</v>
      </c>
      <c r="BJ65" s="47">
        <v>137.4</v>
      </c>
      <c r="BK65" s="47">
        <v>134.4</v>
      </c>
      <c r="BL65" s="47">
        <v>107.4</v>
      </c>
      <c r="BM65" s="47">
        <v>109.4</v>
      </c>
      <c r="BN65" s="47">
        <v>107.8</v>
      </c>
      <c r="BO65" s="47">
        <v>97.7</v>
      </c>
      <c r="BP65" s="47">
        <v>100</v>
      </c>
      <c r="BQ65" s="47">
        <v>93.7</v>
      </c>
      <c r="BR65" s="47">
        <v>99.3</v>
      </c>
      <c r="BS65" s="47">
        <v>119.3</v>
      </c>
      <c r="BT65" s="47">
        <v>1367.7</v>
      </c>
      <c r="BU65" s="47">
        <v>90.2</v>
      </c>
      <c r="BV65" s="88">
        <f>AVERAGE(Tabla32[[#This Row],[Mayo]:[Septiembre]])/30</f>
        <v>3.4819999999999998</v>
      </c>
    </row>
    <row r="66" spans="2:74" x14ac:dyDescent="0.45">
      <c r="D66" s="3" t="s">
        <v>628</v>
      </c>
      <c r="E66">
        <v>2</v>
      </c>
      <c r="F66" t="s">
        <v>629</v>
      </c>
      <c r="V66" s="49"/>
      <c r="W66" t="s">
        <v>581</v>
      </c>
      <c r="X66" s="48"/>
      <c r="Y66" s="48"/>
      <c r="Z66" s="48"/>
      <c r="AA66" s="48"/>
      <c r="AB66" s="48"/>
      <c r="AC66" s="48"/>
      <c r="AD66" s="48"/>
      <c r="AE66" s="48"/>
      <c r="AF66" s="48"/>
      <c r="AG66" s="48"/>
      <c r="AH66" s="48"/>
      <c r="AI66" s="48"/>
      <c r="AJ66" s="48"/>
      <c r="AK66" s="88"/>
      <c r="AL66" s="88"/>
      <c r="AM66" s="88"/>
      <c r="AN66" s="48"/>
      <c r="AO66" s="48"/>
      <c r="AP66" s="118" t="s">
        <v>630</v>
      </c>
      <c r="AQ66" s="49" t="s">
        <v>443</v>
      </c>
      <c r="AX66" s="120">
        <v>0.69</v>
      </c>
      <c r="BG66" t="s">
        <v>1606</v>
      </c>
      <c r="BH66" s="47">
        <v>39.299999999999997</v>
      </c>
      <c r="BI66" s="47">
        <v>67.2</v>
      </c>
      <c r="BJ66" s="47">
        <v>88.8</v>
      </c>
      <c r="BK66" s="47">
        <v>84.5</v>
      </c>
      <c r="BL66" s="47">
        <v>70.2</v>
      </c>
      <c r="BM66" s="47">
        <v>59.9</v>
      </c>
      <c r="BN66" s="47">
        <v>56.1</v>
      </c>
      <c r="BO66" s="47">
        <v>60.1</v>
      </c>
      <c r="BP66" s="47">
        <v>74.599999999999994</v>
      </c>
      <c r="BQ66" s="47">
        <v>77</v>
      </c>
      <c r="BR66" s="47">
        <v>67.599999999999994</v>
      </c>
      <c r="BS66" s="47">
        <v>51.9</v>
      </c>
      <c r="BT66" s="47">
        <v>797.2</v>
      </c>
      <c r="BU66" s="47">
        <v>48.9</v>
      </c>
      <c r="BV66" s="88">
        <f>AVERAGE(Tabla32[[#This Row],[Mayo]:[Septiembre]])/30</f>
        <v>2.1393333333333331</v>
      </c>
    </row>
    <row r="67" spans="2:74" x14ac:dyDescent="0.45">
      <c r="B67" s="1" t="s">
        <v>631</v>
      </c>
      <c r="V67" s="49" t="s">
        <v>478</v>
      </c>
      <c r="W67" t="s">
        <v>581</v>
      </c>
      <c r="X67" s="48">
        <v>0.56999999999999995</v>
      </c>
      <c r="Y67" s="48">
        <v>0.62</v>
      </c>
      <c r="Z67" s="48">
        <v>0.67</v>
      </c>
      <c r="AA67" s="48">
        <v>0.73</v>
      </c>
      <c r="AB67" s="48">
        <v>0.8</v>
      </c>
      <c r="AC67" s="48">
        <v>0.84</v>
      </c>
      <c r="AD67" s="48">
        <v>0.84</v>
      </c>
      <c r="AE67" s="48">
        <v>0.82</v>
      </c>
      <c r="AF67" s="48">
        <v>0.79</v>
      </c>
      <c r="AG67" s="48">
        <v>0.72</v>
      </c>
      <c r="AH67" s="48">
        <v>0.63</v>
      </c>
      <c r="AI67" s="48">
        <v>0.57999999999999996</v>
      </c>
      <c r="AJ67" s="48">
        <v>0.72</v>
      </c>
      <c r="AK67" s="88"/>
      <c r="AL67" s="88"/>
      <c r="AM67" s="88"/>
      <c r="AN67" s="48"/>
      <c r="AO67" s="48"/>
      <c r="AP67" s="119" t="s">
        <v>632</v>
      </c>
      <c r="AQ67" t="s">
        <v>446</v>
      </c>
      <c r="AX67" s="120">
        <v>0.73</v>
      </c>
      <c r="BG67" t="s">
        <v>598</v>
      </c>
      <c r="BH67" s="47">
        <v>44.5</v>
      </c>
      <c r="BI67" s="47">
        <v>70.8</v>
      </c>
      <c r="BJ67" s="47">
        <v>84.6</v>
      </c>
      <c r="BK67" s="47">
        <v>53.5</v>
      </c>
      <c r="BL67" s="47">
        <v>59.6</v>
      </c>
      <c r="BM67" s="47">
        <v>52.4</v>
      </c>
      <c r="BN67" s="47">
        <v>62.3</v>
      </c>
      <c r="BO67" s="47">
        <v>61.6</v>
      </c>
      <c r="BP67" s="47">
        <v>86.2</v>
      </c>
      <c r="BQ67" s="47">
        <v>77.3</v>
      </c>
      <c r="BR67" s="47">
        <v>83.8</v>
      </c>
      <c r="BS67" s="47">
        <v>61.3</v>
      </c>
      <c r="BT67" s="47">
        <v>797.9</v>
      </c>
      <c r="BU67" s="47" t="s">
        <v>1248</v>
      </c>
      <c r="BV67" s="88">
        <f>AVERAGE(Tabla32[[#This Row],[Mayo]:[Septiembre]])/30</f>
        <v>2.1473333333333335</v>
      </c>
    </row>
    <row r="68" spans="2:74" x14ac:dyDescent="0.45">
      <c r="B68" t="s">
        <v>633</v>
      </c>
      <c r="C68">
        <v>1</v>
      </c>
      <c r="V68" s="49" t="s">
        <v>481</v>
      </c>
      <c r="W68" t="s">
        <v>581</v>
      </c>
      <c r="X68" s="48">
        <v>0.56999999999999995</v>
      </c>
      <c r="Y68" s="48">
        <v>0.61</v>
      </c>
      <c r="Z68" s="48">
        <v>0.68</v>
      </c>
      <c r="AA68" s="48">
        <v>0.74</v>
      </c>
      <c r="AB68" s="48">
        <v>0.8</v>
      </c>
      <c r="AC68" s="48">
        <v>0.84</v>
      </c>
      <c r="AD68" s="48">
        <v>0.84</v>
      </c>
      <c r="AE68" s="48">
        <v>0.81</v>
      </c>
      <c r="AF68" s="48">
        <v>0.76</v>
      </c>
      <c r="AG68" s="48">
        <v>0.7</v>
      </c>
      <c r="AH68" s="48">
        <v>0.62</v>
      </c>
      <c r="AI68" s="48">
        <v>0.56999999999999995</v>
      </c>
      <c r="AJ68" s="48">
        <v>0.71</v>
      </c>
      <c r="AK68" s="88">
        <v>-33.450000000000003</v>
      </c>
      <c r="AL68" s="88">
        <v>-70.7</v>
      </c>
      <c r="AM68" s="88">
        <v>520</v>
      </c>
      <c r="AN68" s="48"/>
      <c r="AO68" s="48"/>
      <c r="AP68" s="119" t="s">
        <v>634</v>
      </c>
      <c r="AQ68" t="s">
        <v>449</v>
      </c>
      <c r="AX68" s="120">
        <v>0.27</v>
      </c>
      <c r="BG68" t="s">
        <v>1607</v>
      </c>
      <c r="BH68" s="47">
        <v>28.9</v>
      </c>
      <c r="BI68" s="47">
        <v>64</v>
      </c>
      <c r="BJ68" s="47">
        <v>74.099999999999994</v>
      </c>
      <c r="BK68" s="47">
        <v>78</v>
      </c>
      <c r="BL68" s="47">
        <v>66.7</v>
      </c>
      <c r="BM68" s="47">
        <v>50.7</v>
      </c>
      <c r="BN68" s="47">
        <v>65.5</v>
      </c>
      <c r="BO68" s="47">
        <v>67.2</v>
      </c>
      <c r="BP68" s="47">
        <v>87.7</v>
      </c>
      <c r="BQ68" s="47">
        <v>87.1</v>
      </c>
      <c r="BR68" s="47">
        <v>61.9</v>
      </c>
      <c r="BS68" s="47">
        <v>38.700000000000003</v>
      </c>
      <c r="BT68" s="47">
        <v>770.5</v>
      </c>
      <c r="BU68" s="47" t="s">
        <v>1248</v>
      </c>
      <c r="BV68" s="88">
        <f>AVERAGE(Tabla32[[#This Row],[Mayo]:[Septiembre]])/30</f>
        <v>2.2520000000000002</v>
      </c>
    </row>
    <row r="69" spans="2:74" x14ac:dyDescent="0.45">
      <c r="B69" t="s">
        <v>635</v>
      </c>
      <c r="C69">
        <v>2</v>
      </c>
      <c r="V69" s="49" t="s">
        <v>486</v>
      </c>
      <c r="W69" t="s">
        <v>581</v>
      </c>
      <c r="X69" s="48">
        <v>0.57999999999999996</v>
      </c>
      <c r="Y69" s="48">
        <v>0.62</v>
      </c>
      <c r="Z69" s="48">
        <v>0.66</v>
      </c>
      <c r="AA69" s="48">
        <v>0.71</v>
      </c>
      <c r="AB69" s="48">
        <v>0.79</v>
      </c>
      <c r="AC69" s="48">
        <v>0.83</v>
      </c>
      <c r="AD69" s="48">
        <v>0.83</v>
      </c>
      <c r="AE69" s="48">
        <v>0.8</v>
      </c>
      <c r="AF69" s="48">
        <v>0.77</v>
      </c>
      <c r="AG69" s="48">
        <v>0.71</v>
      </c>
      <c r="AH69" s="48">
        <v>0.64</v>
      </c>
      <c r="AI69" s="48">
        <v>0.6</v>
      </c>
      <c r="AJ69" s="48">
        <v>0.71</v>
      </c>
      <c r="AK69" s="88"/>
      <c r="AL69" s="88"/>
      <c r="AM69" s="88"/>
      <c r="AN69" s="48"/>
      <c r="AO69" s="48"/>
      <c r="AP69" s="7" t="s">
        <v>636</v>
      </c>
      <c r="AQ69" t="s">
        <v>452</v>
      </c>
      <c r="AX69" s="120">
        <v>0.73</v>
      </c>
    </row>
    <row r="70" spans="2:74" x14ac:dyDescent="0.45">
      <c r="B70" t="s">
        <v>1754</v>
      </c>
      <c r="C70">
        <v>3</v>
      </c>
      <c r="V70" s="49"/>
      <c r="W70" t="s">
        <v>581</v>
      </c>
      <c r="X70" s="48"/>
      <c r="Y70" s="48"/>
      <c r="Z70" s="48"/>
      <c r="AA70" s="48"/>
      <c r="AB70" s="48"/>
      <c r="AC70" s="48"/>
      <c r="AD70" s="48"/>
      <c r="AE70" s="48"/>
      <c r="AF70" s="48"/>
      <c r="AG70" s="48"/>
      <c r="AH70" s="48"/>
      <c r="AI70" s="48"/>
      <c r="AJ70" s="48"/>
      <c r="AK70" s="88"/>
      <c r="AL70" s="88"/>
      <c r="AM70" s="88"/>
      <c r="AN70" s="48"/>
      <c r="AO70" s="48"/>
      <c r="AP70" s="118" t="s">
        <v>638</v>
      </c>
      <c r="AQ70" t="s">
        <v>456</v>
      </c>
      <c r="AX70" s="120">
        <v>0.76</v>
      </c>
    </row>
    <row r="71" spans="2:74" x14ac:dyDescent="0.45">
      <c r="B71" t="s">
        <v>637</v>
      </c>
      <c r="C71">
        <v>4</v>
      </c>
      <c r="V71" s="49" t="s">
        <v>524</v>
      </c>
      <c r="W71" t="s">
        <v>581</v>
      </c>
      <c r="X71" s="48">
        <v>0.61</v>
      </c>
      <c r="Y71" s="48">
        <v>0.64</v>
      </c>
      <c r="Z71" s="48">
        <v>0.67</v>
      </c>
      <c r="AA71" s="48">
        <v>0.7</v>
      </c>
      <c r="AB71" s="48">
        <v>0.74</v>
      </c>
      <c r="AC71" s="48">
        <v>0.77</v>
      </c>
      <c r="AD71" s="48">
        <v>0.77</v>
      </c>
      <c r="AE71" s="48">
        <v>0.76</v>
      </c>
      <c r="AF71" s="48">
        <v>0.73</v>
      </c>
      <c r="AG71" s="48">
        <v>0.72</v>
      </c>
      <c r="AH71" s="48">
        <v>0.66</v>
      </c>
      <c r="AI71" s="48">
        <v>0.63</v>
      </c>
      <c r="AJ71" s="48">
        <v>0.7</v>
      </c>
      <c r="AK71" s="88"/>
      <c r="AL71" s="88"/>
      <c r="AM71" s="88"/>
      <c r="AN71" s="48"/>
      <c r="AO71" s="48"/>
      <c r="AP71" s="119" t="s">
        <v>639</v>
      </c>
      <c r="AQ71" t="s">
        <v>458</v>
      </c>
      <c r="AX71" s="120">
        <v>0.76</v>
      </c>
    </row>
    <row r="72" spans="2:74" x14ac:dyDescent="0.45">
      <c r="V72" s="49" t="s">
        <v>530</v>
      </c>
      <c r="W72" t="s">
        <v>581</v>
      </c>
      <c r="X72" s="48">
        <v>0.65</v>
      </c>
      <c r="Y72" s="48">
        <v>0.69</v>
      </c>
      <c r="Z72" s="48">
        <v>0.74</v>
      </c>
      <c r="AA72" s="48">
        <v>0.82</v>
      </c>
      <c r="AB72" s="48">
        <v>0.88</v>
      </c>
      <c r="AC72" s="48">
        <v>0.91</v>
      </c>
      <c r="AD72" s="48">
        <v>0.9</v>
      </c>
      <c r="AE72" s="48">
        <v>0.87</v>
      </c>
      <c r="AF72" s="48">
        <v>0.83</v>
      </c>
      <c r="AG72" s="48">
        <v>0.78</v>
      </c>
      <c r="AH72" s="48">
        <v>0.71</v>
      </c>
      <c r="AI72" s="48">
        <v>0.66</v>
      </c>
      <c r="AJ72" s="48">
        <v>0.79</v>
      </c>
      <c r="AK72" s="88">
        <v>-34.966666666666669</v>
      </c>
      <c r="AL72" s="88">
        <v>-71.083333333333329</v>
      </c>
      <c r="AM72" s="88">
        <v>294</v>
      </c>
      <c r="AN72" s="48"/>
      <c r="AO72" s="48"/>
      <c r="AP72" s="119" t="s">
        <v>642</v>
      </c>
      <c r="AQ72" t="s">
        <v>460</v>
      </c>
      <c r="AX72" s="120">
        <v>0.76</v>
      </c>
    </row>
    <row r="73" spans="2:74" x14ac:dyDescent="0.45">
      <c r="B73" s="1" t="s">
        <v>640</v>
      </c>
      <c r="E73" t="s">
        <v>641</v>
      </c>
      <c r="V73" s="49"/>
      <c r="W73" t="s">
        <v>581</v>
      </c>
      <c r="X73" s="48"/>
      <c r="Y73" s="48"/>
      <c r="Z73" s="48"/>
      <c r="AA73" s="48"/>
      <c r="AB73" s="48"/>
      <c r="AC73" s="48"/>
      <c r="AD73" s="48"/>
      <c r="AE73" s="48"/>
      <c r="AF73" s="48"/>
      <c r="AG73" s="48"/>
      <c r="AH73" s="48"/>
      <c r="AI73" s="48"/>
      <c r="AJ73" s="48"/>
      <c r="AK73" s="88"/>
      <c r="AL73" s="88"/>
      <c r="AM73" s="88"/>
      <c r="AN73" s="48"/>
      <c r="AO73" s="48"/>
      <c r="AP73" s="7" t="s">
        <v>643</v>
      </c>
      <c r="AQ73" t="s">
        <v>463</v>
      </c>
      <c r="AX73" s="120">
        <v>0.85</v>
      </c>
    </row>
    <row r="74" spans="2:74" x14ac:dyDescent="0.45">
      <c r="B74" t="s">
        <v>633</v>
      </c>
      <c r="C74">
        <v>1</v>
      </c>
      <c r="E74">
        <v>1</v>
      </c>
      <c r="V74" s="49"/>
      <c r="W74" t="s">
        <v>581</v>
      </c>
      <c r="X74" s="48"/>
      <c r="Y74" s="48"/>
      <c r="Z74" s="48"/>
      <c r="AA74" s="48"/>
      <c r="AB74" s="48"/>
      <c r="AC74" s="48"/>
      <c r="AD74" s="48"/>
      <c r="AE74" s="48"/>
      <c r="AF74" s="48"/>
      <c r="AG74" s="48"/>
      <c r="AH74" s="48"/>
      <c r="AI74" s="48"/>
      <c r="AJ74" s="48"/>
      <c r="AK74" s="88"/>
      <c r="AL74" s="88"/>
      <c r="AM74" s="88"/>
      <c r="AN74" s="48"/>
      <c r="AO74" s="48"/>
      <c r="AP74" s="7" t="s">
        <v>644</v>
      </c>
      <c r="AQ74" t="s">
        <v>467</v>
      </c>
      <c r="AX74" s="120">
        <v>0.85</v>
      </c>
    </row>
    <row r="75" spans="2:74" x14ac:dyDescent="0.45">
      <c r="B75" t="s">
        <v>635</v>
      </c>
      <c r="C75">
        <v>2</v>
      </c>
      <c r="D75">
        <v>0.8</v>
      </c>
      <c r="V75" s="49"/>
      <c r="W75" t="s">
        <v>584</v>
      </c>
      <c r="X75" s="48"/>
      <c r="Y75" s="48"/>
      <c r="Z75" s="48"/>
      <c r="AA75" s="48"/>
      <c r="AB75" s="48"/>
      <c r="AC75" s="48"/>
      <c r="AD75" s="48"/>
      <c r="AE75" s="48"/>
      <c r="AF75" s="48"/>
      <c r="AG75" s="48"/>
      <c r="AH75" s="48"/>
      <c r="AI75" s="48"/>
      <c r="AJ75" s="48"/>
      <c r="AK75" s="88"/>
      <c r="AL75" s="88"/>
      <c r="AM75" s="88"/>
      <c r="AN75" s="48"/>
      <c r="AO75" s="48"/>
      <c r="AP75" s="7" t="s">
        <v>645</v>
      </c>
      <c r="AQ75" t="s">
        <v>471</v>
      </c>
      <c r="AX75" s="120">
        <v>0.85</v>
      </c>
    </row>
    <row r="76" spans="2:74" x14ac:dyDescent="0.45">
      <c r="B76" t="s">
        <v>1755</v>
      </c>
      <c r="C76">
        <v>3</v>
      </c>
      <c r="V76" s="49"/>
      <c r="W76" t="s">
        <v>584</v>
      </c>
      <c r="X76" s="48"/>
      <c r="Y76" s="48"/>
      <c r="Z76" s="48"/>
      <c r="AA76" s="48"/>
      <c r="AB76" s="48"/>
      <c r="AC76" s="48"/>
      <c r="AD76" s="48"/>
      <c r="AE76" s="48"/>
      <c r="AF76" s="48"/>
      <c r="AG76" s="48"/>
      <c r="AH76" s="48"/>
      <c r="AI76" s="48"/>
      <c r="AJ76" s="48"/>
      <c r="AK76" s="88"/>
      <c r="AL76" s="88"/>
      <c r="AM76" s="88"/>
      <c r="AN76" s="48"/>
      <c r="AO76" s="48"/>
      <c r="AP76" s="118" t="s">
        <v>647</v>
      </c>
      <c r="AQ76" t="s">
        <v>473</v>
      </c>
      <c r="AX76" s="120">
        <v>0.85</v>
      </c>
    </row>
    <row r="77" spans="2:74" x14ac:dyDescent="0.45">
      <c r="B77" t="s">
        <v>637</v>
      </c>
      <c r="C77">
        <v>4</v>
      </c>
      <c r="G77" s="41" t="s">
        <v>108</v>
      </c>
      <c r="V77" s="49" t="s">
        <v>554</v>
      </c>
      <c r="W77" t="s">
        <v>584</v>
      </c>
      <c r="X77" s="48">
        <v>0.75</v>
      </c>
      <c r="Y77" s="48">
        <v>0.78</v>
      </c>
      <c r="Z77" s="48">
        <v>0.81</v>
      </c>
      <c r="AA77" s="48">
        <v>0.84</v>
      </c>
      <c r="AB77" s="48">
        <v>0.88</v>
      </c>
      <c r="AC77" s="48">
        <v>0.88</v>
      </c>
      <c r="AD77" s="48">
        <v>0.87</v>
      </c>
      <c r="AE77" s="48">
        <v>0.86</v>
      </c>
      <c r="AF77" s="48">
        <v>0.84</v>
      </c>
      <c r="AG77" s="48">
        <v>0.81</v>
      </c>
      <c r="AH77" s="48">
        <v>0.76</v>
      </c>
      <c r="AI77" s="48">
        <v>0.74</v>
      </c>
      <c r="AJ77" s="48">
        <v>0.82</v>
      </c>
      <c r="AK77" s="88">
        <v>-36.766666666666666</v>
      </c>
      <c r="AL77" s="88">
        <v>-73.05</v>
      </c>
      <c r="AM77" s="88">
        <v>12</v>
      </c>
      <c r="AN77" s="48"/>
      <c r="AO77" s="48"/>
      <c r="AP77" s="119" t="s">
        <v>648</v>
      </c>
      <c r="AQ77" t="s">
        <v>475</v>
      </c>
      <c r="AX77" s="120">
        <v>0.9</v>
      </c>
    </row>
    <row r="78" spans="2:74" x14ac:dyDescent="0.45">
      <c r="G78" s="40" t="s">
        <v>649</v>
      </c>
      <c r="V78" s="49" t="s">
        <v>550</v>
      </c>
      <c r="W78" t="s">
        <v>586</v>
      </c>
      <c r="X78" s="48">
        <v>0.64</v>
      </c>
      <c r="Y78" s="48">
        <v>0.66</v>
      </c>
      <c r="Z78" s="48">
        <v>0.71</v>
      </c>
      <c r="AA78" s="48">
        <v>0.78</v>
      </c>
      <c r="AB78" s="48">
        <v>0.85</v>
      </c>
      <c r="AC78" s="48">
        <v>0.88</v>
      </c>
      <c r="AD78" s="48">
        <v>0.87</v>
      </c>
      <c r="AE78" s="48">
        <v>0.84</v>
      </c>
      <c r="AF78" s="48">
        <v>0.8</v>
      </c>
      <c r="AG78" s="48">
        <v>0.76</v>
      </c>
      <c r="AH78" s="48">
        <v>0.71</v>
      </c>
      <c r="AI78" s="48">
        <v>0.67</v>
      </c>
      <c r="AJ78" s="48">
        <v>0.76</v>
      </c>
      <c r="AK78" s="88">
        <v>-36.56666666666667</v>
      </c>
      <c r="AL78" s="88">
        <v>-72.033333333333331</v>
      </c>
      <c r="AM78" s="88">
        <v>124</v>
      </c>
      <c r="AN78" s="48"/>
      <c r="AO78" s="48"/>
      <c r="AP78" s="119" t="s">
        <v>650</v>
      </c>
      <c r="AQ78" t="s">
        <v>479</v>
      </c>
      <c r="AX78" s="120">
        <v>0.9</v>
      </c>
    </row>
    <row r="79" spans="2:74" x14ac:dyDescent="0.45">
      <c r="G79" s="40" t="s">
        <v>652</v>
      </c>
      <c r="V79" s="49" t="s">
        <v>557</v>
      </c>
      <c r="W79" t="s">
        <v>586</v>
      </c>
      <c r="X79" s="48">
        <v>0.74</v>
      </c>
      <c r="Y79" s="48">
        <v>0.77</v>
      </c>
      <c r="Z79" s="48">
        <v>0.8</v>
      </c>
      <c r="AA79" s="48">
        <v>0.84</v>
      </c>
      <c r="AB79" s="48">
        <v>0.88</v>
      </c>
      <c r="AC79" s="48">
        <v>0.89</v>
      </c>
      <c r="AD79" s="48">
        <v>0.88</v>
      </c>
      <c r="AE79" s="48">
        <v>0.86</v>
      </c>
      <c r="AF79" s="48">
        <v>0.83</v>
      </c>
      <c r="AG79" s="48">
        <v>0.81</v>
      </c>
      <c r="AH79" s="48">
        <v>0.78</v>
      </c>
      <c r="AI79" s="48">
        <v>0.75</v>
      </c>
      <c r="AJ79" s="48">
        <v>0.82</v>
      </c>
      <c r="AK79" s="88">
        <v>-38.75</v>
      </c>
      <c r="AL79" s="88">
        <v>-72.63333333333334</v>
      </c>
      <c r="AM79" s="88">
        <v>114</v>
      </c>
      <c r="AN79" s="48"/>
      <c r="AO79" s="48"/>
      <c r="AP79" s="7" t="s">
        <v>653</v>
      </c>
      <c r="AQ79" s="49" t="s">
        <v>483</v>
      </c>
      <c r="AX79" s="120">
        <v>0.9</v>
      </c>
    </row>
    <row r="80" spans="2:74" x14ac:dyDescent="0.45">
      <c r="B80" s="1" t="s">
        <v>651</v>
      </c>
      <c r="G80" s="40" t="s">
        <v>655</v>
      </c>
      <c r="V80" s="49" t="s">
        <v>559</v>
      </c>
      <c r="W80" t="s">
        <v>588</v>
      </c>
      <c r="X80" s="48">
        <v>0.75</v>
      </c>
      <c r="Y80" s="48">
        <v>0.77</v>
      </c>
      <c r="Z80" s="48">
        <v>0.82</v>
      </c>
      <c r="AA80" s="48">
        <v>0.87</v>
      </c>
      <c r="AB80" s="48">
        <v>0.9</v>
      </c>
      <c r="AC80" s="48">
        <v>0.91</v>
      </c>
      <c r="AD80" s="48">
        <v>0.9</v>
      </c>
      <c r="AE80" s="48">
        <v>0.88</v>
      </c>
      <c r="AF80" s="48">
        <v>0.84</v>
      </c>
      <c r="AG80" s="48">
        <v>0.81</v>
      </c>
      <c r="AH80" s="48">
        <v>0.77</v>
      </c>
      <c r="AI80" s="48">
        <v>0.74</v>
      </c>
      <c r="AJ80" s="48">
        <v>0.83</v>
      </c>
      <c r="AK80" s="88">
        <v>-39.633333333333333</v>
      </c>
      <c r="AL80" s="88">
        <v>-73.083333333333329</v>
      </c>
      <c r="AM80" s="88">
        <v>19</v>
      </c>
      <c r="AN80" s="48"/>
      <c r="AO80" s="48"/>
      <c r="AP80" s="7" t="s">
        <v>656</v>
      </c>
      <c r="AQ80" t="s">
        <v>488</v>
      </c>
      <c r="AX80" s="120">
        <v>0.9</v>
      </c>
    </row>
    <row r="81" spans="2:50" x14ac:dyDescent="0.45">
      <c r="B81" t="s">
        <v>654</v>
      </c>
      <c r="C81">
        <v>1</v>
      </c>
      <c r="G81" s="40"/>
      <c r="V81" s="49" t="s">
        <v>561</v>
      </c>
      <c r="W81" t="s">
        <v>588</v>
      </c>
      <c r="X81" s="48">
        <v>0.75</v>
      </c>
      <c r="Y81" s="48">
        <v>0.78</v>
      </c>
      <c r="Z81" s="48">
        <v>0.82</v>
      </c>
      <c r="AA81" s="48">
        <v>0.87</v>
      </c>
      <c r="AB81" s="48">
        <v>0.89</v>
      </c>
      <c r="AC81" s="48">
        <v>0.91</v>
      </c>
      <c r="AD81" s="48">
        <v>0.9</v>
      </c>
      <c r="AE81" s="48">
        <v>0.88</v>
      </c>
      <c r="AF81" s="48">
        <v>0.85</v>
      </c>
      <c r="AG81" s="48">
        <v>0.81</v>
      </c>
      <c r="AH81" s="48">
        <v>0.78</v>
      </c>
      <c r="AI81" s="48">
        <v>0.74</v>
      </c>
      <c r="AJ81" s="48">
        <v>0.83</v>
      </c>
      <c r="AK81" s="88">
        <v>-40.6</v>
      </c>
      <c r="AL81" s="88">
        <v>-73.066666666666663</v>
      </c>
      <c r="AM81" s="88">
        <v>65</v>
      </c>
      <c r="AN81" s="48"/>
      <c r="AO81" s="48"/>
      <c r="AP81" s="7" t="s">
        <v>659</v>
      </c>
      <c r="AQ81" t="s">
        <v>496</v>
      </c>
      <c r="AX81" s="120">
        <v>0.9</v>
      </c>
    </row>
    <row r="82" spans="2:50" x14ac:dyDescent="0.45">
      <c r="B82" t="s">
        <v>657</v>
      </c>
      <c r="C82">
        <v>2</v>
      </c>
      <c r="D82">
        <v>19</v>
      </c>
      <c r="E82" t="s">
        <v>658</v>
      </c>
      <c r="V82" s="49" t="s">
        <v>566</v>
      </c>
      <c r="W82" t="s">
        <v>588</v>
      </c>
      <c r="X82" s="48">
        <v>0.8</v>
      </c>
      <c r="Y82" s="48">
        <v>0.83</v>
      </c>
      <c r="Z82" s="48">
        <v>0.85</v>
      </c>
      <c r="AA82" s="48">
        <v>0.88</v>
      </c>
      <c r="AB82" s="48">
        <v>0.89</v>
      </c>
      <c r="AC82" s="48">
        <v>0.9</v>
      </c>
      <c r="AD82" s="48">
        <v>0.9</v>
      </c>
      <c r="AE82" s="48">
        <v>0.88</v>
      </c>
      <c r="AF82" s="48">
        <v>0.86</v>
      </c>
      <c r="AG82" s="48">
        <v>0.84</v>
      </c>
      <c r="AH82" s="48">
        <v>0.81</v>
      </c>
      <c r="AI82" s="48">
        <v>0.79</v>
      </c>
      <c r="AJ82" s="48">
        <v>0.85</v>
      </c>
      <c r="AK82" s="88">
        <v>-41.466666666666669</v>
      </c>
      <c r="AL82" s="88">
        <v>-72.933333333333337</v>
      </c>
      <c r="AM82" s="88">
        <v>90</v>
      </c>
      <c r="AN82" s="48"/>
      <c r="AO82" s="48"/>
      <c r="AP82" s="118" t="s">
        <v>660</v>
      </c>
      <c r="AQ82" t="s">
        <v>506</v>
      </c>
      <c r="AX82" s="120">
        <v>0.9</v>
      </c>
    </row>
    <row r="83" spans="2:50" x14ac:dyDescent="0.45">
      <c r="V83" s="49" t="s">
        <v>515</v>
      </c>
      <c r="W83" t="s">
        <v>591</v>
      </c>
      <c r="X83" s="48">
        <v>0.51</v>
      </c>
      <c r="Y83" s="48">
        <v>0.5</v>
      </c>
      <c r="Z83" s="48">
        <v>0.5</v>
      </c>
      <c r="AA83" s="48">
        <v>0.53</v>
      </c>
      <c r="AB83" s="48">
        <v>0.6</v>
      </c>
      <c r="AC83" s="48">
        <v>0.65</v>
      </c>
      <c r="AD83" s="48">
        <v>0.65</v>
      </c>
      <c r="AE83" s="48">
        <v>0.63</v>
      </c>
      <c r="AF83" s="48">
        <v>0.6</v>
      </c>
      <c r="AG83" s="48">
        <v>0.56999999999999995</v>
      </c>
      <c r="AH83" s="48">
        <v>0.54</v>
      </c>
      <c r="AI83" s="48">
        <v>0.51</v>
      </c>
      <c r="AJ83" s="48">
        <v>0.56999999999999995</v>
      </c>
      <c r="AK83" s="88">
        <v>-34.1</v>
      </c>
      <c r="AL83" s="88">
        <v>-70.36666666666666</v>
      </c>
      <c r="AM83" s="88">
        <v>2134</v>
      </c>
      <c r="AN83" s="48"/>
      <c r="AO83" s="48"/>
      <c r="AP83" s="119" t="s">
        <v>661</v>
      </c>
      <c r="AQ83" t="s">
        <v>516</v>
      </c>
      <c r="AX83" s="120">
        <v>0.9</v>
      </c>
    </row>
    <row r="84" spans="2:50" x14ac:dyDescent="0.45">
      <c r="K84" t="s">
        <v>1656</v>
      </c>
      <c r="L84" t="s">
        <v>692</v>
      </c>
      <c r="M84" t="s">
        <v>695</v>
      </c>
      <c r="N84" t="s">
        <v>698</v>
      </c>
      <c r="V84" s="49" t="s">
        <v>571</v>
      </c>
      <c r="W84" t="s">
        <v>594</v>
      </c>
      <c r="X84" s="48">
        <v>0.83</v>
      </c>
      <c r="Y84" s="48">
        <v>0.84</v>
      </c>
      <c r="Z84" s="48">
        <v>0.86</v>
      </c>
      <c r="AA84" s="48">
        <v>0.89</v>
      </c>
      <c r="AB84" s="48">
        <v>0.91</v>
      </c>
      <c r="AC84" s="48">
        <v>0.92</v>
      </c>
      <c r="AD84" s="48">
        <v>0.91</v>
      </c>
      <c r="AE84" s="48">
        <v>0.9</v>
      </c>
      <c r="AF84" s="48">
        <v>0.87</v>
      </c>
      <c r="AG84" s="48">
        <v>0.84</v>
      </c>
      <c r="AH84" s="48">
        <v>0.82</v>
      </c>
      <c r="AI84" s="48">
        <v>0.81</v>
      </c>
      <c r="AJ84" s="48">
        <v>0.87</v>
      </c>
      <c r="AK84" s="88">
        <v>-45.4</v>
      </c>
      <c r="AL84" s="88">
        <v>-72.7</v>
      </c>
      <c r="AM84" s="88">
        <v>10</v>
      </c>
      <c r="AN84" s="48"/>
      <c r="AO84" s="48"/>
      <c r="AP84" s="119" t="s">
        <v>663</v>
      </c>
      <c r="AQ84" s="49" t="s">
        <v>526</v>
      </c>
      <c r="AX84" s="120">
        <v>0.9</v>
      </c>
    </row>
    <row r="85" spans="2:50" x14ac:dyDescent="0.45">
      <c r="B85" s="1" t="s">
        <v>662</v>
      </c>
      <c r="K85" t="s">
        <v>1657</v>
      </c>
      <c r="L85" t="s">
        <v>701</v>
      </c>
      <c r="M85" t="s">
        <v>704</v>
      </c>
      <c r="V85" s="49" t="s">
        <v>576</v>
      </c>
      <c r="W85" t="s">
        <v>594</v>
      </c>
      <c r="X85" s="48">
        <v>0.65</v>
      </c>
      <c r="Y85" s="48">
        <v>0.67</v>
      </c>
      <c r="Z85" s="48">
        <v>0.71</v>
      </c>
      <c r="AA85" s="48">
        <v>0.77</v>
      </c>
      <c r="AB85" s="48">
        <v>0.82</v>
      </c>
      <c r="AC85" s="48">
        <v>0.84</v>
      </c>
      <c r="AD85" s="48">
        <v>0.83</v>
      </c>
      <c r="AE85" s="48">
        <v>0.8</v>
      </c>
      <c r="AF85" s="48">
        <v>0.75</v>
      </c>
      <c r="AG85" s="48">
        <v>0.7</v>
      </c>
      <c r="AH85" s="48">
        <v>0.66</v>
      </c>
      <c r="AI85" s="48">
        <v>0.65</v>
      </c>
      <c r="AJ85" s="48">
        <v>0.74</v>
      </c>
      <c r="AK85" s="88"/>
      <c r="AL85" s="88"/>
      <c r="AM85" s="88"/>
      <c r="AN85" s="48"/>
      <c r="AO85" s="48"/>
      <c r="AP85" s="7" t="s">
        <v>665</v>
      </c>
      <c r="AQ85" s="49" t="s">
        <v>532</v>
      </c>
      <c r="AX85" s="120">
        <v>0.92</v>
      </c>
    </row>
    <row r="86" spans="2:50" x14ac:dyDescent="0.45">
      <c r="B86" t="s">
        <v>664</v>
      </c>
      <c r="C86">
        <v>1</v>
      </c>
      <c r="K86" t="s">
        <v>1658</v>
      </c>
      <c r="L86" t="s">
        <v>706</v>
      </c>
      <c r="M86" t="s">
        <v>708</v>
      </c>
      <c r="V86" s="49" t="s">
        <v>579</v>
      </c>
      <c r="W86" t="s">
        <v>594</v>
      </c>
      <c r="X86" s="48">
        <v>0.63</v>
      </c>
      <c r="Y86" s="48">
        <v>0.65</v>
      </c>
      <c r="Z86" s="48">
        <v>0.68</v>
      </c>
      <c r="AA86" s="48">
        <v>0.73</v>
      </c>
      <c r="AB86" s="48">
        <v>0.79</v>
      </c>
      <c r="AC86" s="48">
        <v>0.81</v>
      </c>
      <c r="AD86" s="48">
        <v>0.81</v>
      </c>
      <c r="AE86" s="48">
        <v>0.78</v>
      </c>
      <c r="AF86" s="48">
        <v>0.73</v>
      </c>
      <c r="AG86" s="48">
        <v>0.67</v>
      </c>
      <c r="AH86" s="48">
        <v>0.63</v>
      </c>
      <c r="AI86" s="48">
        <v>0.62</v>
      </c>
      <c r="AJ86" s="48">
        <v>0.71</v>
      </c>
      <c r="AK86" s="88"/>
      <c r="AL86" s="88"/>
      <c r="AM86" s="88"/>
      <c r="AN86" s="48"/>
      <c r="AO86" s="48"/>
      <c r="AP86" s="7" t="s">
        <v>667</v>
      </c>
      <c r="AQ86" s="49" t="s">
        <v>537</v>
      </c>
      <c r="AX86" s="120">
        <v>0.92</v>
      </c>
    </row>
    <row r="87" spans="2:50" x14ac:dyDescent="0.45">
      <c r="B87" t="s">
        <v>666</v>
      </c>
      <c r="C87">
        <v>2</v>
      </c>
      <c r="K87" t="s">
        <v>1659</v>
      </c>
      <c r="L87" t="s">
        <v>710</v>
      </c>
      <c r="M87" t="s">
        <v>1660</v>
      </c>
      <c r="V87" s="49" t="s">
        <v>582</v>
      </c>
      <c r="W87" t="s">
        <v>594</v>
      </c>
      <c r="X87" s="48">
        <v>0.5</v>
      </c>
      <c r="Y87" s="48">
        <v>0.52</v>
      </c>
      <c r="Z87" s="48">
        <v>0.56999999999999995</v>
      </c>
      <c r="AA87" s="48">
        <v>0.64</v>
      </c>
      <c r="AB87" s="48">
        <v>0.72</v>
      </c>
      <c r="AC87" s="48">
        <v>0.74</v>
      </c>
      <c r="AD87" s="48">
        <v>0.74</v>
      </c>
      <c r="AE87" s="48">
        <v>0.71</v>
      </c>
      <c r="AF87" s="48">
        <v>0.65</v>
      </c>
      <c r="AG87" s="48">
        <v>0.56999999999999995</v>
      </c>
      <c r="AH87" s="48">
        <v>0.51</v>
      </c>
      <c r="AI87" s="48">
        <v>0.51</v>
      </c>
      <c r="AJ87" s="48">
        <v>0.62</v>
      </c>
      <c r="AK87" s="88"/>
      <c r="AL87" s="88"/>
      <c r="AM87" s="88"/>
      <c r="AN87" s="48"/>
      <c r="AO87" s="48"/>
      <c r="AP87" s="7" t="s">
        <v>668</v>
      </c>
      <c r="AQ87" s="49" t="s">
        <v>542</v>
      </c>
      <c r="AX87" s="120">
        <v>0.9</v>
      </c>
    </row>
    <row r="88" spans="2:50" x14ac:dyDescent="0.45">
      <c r="B88" t="s">
        <v>646</v>
      </c>
      <c r="C88">
        <v>3</v>
      </c>
      <c r="D88">
        <v>0.75</v>
      </c>
      <c r="G88" t="s">
        <v>1784</v>
      </c>
      <c r="H88">
        <v>0.8</v>
      </c>
      <c r="K88" t="s">
        <v>1651</v>
      </c>
      <c r="L88" t="s">
        <v>714</v>
      </c>
      <c r="M88" t="s">
        <v>716</v>
      </c>
      <c r="N88" t="s">
        <v>698</v>
      </c>
      <c r="V88" s="49" t="s">
        <v>585</v>
      </c>
      <c r="W88" t="s">
        <v>594</v>
      </c>
      <c r="X88" s="48">
        <v>0.61</v>
      </c>
      <c r="Y88" s="48">
        <v>0.63</v>
      </c>
      <c r="Z88" s="48">
        <v>0.69</v>
      </c>
      <c r="AA88" s="48">
        <v>0.75</v>
      </c>
      <c r="AB88" s="48">
        <v>0.81</v>
      </c>
      <c r="AC88" s="48">
        <v>0.84</v>
      </c>
      <c r="AD88" s="48">
        <v>0.82</v>
      </c>
      <c r="AE88" s="48">
        <v>0.76</v>
      </c>
      <c r="AF88" s="48">
        <v>0.7</v>
      </c>
      <c r="AG88" s="48">
        <v>0.64</v>
      </c>
      <c r="AH88" s="48">
        <v>0.61</v>
      </c>
      <c r="AI88" s="48">
        <v>0.6</v>
      </c>
      <c r="AJ88" s="48">
        <v>0.71</v>
      </c>
      <c r="AK88" s="88"/>
      <c r="AL88" s="88"/>
      <c r="AM88" s="88"/>
      <c r="AN88" s="48"/>
      <c r="AO88" s="48"/>
      <c r="AP88" s="7" t="s">
        <v>669</v>
      </c>
      <c r="AQ88" s="49" t="s">
        <v>545</v>
      </c>
      <c r="AX88" s="120">
        <v>0.92</v>
      </c>
    </row>
    <row r="89" spans="2:50" x14ac:dyDescent="0.45">
      <c r="G89" t="s">
        <v>673</v>
      </c>
      <c r="H89">
        <v>462</v>
      </c>
      <c r="I89" t="s">
        <v>1615</v>
      </c>
      <c r="K89" t="s">
        <v>1652</v>
      </c>
      <c r="L89" t="s">
        <v>717</v>
      </c>
      <c r="M89" t="s">
        <v>718</v>
      </c>
      <c r="V89" s="49" t="s">
        <v>587</v>
      </c>
      <c r="W89" t="s">
        <v>594</v>
      </c>
      <c r="X89" s="48">
        <v>0.69</v>
      </c>
      <c r="Y89" s="48">
        <v>0.71</v>
      </c>
      <c r="Z89" s="48">
        <v>0.75</v>
      </c>
      <c r="AA89" s="48">
        <v>0.8</v>
      </c>
      <c r="AB89" s="48">
        <v>0.84</v>
      </c>
      <c r="AC89" s="48">
        <v>0.84</v>
      </c>
      <c r="AD89" s="48">
        <v>0.84</v>
      </c>
      <c r="AE89" s="48">
        <v>0.82</v>
      </c>
      <c r="AF89" s="48">
        <v>0.78</v>
      </c>
      <c r="AG89" s="48">
        <v>0.72</v>
      </c>
      <c r="AH89" s="48">
        <v>0.69</v>
      </c>
      <c r="AI89" s="48">
        <v>0.68</v>
      </c>
      <c r="AJ89" s="48">
        <v>0.76</v>
      </c>
      <c r="AK89" s="88">
        <v>-53</v>
      </c>
      <c r="AL89" s="88">
        <v>-70.966666666666669</v>
      </c>
      <c r="AM89" s="88">
        <v>37</v>
      </c>
      <c r="AN89" s="48"/>
      <c r="AO89" s="48"/>
      <c r="AQ89" s="49" t="s">
        <v>548</v>
      </c>
      <c r="AX89" s="120">
        <v>0.9</v>
      </c>
    </row>
    <row r="90" spans="2:50" x14ac:dyDescent="0.45">
      <c r="G90" t="s">
        <v>674</v>
      </c>
      <c r="H90">
        <v>0.25</v>
      </c>
      <c r="I90" t="s">
        <v>675</v>
      </c>
      <c r="K90" t="s">
        <v>1653</v>
      </c>
      <c r="L90" t="s">
        <v>719</v>
      </c>
      <c r="M90" t="s">
        <v>720</v>
      </c>
      <c r="V90" s="49" t="s">
        <v>589</v>
      </c>
      <c r="W90" t="s">
        <v>594</v>
      </c>
      <c r="X90" s="48">
        <v>0.89</v>
      </c>
      <c r="Y90" s="48">
        <v>0.9</v>
      </c>
      <c r="Z90" s="48">
        <v>0.89</v>
      </c>
      <c r="AA90" s="48">
        <v>0.89</v>
      </c>
      <c r="AB90" s="48">
        <v>0.89</v>
      </c>
      <c r="AC90" s="48">
        <v>0.89</v>
      </c>
      <c r="AD90" s="48">
        <v>0.89</v>
      </c>
      <c r="AE90" s="48">
        <v>0.89</v>
      </c>
      <c r="AF90" s="48">
        <v>0.89</v>
      </c>
      <c r="AG90" s="48">
        <v>0.89</v>
      </c>
      <c r="AH90" s="48">
        <v>0.9</v>
      </c>
      <c r="AI90" s="48">
        <v>0.9</v>
      </c>
      <c r="AJ90" s="48">
        <v>0.89</v>
      </c>
      <c r="AK90" s="88"/>
      <c r="AL90" s="88"/>
      <c r="AM90" s="88"/>
      <c r="AN90" s="48"/>
      <c r="AO90" s="48"/>
      <c r="AQ90" s="7" t="s">
        <v>551</v>
      </c>
      <c r="AX90" s="121">
        <v>0.97</v>
      </c>
    </row>
    <row r="91" spans="2:50" x14ac:dyDescent="0.45">
      <c r="G91" t="s">
        <v>677</v>
      </c>
      <c r="H91">
        <v>0.2</v>
      </c>
      <c r="I91" t="s">
        <v>678</v>
      </c>
      <c r="K91" t="s">
        <v>1654</v>
      </c>
      <c r="L91" t="s">
        <v>721</v>
      </c>
      <c r="M91" t="s">
        <v>722</v>
      </c>
      <c r="V91" s="49" t="s">
        <v>592</v>
      </c>
      <c r="W91" t="s">
        <v>1699</v>
      </c>
      <c r="X91" s="48">
        <v>0.83</v>
      </c>
      <c r="Y91" s="48">
        <v>0.85</v>
      </c>
      <c r="Z91" s="48">
        <v>0.87</v>
      </c>
      <c r="AA91" s="48">
        <v>0.85</v>
      </c>
      <c r="AB91" s="48">
        <v>0.85</v>
      </c>
      <c r="AC91" s="48">
        <v>0.85</v>
      </c>
      <c r="AD91" s="48">
        <v>0.86</v>
      </c>
      <c r="AE91" s="48">
        <v>0.85</v>
      </c>
      <c r="AF91" s="48">
        <v>0.86</v>
      </c>
      <c r="AG91" s="48">
        <v>0.84</v>
      </c>
      <c r="AH91" s="48">
        <v>0.85</v>
      </c>
      <c r="AI91" s="48">
        <v>0.85</v>
      </c>
      <c r="AJ91" s="48">
        <v>0.85</v>
      </c>
      <c r="AK91" s="88">
        <v>-62.416666666666664</v>
      </c>
      <c r="AL91" s="88">
        <v>-58.883333333333333</v>
      </c>
      <c r="AM91" s="88">
        <v>10</v>
      </c>
      <c r="AN91" s="48"/>
      <c r="AO91" s="48"/>
      <c r="AQ91" s="49" t="s">
        <v>555</v>
      </c>
      <c r="AX91" s="120">
        <v>0.9</v>
      </c>
    </row>
    <row r="92" spans="2:50" x14ac:dyDescent="0.45">
      <c r="B92" s="1" t="s">
        <v>670</v>
      </c>
      <c r="K92" t="s">
        <v>1655</v>
      </c>
      <c r="L92" t="s">
        <v>723</v>
      </c>
      <c r="M92" t="s">
        <v>724</v>
      </c>
      <c r="V92" s="49" t="s">
        <v>598</v>
      </c>
      <c r="W92" t="s">
        <v>1699</v>
      </c>
      <c r="X92" s="48">
        <v>0.83</v>
      </c>
      <c r="Y92" s="48">
        <v>0.85</v>
      </c>
      <c r="Z92" s="48">
        <v>0.85</v>
      </c>
      <c r="AA92" s="48">
        <v>0.84</v>
      </c>
      <c r="AB92" s="48">
        <v>0.85</v>
      </c>
      <c r="AC92" s="48">
        <v>0.85</v>
      </c>
      <c r="AD92" s="48">
        <v>0.85</v>
      </c>
      <c r="AE92" s="48">
        <v>0.85</v>
      </c>
      <c r="AF92" s="48">
        <v>0.86</v>
      </c>
      <c r="AG92" s="48">
        <v>0.85</v>
      </c>
      <c r="AH92" s="48">
        <v>0.82</v>
      </c>
      <c r="AI92" s="48">
        <v>0.85</v>
      </c>
      <c r="AJ92" s="48">
        <v>0.85</v>
      </c>
      <c r="AK92" s="88"/>
      <c r="AL92" s="88"/>
      <c r="AM92" s="88"/>
      <c r="AN92" s="48"/>
      <c r="AO92" s="48"/>
      <c r="AQ92" s="49" t="s">
        <v>558</v>
      </c>
      <c r="AX92" s="120">
        <v>0.95</v>
      </c>
    </row>
    <row r="93" spans="2:50" x14ac:dyDescent="0.45">
      <c r="B93" t="s">
        <v>671</v>
      </c>
      <c r="C93">
        <v>1</v>
      </c>
      <c r="G93" s="1" t="s">
        <v>680</v>
      </c>
      <c r="V93" s="49" t="s">
        <v>599</v>
      </c>
      <c r="W93" t="s">
        <v>1699</v>
      </c>
      <c r="X93" s="48">
        <v>0.81</v>
      </c>
      <c r="Y93" s="48">
        <v>0.84</v>
      </c>
      <c r="Z93" s="48">
        <v>0.83</v>
      </c>
      <c r="AA93" s="48">
        <v>0.81</v>
      </c>
      <c r="AB93" s="48">
        <v>0.84</v>
      </c>
      <c r="AC93" s="48">
        <v>0.82</v>
      </c>
      <c r="AD93" s="48">
        <v>0.82</v>
      </c>
      <c r="AE93" s="48">
        <v>0.81</v>
      </c>
      <c r="AF93" s="48">
        <v>0.82</v>
      </c>
      <c r="AG93" s="48">
        <v>0.81</v>
      </c>
      <c r="AH93" s="48">
        <v>0.8</v>
      </c>
      <c r="AI93" s="48">
        <v>0.81</v>
      </c>
      <c r="AJ93" s="48">
        <v>0.82</v>
      </c>
      <c r="AK93" s="88"/>
      <c r="AL93" s="88"/>
      <c r="AM93" s="88"/>
      <c r="AN93" s="48"/>
      <c r="AO93" s="48"/>
      <c r="AQ93" s="49" t="s">
        <v>560</v>
      </c>
      <c r="AX93" s="120">
        <v>0.99</v>
      </c>
    </row>
    <row r="94" spans="2:50" x14ac:dyDescent="0.45">
      <c r="B94" t="s">
        <v>672</v>
      </c>
      <c r="C94">
        <v>2</v>
      </c>
      <c r="G94" t="s">
        <v>681</v>
      </c>
      <c r="H94">
        <v>1</v>
      </c>
      <c r="AQ94" s="49" t="s">
        <v>563</v>
      </c>
      <c r="AX94" s="120">
        <v>0.98</v>
      </c>
    </row>
    <row r="95" spans="2:50" x14ac:dyDescent="0.45">
      <c r="G95" t="s">
        <v>683</v>
      </c>
      <c r="H95">
        <v>2</v>
      </c>
      <c r="AQ95" s="49" t="s">
        <v>568</v>
      </c>
      <c r="AX95" s="120">
        <v>0.94</v>
      </c>
    </row>
    <row r="96" spans="2:50" ht="14.65" thickBot="1" x14ac:dyDescent="0.5">
      <c r="V96" s="86" t="s">
        <v>277</v>
      </c>
      <c r="W96" s="86" t="s">
        <v>1610</v>
      </c>
      <c r="X96" s="86" t="s">
        <v>408</v>
      </c>
      <c r="Y96" s="86" t="s">
        <v>409</v>
      </c>
      <c r="Z96" s="86" t="s">
        <v>410</v>
      </c>
      <c r="AA96" s="86" t="s">
        <v>411</v>
      </c>
      <c r="AB96" s="86" t="s">
        <v>412</v>
      </c>
      <c r="AC96" s="86" t="s">
        <v>413</v>
      </c>
      <c r="AD96" s="86" t="s">
        <v>126</v>
      </c>
      <c r="AE96" s="86" t="s">
        <v>414</v>
      </c>
      <c r="AF96" s="86" t="s">
        <v>415</v>
      </c>
      <c r="AG96" s="86" t="s">
        <v>416</v>
      </c>
      <c r="AH96" s="86" t="s">
        <v>417</v>
      </c>
      <c r="AI96" s="87" t="s">
        <v>418</v>
      </c>
      <c r="AJ96" s="86" t="s">
        <v>419</v>
      </c>
      <c r="AK96" s="1"/>
      <c r="AL96" s="1"/>
      <c r="AM96" s="1"/>
      <c r="AN96" s="1"/>
      <c r="AO96" s="1"/>
      <c r="AQ96" s="49" t="s">
        <v>572</v>
      </c>
      <c r="AX96" s="120">
        <v>0.95</v>
      </c>
    </row>
    <row r="97" spans="2:50" x14ac:dyDescent="0.45">
      <c r="V97" t="s">
        <v>1738</v>
      </c>
      <c r="W97" t="s">
        <v>441</v>
      </c>
      <c r="X97" s="88">
        <v>20</v>
      </c>
      <c r="Y97" s="88">
        <v>19.899999999999999</v>
      </c>
      <c r="Z97" s="88">
        <v>18.7</v>
      </c>
      <c r="AA97" s="88">
        <v>16.8</v>
      </c>
      <c r="AB97" s="88">
        <v>15.2</v>
      </c>
      <c r="AC97" s="88">
        <v>14</v>
      </c>
      <c r="AD97" s="88">
        <v>13.4</v>
      </c>
      <c r="AE97" s="88">
        <v>13.7</v>
      </c>
      <c r="AF97" s="88">
        <v>14.3</v>
      </c>
      <c r="AG97" s="88">
        <v>15.5</v>
      </c>
      <c r="AH97" s="88">
        <v>16.899999999999999</v>
      </c>
      <c r="AI97" s="88">
        <v>18.7</v>
      </c>
      <c r="AJ97" s="88">
        <v>16.399999999999999</v>
      </c>
      <c r="AK97" s="88"/>
      <c r="AL97" s="88"/>
      <c r="AM97" s="88"/>
      <c r="AN97" s="88"/>
      <c r="AO97" s="88"/>
      <c r="AQ97" s="49" t="s">
        <v>577</v>
      </c>
      <c r="AX97" s="120">
        <v>0.94</v>
      </c>
    </row>
    <row r="98" spans="2:50" x14ac:dyDescent="0.45">
      <c r="V98" s="49" t="s">
        <v>1748</v>
      </c>
      <c r="W98" t="s">
        <v>445</v>
      </c>
      <c r="X98" s="88">
        <v>23.3</v>
      </c>
      <c r="Y98" s="88">
        <v>23.6</v>
      </c>
      <c r="Z98" s="88">
        <v>23.1</v>
      </c>
      <c r="AA98" s="88">
        <v>21.8</v>
      </c>
      <c r="AB98" s="88">
        <v>20.2</v>
      </c>
      <c r="AC98" s="88">
        <v>18.8</v>
      </c>
      <c r="AD98" s="88">
        <v>18.2</v>
      </c>
      <c r="AE98" s="88">
        <v>18</v>
      </c>
      <c r="AF98" s="88">
        <v>18.3</v>
      </c>
      <c r="AG98" s="88">
        <v>19.100000000000001</v>
      </c>
      <c r="AH98" s="88">
        <v>20.399999999999999</v>
      </c>
      <c r="AI98" s="88">
        <v>21.8</v>
      </c>
      <c r="AJ98" s="88">
        <v>20.5</v>
      </c>
      <c r="AK98" s="88"/>
      <c r="AL98" s="88"/>
      <c r="AM98" s="88"/>
      <c r="AN98" s="88"/>
      <c r="AO98" s="88"/>
      <c r="AQ98" s="49" t="s">
        <v>580</v>
      </c>
      <c r="AX98" s="120">
        <v>0.94</v>
      </c>
    </row>
    <row r="99" spans="2:50" x14ac:dyDescent="0.45">
      <c r="V99" t="s">
        <v>1739</v>
      </c>
      <c r="W99" t="s">
        <v>448</v>
      </c>
      <c r="X99" s="88">
        <v>19.600000000000001</v>
      </c>
      <c r="Y99" s="88">
        <v>19.399999999999999</v>
      </c>
      <c r="Z99" s="88">
        <v>17.899999999999999</v>
      </c>
      <c r="AA99" s="88">
        <v>15.4</v>
      </c>
      <c r="AB99" s="88">
        <v>13.2</v>
      </c>
      <c r="AC99" s="88">
        <v>11.4</v>
      </c>
      <c r="AD99" s="88">
        <v>11.3</v>
      </c>
      <c r="AE99" s="88">
        <v>12</v>
      </c>
      <c r="AF99" s="88">
        <v>13.2</v>
      </c>
      <c r="AG99" s="88">
        <v>14.8</v>
      </c>
      <c r="AH99" s="88">
        <v>16.399999999999999</v>
      </c>
      <c r="AI99" s="88">
        <v>18.3</v>
      </c>
      <c r="AJ99" s="88">
        <v>15.2</v>
      </c>
      <c r="AK99" s="88"/>
      <c r="AL99" s="88"/>
      <c r="AM99" s="88"/>
      <c r="AN99" s="88"/>
      <c r="AO99" s="88"/>
      <c r="AQ99" s="49" t="s">
        <v>583</v>
      </c>
      <c r="AX99" s="120">
        <v>0.94</v>
      </c>
    </row>
    <row r="100" spans="2:50" x14ac:dyDescent="0.45">
      <c r="V100" s="49" t="s">
        <v>1749</v>
      </c>
      <c r="W100" t="s">
        <v>87</v>
      </c>
      <c r="X100" s="88">
        <v>15.1</v>
      </c>
      <c r="Y100" s="88">
        <v>14.9</v>
      </c>
      <c r="Z100" s="88">
        <v>13.9</v>
      </c>
      <c r="AA100" s="88">
        <v>12.1</v>
      </c>
      <c r="AB100" s="88">
        <v>10.3</v>
      </c>
      <c r="AC100" s="88">
        <v>8.6999999999999993</v>
      </c>
      <c r="AD100" s="88">
        <v>8.6</v>
      </c>
      <c r="AE100" s="88">
        <v>9.4</v>
      </c>
      <c r="AF100" s="88">
        <v>11.2</v>
      </c>
      <c r="AG100" s="88">
        <v>12.7</v>
      </c>
      <c r="AH100" s="88">
        <v>14.1</v>
      </c>
      <c r="AI100" s="88">
        <v>14.8</v>
      </c>
      <c r="AJ100" s="88">
        <v>12.1</v>
      </c>
      <c r="AK100" s="88"/>
      <c r="AL100" s="88"/>
      <c r="AM100" s="88"/>
      <c r="AN100" s="88"/>
      <c r="AO100" s="88"/>
      <c r="AQ100" s="49" t="str">
        <f>+"Provincia de Biobío"</f>
        <v>Provincia de Biobío</v>
      </c>
      <c r="AX100" s="120">
        <v>0.94</v>
      </c>
    </row>
    <row r="101" spans="2:50" x14ac:dyDescent="0.45">
      <c r="K101" s="1" t="s">
        <v>684</v>
      </c>
      <c r="V101" t="s">
        <v>1740</v>
      </c>
      <c r="W101" t="s">
        <v>474</v>
      </c>
      <c r="X101" s="88">
        <v>17</v>
      </c>
      <c r="Y101" s="88">
        <v>16.8</v>
      </c>
      <c r="Z101" s="88">
        <v>15.6</v>
      </c>
      <c r="AA101" s="88">
        <v>14.2</v>
      </c>
      <c r="AB101" s="88">
        <v>13.3</v>
      </c>
      <c r="AC101" s="88">
        <v>12</v>
      </c>
      <c r="AD101" s="88">
        <v>11.4</v>
      </c>
      <c r="AE101" s="88">
        <v>11.7</v>
      </c>
      <c r="AF101" s="88">
        <v>12.1</v>
      </c>
      <c r="AG101" s="88">
        <v>13.2</v>
      </c>
      <c r="AH101" s="88">
        <v>14.7</v>
      </c>
      <c r="AI101" s="88">
        <v>16.2</v>
      </c>
      <c r="AJ101" s="88">
        <v>14</v>
      </c>
      <c r="AK101" s="88"/>
      <c r="AL101" s="88"/>
      <c r="AM101" s="88"/>
      <c r="AN101" s="88"/>
      <c r="AO101" s="88"/>
      <c r="AQ101" s="49" t="str">
        <f>+"Provincia de Concepción"</f>
        <v>Provincia de Concepción</v>
      </c>
      <c r="AX101" s="120">
        <v>0.96</v>
      </c>
    </row>
    <row r="102" spans="2:50" x14ac:dyDescent="0.45">
      <c r="K102">
        <v>1</v>
      </c>
      <c r="L102" t="s">
        <v>1185</v>
      </c>
      <c r="V102" s="49" t="s">
        <v>1750</v>
      </c>
      <c r="W102" s="49" t="s">
        <v>495</v>
      </c>
      <c r="X102" s="88">
        <v>18.5</v>
      </c>
      <c r="Y102" s="88">
        <v>18.7</v>
      </c>
      <c r="Z102" s="88">
        <v>17.899999999999999</v>
      </c>
      <c r="AA102" s="88">
        <v>16.600000000000001</v>
      </c>
      <c r="AB102" s="88">
        <v>15.3</v>
      </c>
      <c r="AC102" s="88">
        <v>13.7</v>
      </c>
      <c r="AD102" s="88">
        <v>12.7</v>
      </c>
      <c r="AE102" s="88">
        <v>12.3</v>
      </c>
      <c r="AF102" s="88">
        <v>12.4</v>
      </c>
      <c r="AG102" s="88">
        <v>13.4</v>
      </c>
      <c r="AH102" s="88">
        <v>14.9</v>
      </c>
      <c r="AI102" s="88">
        <v>17</v>
      </c>
      <c r="AJ102" s="88">
        <v>15.3</v>
      </c>
      <c r="AK102" s="88"/>
      <c r="AL102" s="88"/>
      <c r="AM102" s="88"/>
      <c r="AN102" s="88"/>
      <c r="AO102" s="88"/>
      <c r="AQ102" s="49" t="str">
        <f>+"Provincia de Arauco"</f>
        <v>Provincia de Arauco</v>
      </c>
      <c r="AX102" s="120">
        <v>0.94</v>
      </c>
    </row>
    <row r="103" spans="2:50" x14ac:dyDescent="0.45">
      <c r="B103" s="1" t="s">
        <v>687</v>
      </c>
      <c r="C103" t="s">
        <v>688</v>
      </c>
      <c r="D103" s="3" t="s">
        <v>689</v>
      </c>
      <c r="E103" s="3" t="s">
        <v>690</v>
      </c>
      <c r="F103" s="3" t="s">
        <v>691</v>
      </c>
      <c r="G103" s="92" t="s">
        <v>349</v>
      </c>
      <c r="H103" s="92" t="s">
        <v>352</v>
      </c>
      <c r="I103" s="92" t="s">
        <v>355</v>
      </c>
      <c r="K103">
        <v>2</v>
      </c>
      <c r="L103" t="s">
        <v>692</v>
      </c>
      <c r="V103" t="s">
        <v>1741</v>
      </c>
      <c r="W103" t="s">
        <v>530</v>
      </c>
      <c r="X103" s="88">
        <v>20</v>
      </c>
      <c r="Y103" s="88">
        <v>18.899999999999999</v>
      </c>
      <c r="Z103" s="88">
        <v>15.9</v>
      </c>
      <c r="AA103" s="88">
        <v>12.1</v>
      </c>
      <c r="AB103" s="88">
        <v>9.5</v>
      </c>
      <c r="AC103" s="88">
        <v>7.4</v>
      </c>
      <c r="AD103" s="88">
        <v>7.2</v>
      </c>
      <c r="AE103" s="88">
        <v>8.1999999999999993</v>
      </c>
      <c r="AF103" s="88">
        <v>10.1</v>
      </c>
      <c r="AG103" s="88">
        <v>13</v>
      </c>
      <c r="AH103" s="88">
        <v>15.9</v>
      </c>
      <c r="AI103" s="88">
        <v>18.7</v>
      </c>
      <c r="AJ103" s="88">
        <v>13.1</v>
      </c>
      <c r="AK103" s="88"/>
      <c r="AL103" s="88"/>
      <c r="AM103" s="88"/>
      <c r="AN103" s="88"/>
      <c r="AO103" s="88"/>
      <c r="AQ103" s="49" t="str">
        <f>+"Provincia de Malleco"</f>
        <v>Provincia de Malleco</v>
      </c>
      <c r="AX103" s="120">
        <v>0.94</v>
      </c>
    </row>
    <row r="104" spans="2:50" x14ac:dyDescent="0.45">
      <c r="B104" t="s">
        <v>694</v>
      </c>
      <c r="C104">
        <v>1</v>
      </c>
      <c r="D104">
        <v>-5.0000000000000002E-5</v>
      </c>
      <c r="E104">
        <v>1E-3</v>
      </c>
      <c r="F104">
        <v>2E-3</v>
      </c>
      <c r="G104">
        <f>(H104-I104)/20</f>
        <v>-8.5</v>
      </c>
      <c r="H104">
        <v>100</v>
      </c>
      <c r="I104">
        <v>270</v>
      </c>
      <c r="K104">
        <v>3</v>
      </c>
      <c r="L104" t="s">
        <v>695</v>
      </c>
      <c r="V104" t="s">
        <v>1742</v>
      </c>
      <c r="W104" t="s">
        <v>554</v>
      </c>
      <c r="X104" s="88">
        <v>16.3</v>
      </c>
      <c r="Y104" s="88">
        <v>15.7</v>
      </c>
      <c r="Z104" s="88">
        <v>13.9</v>
      </c>
      <c r="AA104" s="88">
        <v>12</v>
      </c>
      <c r="AB104" s="88">
        <v>10.8</v>
      </c>
      <c r="AC104" s="88">
        <v>9.1999999999999993</v>
      </c>
      <c r="AD104" s="88">
        <v>8.8000000000000007</v>
      </c>
      <c r="AE104" s="88">
        <v>9.1</v>
      </c>
      <c r="AF104" s="88">
        <v>9.6999999999999993</v>
      </c>
      <c r="AG104" s="88">
        <v>11.5</v>
      </c>
      <c r="AH104" s="88">
        <v>13.5</v>
      </c>
      <c r="AI104" s="88">
        <v>15.5</v>
      </c>
      <c r="AJ104" s="88">
        <v>12.2</v>
      </c>
      <c r="AK104" s="88"/>
      <c r="AL104" s="88"/>
      <c r="AM104" s="88"/>
      <c r="AN104" s="88"/>
      <c r="AO104" s="88"/>
      <c r="AQ104" s="49" t="str">
        <f>+"Provincia de Cautín"</f>
        <v>Provincia de Cautín</v>
      </c>
      <c r="AX104" s="120">
        <v>0.96</v>
      </c>
    </row>
    <row r="105" spans="2:50" x14ac:dyDescent="0.45">
      <c r="B105" t="s">
        <v>697</v>
      </c>
      <c r="C105">
        <v>2</v>
      </c>
      <c r="D105">
        <v>-1.5000000000000001E-4</v>
      </c>
      <c r="E105">
        <v>1E-3</v>
      </c>
      <c r="F105">
        <v>4.0000000000000001E-3</v>
      </c>
      <c r="G105">
        <f>(H105-I105)/20</f>
        <v>-27</v>
      </c>
      <c r="H105">
        <v>100</v>
      </c>
      <c r="I105">
        <v>640</v>
      </c>
      <c r="K105">
        <v>4</v>
      </c>
      <c r="L105" t="s">
        <v>698</v>
      </c>
      <c r="V105" t="s">
        <v>1743</v>
      </c>
      <c r="W105" t="s">
        <v>557</v>
      </c>
      <c r="X105" s="88">
        <v>15.8</v>
      </c>
      <c r="Y105" s="88">
        <v>15.4</v>
      </c>
      <c r="Z105" s="88">
        <v>13.5</v>
      </c>
      <c r="AA105" s="88">
        <v>11</v>
      </c>
      <c r="AB105" s="88">
        <v>9.4</v>
      </c>
      <c r="AC105" s="88">
        <v>7.5</v>
      </c>
      <c r="AD105" s="88">
        <v>7.2</v>
      </c>
      <c r="AE105" s="88">
        <v>7.7</v>
      </c>
      <c r="AF105" s="88">
        <v>8.8000000000000007</v>
      </c>
      <c r="AG105" s="88">
        <v>10.6</v>
      </c>
      <c r="AH105" s="88">
        <v>12.7</v>
      </c>
      <c r="AI105" s="88">
        <v>14.7</v>
      </c>
      <c r="AJ105" s="88">
        <v>11.2</v>
      </c>
      <c r="AK105" s="88"/>
      <c r="AL105" s="88"/>
      <c r="AM105" s="88"/>
      <c r="AN105" s="88"/>
      <c r="AO105" s="88"/>
      <c r="AQ105" s="49" t="str">
        <f>+"Provincia de Valdivia"</f>
        <v>Provincia de Valdivia</v>
      </c>
      <c r="AX105" s="120">
        <v>0.98</v>
      </c>
    </row>
    <row r="106" spans="2:50" x14ac:dyDescent="0.45">
      <c r="B106" t="s">
        <v>700</v>
      </c>
      <c r="C106">
        <v>3</v>
      </c>
      <c r="D106">
        <v>-2.5000000000000001E-4</v>
      </c>
      <c r="E106">
        <v>1E-3</v>
      </c>
      <c r="F106">
        <v>6.0000000000000001E-3</v>
      </c>
      <c r="G106">
        <f>(H106-I106)/20</f>
        <v>-35.5</v>
      </c>
      <c r="H106">
        <v>100</v>
      </c>
      <c r="I106">
        <v>810</v>
      </c>
      <c r="K106">
        <v>5</v>
      </c>
      <c r="L106" t="s">
        <v>701</v>
      </c>
      <c r="V106" t="s">
        <v>1744</v>
      </c>
      <c r="W106" s="49" t="s">
        <v>561</v>
      </c>
      <c r="X106" s="88">
        <v>15.2</v>
      </c>
      <c r="Y106" s="88">
        <v>14.5</v>
      </c>
      <c r="Z106" s="88">
        <v>12.6</v>
      </c>
      <c r="AA106" s="88">
        <v>10.199999999999999</v>
      </c>
      <c r="AB106" s="88">
        <v>8.6999999999999993</v>
      </c>
      <c r="AC106" s="88">
        <v>6.7</v>
      </c>
      <c r="AD106" s="88">
        <v>6.5</v>
      </c>
      <c r="AE106" s="88">
        <v>7.1</v>
      </c>
      <c r="AF106" s="88">
        <v>8.1999999999999993</v>
      </c>
      <c r="AG106" s="88">
        <v>10.1</v>
      </c>
      <c r="AH106" s="88">
        <v>12.3</v>
      </c>
      <c r="AI106" s="88">
        <v>14.3</v>
      </c>
      <c r="AJ106" s="88">
        <v>10.5</v>
      </c>
      <c r="AK106" s="88"/>
      <c r="AL106" s="88"/>
      <c r="AM106" s="88"/>
      <c r="AN106" s="88"/>
      <c r="AO106" s="88"/>
      <c r="AQ106" s="49" t="str">
        <f>+"Provincia del Ranco"</f>
        <v>Provincia del Ranco</v>
      </c>
      <c r="AX106" s="120">
        <v>0.96</v>
      </c>
    </row>
    <row r="107" spans="2:50" x14ac:dyDescent="0.45">
      <c r="B107" t="s">
        <v>703</v>
      </c>
      <c r="C107">
        <v>4</v>
      </c>
      <c r="D107">
        <v>-3.5E-4</v>
      </c>
      <c r="E107">
        <v>1E-3</v>
      </c>
      <c r="F107">
        <v>8.0000000000000002E-3</v>
      </c>
      <c r="G107">
        <f>(H107-I107)/20</f>
        <v>-49</v>
      </c>
      <c r="H107">
        <v>100</v>
      </c>
      <c r="I107">
        <v>1080</v>
      </c>
      <c r="K107">
        <v>6</v>
      </c>
      <c r="L107" t="s">
        <v>704</v>
      </c>
      <c r="V107" t="s">
        <v>1745</v>
      </c>
      <c r="W107" t="s">
        <v>515</v>
      </c>
      <c r="X107" s="88">
        <v>15.8</v>
      </c>
      <c r="Y107" s="88">
        <v>15.6</v>
      </c>
      <c r="Z107" s="88">
        <v>14.3</v>
      </c>
      <c r="AA107" s="88">
        <v>11.9</v>
      </c>
      <c r="AB107" s="88">
        <v>8.3000000000000007</v>
      </c>
      <c r="AC107" s="88">
        <v>5.7</v>
      </c>
      <c r="AD107" s="88">
        <v>4.8</v>
      </c>
      <c r="AE107" s="88">
        <v>5.5</v>
      </c>
      <c r="AF107" s="88">
        <v>7.1</v>
      </c>
      <c r="AG107" s="88">
        <v>9.4</v>
      </c>
      <c r="AH107" s="88">
        <v>12.1</v>
      </c>
      <c r="AI107" s="88">
        <v>14.5</v>
      </c>
      <c r="AJ107" s="88">
        <v>10.4</v>
      </c>
      <c r="AK107" s="88"/>
      <c r="AL107" s="88"/>
      <c r="AM107" s="88"/>
      <c r="AN107" s="88"/>
      <c r="AO107" s="88"/>
      <c r="AQ107" s="49" t="str">
        <f>+"Provincia de Osorno"</f>
        <v>Provincia de Osorno</v>
      </c>
      <c r="AX107" s="120">
        <v>0.95</v>
      </c>
    </row>
    <row r="108" spans="2:50" x14ac:dyDescent="0.45">
      <c r="B108" t="s">
        <v>705</v>
      </c>
      <c r="C108">
        <v>5</v>
      </c>
      <c r="D108">
        <v>-4.0000000000000002E-4</v>
      </c>
      <c r="E108">
        <v>2E-3</v>
      </c>
      <c r="F108">
        <v>0.01</v>
      </c>
      <c r="G108">
        <f>(H108-I108)/20</f>
        <v>-58</v>
      </c>
      <c r="H108">
        <v>200</v>
      </c>
      <c r="I108">
        <v>1360</v>
      </c>
      <c r="K108">
        <v>7</v>
      </c>
      <c r="L108" t="s">
        <v>706</v>
      </c>
      <c r="V108" t="s">
        <v>1746</v>
      </c>
      <c r="W108" s="49" t="s">
        <v>587</v>
      </c>
      <c r="X108" s="88">
        <v>10.5</v>
      </c>
      <c r="Y108" s="88">
        <v>10.1</v>
      </c>
      <c r="Z108" s="88">
        <v>8.1999999999999993</v>
      </c>
      <c r="AA108" s="88">
        <v>6</v>
      </c>
      <c r="AB108" s="88">
        <v>3.4</v>
      </c>
      <c r="AC108" s="88">
        <v>1.5</v>
      </c>
      <c r="AD108" s="88">
        <v>1.1000000000000001</v>
      </c>
      <c r="AE108" s="88">
        <v>2</v>
      </c>
      <c r="AF108" s="88">
        <v>4</v>
      </c>
      <c r="AG108" s="88">
        <v>6.4</v>
      </c>
      <c r="AH108" s="88">
        <v>8.1999999999999993</v>
      </c>
      <c r="AI108" s="88">
        <v>9.6999999999999993</v>
      </c>
      <c r="AJ108" s="88">
        <v>5.9</v>
      </c>
      <c r="AK108" s="88"/>
      <c r="AL108" s="88"/>
      <c r="AM108" s="88"/>
      <c r="AN108" s="88"/>
      <c r="AO108" s="88"/>
      <c r="AQ108" s="49" t="str">
        <f>+"Provincia de Llanquihue"</f>
        <v>Provincia de Llanquihue</v>
      </c>
      <c r="AX108" s="120">
        <v>0.96</v>
      </c>
    </row>
    <row r="109" spans="2:50" x14ac:dyDescent="0.45">
      <c r="K109">
        <v>8</v>
      </c>
      <c r="L109" t="s">
        <v>708</v>
      </c>
      <c r="V109" s="49" t="s">
        <v>1747</v>
      </c>
      <c r="W109" s="49" t="s">
        <v>599</v>
      </c>
      <c r="X109" s="88">
        <v>0.5</v>
      </c>
      <c r="Y109" s="88">
        <v>0.1</v>
      </c>
      <c r="Z109" s="88">
        <v>-1.4</v>
      </c>
      <c r="AA109" s="88">
        <v>-4.0999999999999996</v>
      </c>
      <c r="AB109" s="88">
        <v>-6.3</v>
      </c>
      <c r="AC109" s="88">
        <v>-8</v>
      </c>
      <c r="AD109" s="88">
        <v>-8.5</v>
      </c>
      <c r="AE109" s="88">
        <v>-8.4</v>
      </c>
      <c r="AF109" s="88">
        <v>-5.6</v>
      </c>
      <c r="AG109" s="88">
        <v>-3.5</v>
      </c>
      <c r="AH109" s="88">
        <v>-1.7</v>
      </c>
      <c r="AI109" s="88">
        <v>0.1</v>
      </c>
      <c r="AJ109" s="88">
        <v>-3.9</v>
      </c>
      <c r="AK109" s="88"/>
      <c r="AL109" s="88"/>
      <c r="AM109" s="88"/>
      <c r="AN109" s="88"/>
      <c r="AO109" s="88"/>
      <c r="AQ109" s="49" t="str">
        <f>+"Provincia de Chiloé"</f>
        <v>Provincia de Chiloé</v>
      </c>
      <c r="AX109" s="120">
        <v>0.93</v>
      </c>
    </row>
    <row r="110" spans="2:50" x14ac:dyDescent="0.45">
      <c r="K110">
        <v>9</v>
      </c>
      <c r="L110" t="s">
        <v>710</v>
      </c>
      <c r="V110" s="188" t="s">
        <v>707</v>
      </c>
      <c r="W110" t="s">
        <v>530</v>
      </c>
      <c r="X110" s="88">
        <v>20</v>
      </c>
      <c r="Y110" s="88">
        <v>18.899999999999999</v>
      </c>
      <c r="Z110" s="88">
        <v>15.9</v>
      </c>
      <c r="AA110" s="88">
        <v>12.1</v>
      </c>
      <c r="AB110" s="88">
        <v>9.5</v>
      </c>
      <c r="AC110" s="88">
        <v>7.4</v>
      </c>
      <c r="AD110" s="88">
        <v>7.2</v>
      </c>
      <c r="AE110" s="88">
        <v>8.1999999999999993</v>
      </c>
      <c r="AF110" s="88">
        <v>10.1</v>
      </c>
      <c r="AG110" s="88">
        <v>13</v>
      </c>
      <c r="AH110" s="88">
        <v>15.9</v>
      </c>
      <c r="AI110" s="88">
        <v>18.7</v>
      </c>
      <c r="AJ110" s="88">
        <v>13.1</v>
      </c>
      <c r="AK110" s="88"/>
      <c r="AL110" s="88"/>
      <c r="AM110" s="88"/>
      <c r="AN110" s="88"/>
      <c r="AO110" s="88"/>
      <c r="AQ110" s="49" t="str">
        <f>+"Provincia de Palena"</f>
        <v>Provincia de Palena</v>
      </c>
      <c r="AX110" s="120">
        <v>0.86</v>
      </c>
    </row>
    <row r="111" spans="2:50" x14ac:dyDescent="0.45">
      <c r="C111" s="154" t="s">
        <v>712</v>
      </c>
      <c r="D111" s="93">
        <v>2.0000000000000001E-10</v>
      </c>
      <c r="E111" t="s">
        <v>713</v>
      </c>
      <c r="K111">
        <v>10</v>
      </c>
      <c r="L111" t="s">
        <v>714</v>
      </c>
      <c r="V111" s="188" t="s">
        <v>709</v>
      </c>
      <c r="W111" t="s">
        <v>554</v>
      </c>
      <c r="X111" s="88">
        <v>16.3</v>
      </c>
      <c r="Y111" s="88">
        <v>15.7</v>
      </c>
      <c r="Z111" s="88">
        <v>13.9</v>
      </c>
      <c r="AA111" s="88">
        <v>12</v>
      </c>
      <c r="AB111" s="88">
        <v>10.8</v>
      </c>
      <c r="AC111" s="88">
        <v>9.1999999999999993</v>
      </c>
      <c r="AD111" s="88">
        <v>8.8000000000000007</v>
      </c>
      <c r="AE111" s="88">
        <v>9.1</v>
      </c>
      <c r="AF111" s="88">
        <v>9.6999999999999993</v>
      </c>
      <c r="AG111" s="88">
        <v>11.5</v>
      </c>
      <c r="AH111" s="88">
        <v>13.5</v>
      </c>
      <c r="AI111" s="88">
        <v>15.5</v>
      </c>
      <c r="AJ111" s="88">
        <v>12.2</v>
      </c>
      <c r="AK111" s="88"/>
      <c r="AL111" s="88"/>
      <c r="AM111" s="88"/>
      <c r="AN111" s="88"/>
      <c r="AO111" s="88"/>
      <c r="AQ111" s="49" t="str">
        <f>+"Provincia de Coyhaique"</f>
        <v>Provincia de Coyhaique</v>
      </c>
      <c r="AX111" s="120">
        <v>0.95</v>
      </c>
    </row>
    <row r="112" spans="2:50" x14ac:dyDescent="0.45">
      <c r="C112" s="154" t="s">
        <v>31</v>
      </c>
      <c r="D112" s="93">
        <v>1000000</v>
      </c>
      <c r="K112">
        <v>11</v>
      </c>
      <c r="L112" t="s">
        <v>716</v>
      </c>
      <c r="V112" s="188" t="s">
        <v>711</v>
      </c>
      <c r="W112" s="49" t="s">
        <v>566</v>
      </c>
      <c r="X112" s="88">
        <v>14.3</v>
      </c>
      <c r="Y112" s="88">
        <v>13.6</v>
      </c>
      <c r="Z112" s="88">
        <v>12.1</v>
      </c>
      <c r="AA112" s="88">
        <v>10.1</v>
      </c>
      <c r="AB112" s="88">
        <v>8.8000000000000007</v>
      </c>
      <c r="AC112" s="88">
        <v>6.7</v>
      </c>
      <c r="AD112" s="88">
        <v>6.6</v>
      </c>
      <c r="AE112" s="88">
        <v>6.8</v>
      </c>
      <c r="AF112" s="88">
        <v>7.8</v>
      </c>
      <c r="AG112" s="88">
        <v>9.6</v>
      </c>
      <c r="AH112" s="88">
        <v>11.6</v>
      </c>
      <c r="AI112" s="88">
        <v>13.4</v>
      </c>
      <c r="AJ112" s="88">
        <v>10.1</v>
      </c>
      <c r="AK112" s="88"/>
      <c r="AL112" s="88"/>
      <c r="AM112" s="88"/>
      <c r="AN112" s="88"/>
      <c r="AO112" s="88"/>
      <c r="AQ112" s="49" t="str">
        <f>+"Provincia de Aysén"</f>
        <v>Provincia de Aysén</v>
      </c>
      <c r="AX112" s="120">
        <v>0.98</v>
      </c>
    </row>
    <row r="113" spans="1:55" x14ac:dyDescent="0.45">
      <c r="K113">
        <v>12</v>
      </c>
      <c r="L113" t="s">
        <v>717</v>
      </c>
      <c r="V113" s="188" t="s">
        <v>715</v>
      </c>
      <c r="W113" s="49" t="s">
        <v>587</v>
      </c>
      <c r="X113" s="88">
        <v>10.5</v>
      </c>
      <c r="Y113" s="88">
        <v>10.1</v>
      </c>
      <c r="Z113" s="88">
        <v>8.1999999999999993</v>
      </c>
      <c r="AA113" s="88">
        <v>6</v>
      </c>
      <c r="AB113" s="88">
        <v>3.4</v>
      </c>
      <c r="AC113" s="88">
        <v>1.5</v>
      </c>
      <c r="AD113" s="88">
        <v>1.1000000000000001</v>
      </c>
      <c r="AE113" s="88">
        <v>2</v>
      </c>
      <c r="AF113" s="88">
        <v>4</v>
      </c>
      <c r="AG113" s="88">
        <v>6.4</v>
      </c>
      <c r="AH113" s="88">
        <v>8.1999999999999993</v>
      </c>
      <c r="AI113" s="88">
        <v>9.6999999999999993</v>
      </c>
      <c r="AJ113" s="88">
        <v>5.9</v>
      </c>
      <c r="AK113" s="88"/>
      <c r="AL113" s="88"/>
      <c r="AM113" s="88"/>
      <c r="AN113" s="88"/>
      <c r="AO113" s="88"/>
      <c r="AQ113" s="49" t="str">
        <f>+"Provincia de General Carrera"</f>
        <v>Provincia de General Carrera</v>
      </c>
      <c r="AX113" s="120">
        <v>0.86</v>
      </c>
    </row>
    <row r="114" spans="1:55" x14ac:dyDescent="0.45">
      <c r="C114" t="s">
        <v>1192</v>
      </c>
      <c r="D114" t="s">
        <v>1194</v>
      </c>
      <c r="E114" t="s">
        <v>1195</v>
      </c>
      <c r="K114">
        <v>13</v>
      </c>
      <c r="L114" t="s">
        <v>718</v>
      </c>
      <c r="V114" t="s">
        <v>1540</v>
      </c>
      <c r="W114" s="49" t="s">
        <v>505</v>
      </c>
      <c r="X114" s="88">
        <v>19.899999999999999</v>
      </c>
      <c r="Y114" s="88">
        <v>18.8</v>
      </c>
      <c r="Z114" s="88">
        <v>16.5</v>
      </c>
      <c r="AA114" s="88">
        <v>12.8</v>
      </c>
      <c r="AB114" s="88">
        <v>9.8000000000000007</v>
      </c>
      <c r="AC114" s="88">
        <v>8.3000000000000007</v>
      </c>
      <c r="AD114" s="88">
        <v>7.1</v>
      </c>
      <c r="AE114" s="88">
        <v>8.6</v>
      </c>
      <c r="AF114" s="88">
        <v>10.9</v>
      </c>
      <c r="AG114" s="88">
        <v>13.6</v>
      </c>
      <c r="AH114" s="88">
        <v>16.7</v>
      </c>
      <c r="AI114" s="88">
        <v>18.899999999999999</v>
      </c>
      <c r="AJ114" s="88">
        <v>13.5</v>
      </c>
      <c r="AK114" s="88"/>
      <c r="AL114" s="88"/>
      <c r="AM114" s="88"/>
      <c r="AN114" s="88"/>
      <c r="AO114" s="88"/>
      <c r="AQ114" s="49" t="str">
        <f>+"Provincia de Capitán Prat"</f>
        <v>Provincia de Capitán Prat</v>
      </c>
      <c r="AX114" s="120">
        <v>0.93</v>
      </c>
    </row>
    <row r="115" spans="1:55" x14ac:dyDescent="0.45">
      <c r="C115" t="s">
        <v>534</v>
      </c>
      <c r="D115" s="219">
        <v>1.0000000000000001E-9</v>
      </c>
      <c r="E115" t="s">
        <v>521</v>
      </c>
      <c r="K115">
        <v>14</v>
      </c>
      <c r="L115" t="s">
        <v>719</v>
      </c>
      <c r="V115" t="s">
        <v>1539</v>
      </c>
      <c r="W115" s="49" t="s">
        <v>530</v>
      </c>
      <c r="X115" s="88">
        <v>20</v>
      </c>
      <c r="Y115" s="88">
        <v>18.899999999999999</v>
      </c>
      <c r="Z115" s="88">
        <v>15.9</v>
      </c>
      <c r="AA115" s="88">
        <v>12.1</v>
      </c>
      <c r="AB115" s="88">
        <v>9.5</v>
      </c>
      <c r="AC115" s="88">
        <v>7.4</v>
      </c>
      <c r="AD115" s="88">
        <v>7.2</v>
      </c>
      <c r="AE115" s="88">
        <v>8.1999999999999993</v>
      </c>
      <c r="AF115" s="88">
        <v>10.1</v>
      </c>
      <c r="AG115" s="88">
        <v>13</v>
      </c>
      <c r="AH115" s="88">
        <v>15.9</v>
      </c>
      <c r="AI115" s="88">
        <v>18.7</v>
      </c>
      <c r="AJ115" s="88">
        <v>13.1</v>
      </c>
      <c r="AK115" s="88"/>
      <c r="AL115" s="88"/>
      <c r="AM115" s="88"/>
      <c r="AN115" s="88"/>
      <c r="AO115" s="88"/>
      <c r="AQ115" s="49" t="str">
        <f>+"Provincia de Última Esperanza"</f>
        <v>Provincia de Última Esperanza</v>
      </c>
      <c r="AX115" s="120">
        <v>0.89</v>
      </c>
    </row>
    <row r="116" spans="1:55" x14ac:dyDescent="0.45">
      <c r="C116" t="s">
        <v>540</v>
      </c>
      <c r="D116">
        <v>2.0835105554910798E-9</v>
      </c>
      <c r="E116" t="s">
        <v>521</v>
      </c>
      <c r="K116">
        <v>15</v>
      </c>
      <c r="L116" t="s">
        <v>720</v>
      </c>
      <c r="V116" t="s">
        <v>1538</v>
      </c>
      <c r="W116" s="49" t="s">
        <v>536</v>
      </c>
      <c r="X116" s="88">
        <v>20.3</v>
      </c>
      <c r="Y116" s="88">
        <v>19.5</v>
      </c>
      <c r="Z116" s="88">
        <v>17.600000000000001</v>
      </c>
      <c r="AA116" s="88">
        <v>13.4</v>
      </c>
      <c r="AB116" s="88">
        <v>10.3</v>
      </c>
      <c r="AC116" s="88">
        <v>8.5</v>
      </c>
      <c r="AD116" s="88">
        <v>7.6</v>
      </c>
      <c r="AE116" s="88">
        <v>8.8000000000000007</v>
      </c>
      <c r="AF116" s="88">
        <v>11.1</v>
      </c>
      <c r="AG116" s="88">
        <v>13.8</v>
      </c>
      <c r="AH116" s="88">
        <v>16.8</v>
      </c>
      <c r="AI116" s="88">
        <v>19.7</v>
      </c>
      <c r="AJ116" s="88">
        <v>14</v>
      </c>
      <c r="AK116" s="88"/>
      <c r="AL116" s="88"/>
      <c r="AM116" s="88"/>
      <c r="AN116" s="88"/>
      <c r="AO116" s="88"/>
      <c r="AQ116" s="49" t="str">
        <f>+"Provincia de Magallanes"</f>
        <v>Provincia de Magallanes</v>
      </c>
      <c r="AX116" s="120">
        <v>0.92</v>
      </c>
    </row>
    <row r="117" spans="1:55" x14ac:dyDescent="0.45">
      <c r="C117" t="s">
        <v>528</v>
      </c>
      <c r="D117" s="219">
        <v>1000000000</v>
      </c>
      <c r="E117" t="s">
        <v>511</v>
      </c>
      <c r="K117">
        <v>16</v>
      </c>
      <c r="L117" t="s">
        <v>721</v>
      </c>
      <c r="V117" t="s">
        <v>1543</v>
      </c>
      <c r="W117" s="49" t="s">
        <v>550</v>
      </c>
      <c r="X117" s="88">
        <v>19.100000000000001</v>
      </c>
      <c r="Y117" s="88">
        <v>18.3</v>
      </c>
      <c r="Z117" s="88">
        <v>15.8</v>
      </c>
      <c r="AA117" s="88">
        <v>12.3</v>
      </c>
      <c r="AB117" s="88">
        <v>9.6</v>
      </c>
      <c r="AC117" s="88">
        <v>7.7</v>
      </c>
      <c r="AD117" s="88">
        <v>7.3</v>
      </c>
      <c r="AE117" s="88">
        <v>8.1999999999999993</v>
      </c>
      <c r="AF117" s="88">
        <v>9.6999999999999993</v>
      </c>
      <c r="AG117" s="88">
        <v>11.9</v>
      </c>
      <c r="AH117" s="88">
        <v>14.9</v>
      </c>
      <c r="AI117" s="88">
        <v>17.7</v>
      </c>
      <c r="AJ117" s="88">
        <v>12.7</v>
      </c>
      <c r="AK117" s="88"/>
      <c r="AL117" s="88"/>
      <c r="AM117" s="88"/>
      <c r="AN117" s="88"/>
      <c r="AO117" s="88"/>
      <c r="AQ117" s="49" t="str">
        <f>+"Provincia de Tierra del Fuego"</f>
        <v>Provincia de Tierra del Fuego</v>
      </c>
      <c r="AX117" s="120">
        <v>0.88</v>
      </c>
    </row>
    <row r="118" spans="1:55" x14ac:dyDescent="0.45">
      <c r="K118">
        <v>17</v>
      </c>
      <c r="L118" t="s">
        <v>722</v>
      </c>
      <c r="V118" t="s">
        <v>1541</v>
      </c>
      <c r="W118" t="s">
        <v>554</v>
      </c>
      <c r="X118" s="88">
        <v>16.3</v>
      </c>
      <c r="Y118" s="88">
        <v>15.7</v>
      </c>
      <c r="Z118" s="88">
        <v>13.9</v>
      </c>
      <c r="AA118" s="88">
        <v>12</v>
      </c>
      <c r="AB118" s="88">
        <v>10.8</v>
      </c>
      <c r="AC118" s="88">
        <v>9.1999999999999993</v>
      </c>
      <c r="AD118" s="88">
        <v>8.8000000000000007</v>
      </c>
      <c r="AE118" s="88">
        <v>9.1</v>
      </c>
      <c r="AF118" s="88">
        <v>9.6999999999999993</v>
      </c>
      <c r="AG118" s="88">
        <v>11.5</v>
      </c>
      <c r="AH118" s="88">
        <v>13.5</v>
      </c>
      <c r="AI118" s="88">
        <v>15.5</v>
      </c>
      <c r="AJ118" s="88">
        <v>12.2</v>
      </c>
      <c r="AK118" s="88"/>
      <c r="AL118" s="88"/>
      <c r="AM118" s="88"/>
      <c r="AN118" s="88"/>
      <c r="AO118" s="88"/>
      <c r="AQ118" s="49" t="str">
        <f>+"Provincia de la Antártica Chilena"</f>
        <v>Provincia de la Antártica Chilena</v>
      </c>
      <c r="AX118" s="120">
        <v>0.88</v>
      </c>
    </row>
    <row r="119" spans="1:55" x14ac:dyDescent="0.45">
      <c r="C119" t="s">
        <v>1403</v>
      </c>
      <c r="K119">
        <v>18</v>
      </c>
      <c r="L119" t="s">
        <v>723</v>
      </c>
      <c r="V119" t="s">
        <v>1544</v>
      </c>
      <c r="W119" s="49" t="s">
        <v>557</v>
      </c>
      <c r="X119" s="88">
        <v>15.8</v>
      </c>
      <c r="Y119" s="88">
        <v>15.4</v>
      </c>
      <c r="Z119" s="88">
        <v>13.5</v>
      </c>
      <c r="AA119" s="88">
        <v>11</v>
      </c>
      <c r="AB119" s="88">
        <v>9.4</v>
      </c>
      <c r="AC119" s="88">
        <v>7.5</v>
      </c>
      <c r="AD119" s="88">
        <v>7.2</v>
      </c>
      <c r="AE119" s="88">
        <v>7.7</v>
      </c>
      <c r="AF119" s="88">
        <v>8.8000000000000007</v>
      </c>
      <c r="AG119" s="88">
        <v>10.6</v>
      </c>
      <c r="AH119" s="88">
        <v>12.7</v>
      </c>
      <c r="AI119" s="88">
        <v>14.7</v>
      </c>
      <c r="AJ119" s="88">
        <v>11.2</v>
      </c>
      <c r="AK119" s="88"/>
      <c r="AL119" s="88"/>
      <c r="AM119" s="88"/>
      <c r="AN119" s="88"/>
      <c r="AO119" s="88"/>
    </row>
    <row r="120" spans="1:55" x14ac:dyDescent="0.45">
      <c r="C120" t="s">
        <v>1404</v>
      </c>
      <c r="H120" t="s">
        <v>1757</v>
      </c>
      <c r="K120">
        <v>19</v>
      </c>
      <c r="L120" t="s">
        <v>724</v>
      </c>
      <c r="V120" t="s">
        <v>1542</v>
      </c>
      <c r="W120" t="s">
        <v>557</v>
      </c>
      <c r="X120" s="88">
        <v>15.8</v>
      </c>
      <c r="Y120" s="88">
        <v>15.4</v>
      </c>
      <c r="Z120" s="88">
        <v>13.5</v>
      </c>
      <c r="AA120" s="88">
        <v>11</v>
      </c>
      <c r="AB120" s="88">
        <v>9.4</v>
      </c>
      <c r="AC120" s="88">
        <v>7.5</v>
      </c>
      <c r="AD120" s="88">
        <v>7.2</v>
      </c>
      <c r="AE120" s="88">
        <v>7.7</v>
      </c>
      <c r="AF120" s="88">
        <v>8.8000000000000007</v>
      </c>
      <c r="AG120" s="88">
        <v>10.6</v>
      </c>
      <c r="AH120" s="88">
        <v>12.7</v>
      </c>
      <c r="AI120" s="88">
        <v>14.7</v>
      </c>
      <c r="AJ120" s="88">
        <v>11.2</v>
      </c>
      <c r="AK120" s="88"/>
      <c r="AL120" s="88"/>
      <c r="AM120" s="88"/>
      <c r="AN120" s="88"/>
      <c r="AO120" s="88"/>
    </row>
    <row r="121" spans="1:55" x14ac:dyDescent="0.45">
      <c r="C121" t="s">
        <v>1405</v>
      </c>
      <c r="V121" t="s">
        <v>1546</v>
      </c>
      <c r="W121" s="49" t="s">
        <v>559</v>
      </c>
      <c r="X121" s="88">
        <v>15.8</v>
      </c>
      <c r="Y121" s="88">
        <v>15.2</v>
      </c>
      <c r="Z121" s="88">
        <v>13.2</v>
      </c>
      <c r="AA121" s="88">
        <v>10.5</v>
      </c>
      <c r="AB121" s="88">
        <v>9.3000000000000007</v>
      </c>
      <c r="AC121" s="88">
        <v>7.4</v>
      </c>
      <c r="AD121" s="88">
        <v>7</v>
      </c>
      <c r="AE121" s="88">
        <v>7.4</v>
      </c>
      <c r="AF121" s="88">
        <v>8.6</v>
      </c>
      <c r="AG121" s="88">
        <v>10.4</v>
      </c>
      <c r="AH121" s="88">
        <v>12.7</v>
      </c>
      <c r="AI121" s="88">
        <v>14.9</v>
      </c>
      <c r="AJ121" s="88">
        <v>11</v>
      </c>
      <c r="AK121" s="88"/>
      <c r="AL121" s="88"/>
      <c r="AM121" s="88"/>
      <c r="AN121" s="88"/>
      <c r="AO121" s="88"/>
    </row>
    <row r="122" spans="1:55" x14ac:dyDescent="0.45">
      <c r="V122" t="s">
        <v>1545</v>
      </c>
      <c r="W122" s="49" t="s">
        <v>561</v>
      </c>
      <c r="X122" s="88">
        <v>15.2</v>
      </c>
      <c r="Y122" s="88">
        <v>14.5</v>
      </c>
      <c r="Z122" s="88">
        <v>12.6</v>
      </c>
      <c r="AA122" s="88">
        <v>10.199999999999999</v>
      </c>
      <c r="AB122" s="88">
        <v>8.6999999999999993</v>
      </c>
      <c r="AC122" s="88">
        <v>6.7</v>
      </c>
      <c r="AD122" s="88">
        <v>6.5</v>
      </c>
      <c r="AE122" s="88">
        <v>7.1</v>
      </c>
      <c r="AF122" s="88">
        <v>8.1999999999999993</v>
      </c>
      <c r="AG122" s="88">
        <v>10.1</v>
      </c>
      <c r="AH122" s="88">
        <v>12.3</v>
      </c>
      <c r="AI122" s="88">
        <v>14.3</v>
      </c>
      <c r="AJ122" s="88">
        <v>10.5</v>
      </c>
      <c r="AK122" s="88"/>
      <c r="AL122" s="88"/>
      <c r="AM122" s="88"/>
      <c r="AN122" s="88"/>
      <c r="AO122" s="88"/>
    </row>
    <row r="123" spans="1:55" x14ac:dyDescent="0.45">
      <c r="B123">
        <v>1</v>
      </c>
      <c r="C123" t="s">
        <v>1807</v>
      </c>
      <c r="V123" t="s">
        <v>1547</v>
      </c>
      <c r="W123" s="49" t="s">
        <v>576</v>
      </c>
      <c r="X123" s="88">
        <v>13.6</v>
      </c>
      <c r="Y123" s="88">
        <v>13.2</v>
      </c>
      <c r="Z123" s="88">
        <v>11.2</v>
      </c>
      <c r="AA123" s="88">
        <v>8.1999999999999993</v>
      </c>
      <c r="AB123" s="88">
        <v>5.2</v>
      </c>
      <c r="AC123" s="88">
        <v>2.6</v>
      </c>
      <c r="AD123" s="88">
        <v>2</v>
      </c>
      <c r="AE123" s="88">
        <v>3.8</v>
      </c>
      <c r="AF123" s="88">
        <v>5.9</v>
      </c>
      <c r="AG123" s="88">
        <v>8.4</v>
      </c>
      <c r="AH123" s="88">
        <v>11</v>
      </c>
      <c r="AI123" s="88">
        <v>12.6</v>
      </c>
      <c r="AJ123" s="88">
        <v>8.1</v>
      </c>
      <c r="AK123" s="88"/>
      <c r="AL123" s="88"/>
      <c r="AM123" s="88"/>
      <c r="AN123" s="88"/>
      <c r="AO123" s="88"/>
    </row>
    <row r="124" spans="1:55" x14ac:dyDescent="0.45">
      <c r="B124">
        <v>2</v>
      </c>
      <c r="C124" t="s">
        <v>1419</v>
      </c>
      <c r="D124" t="s">
        <v>1423</v>
      </c>
      <c r="E124" t="s">
        <v>1422</v>
      </c>
      <c r="F124" t="s">
        <v>1424</v>
      </c>
      <c r="G124" t="s">
        <v>1426</v>
      </c>
      <c r="H124" t="s">
        <v>1427</v>
      </c>
      <c r="U124" s="49"/>
      <c r="V124" s="49"/>
      <c r="W124" s="88"/>
      <c r="X124" s="88"/>
      <c r="Y124" s="88"/>
      <c r="Z124" s="88"/>
      <c r="AA124" s="88"/>
      <c r="AB124" s="88"/>
      <c r="AC124" s="88"/>
      <c r="AD124" s="88"/>
      <c r="AE124" s="88"/>
      <c r="AF124" s="88"/>
      <c r="AG124" s="88"/>
      <c r="AH124" s="88"/>
      <c r="AI124" s="88"/>
      <c r="AJ124" s="88"/>
      <c r="AK124" s="88"/>
      <c r="AL124" s="88"/>
      <c r="AM124" s="88"/>
      <c r="AN124" s="88"/>
      <c r="AO124" s="88"/>
    </row>
    <row r="125" spans="1:55" x14ac:dyDescent="0.45">
      <c r="B125">
        <v>3</v>
      </c>
      <c r="C125" t="s">
        <v>1419</v>
      </c>
      <c r="D125" t="s">
        <v>1423</v>
      </c>
      <c r="E125" t="s">
        <v>1422</v>
      </c>
      <c r="F125" t="s">
        <v>1428</v>
      </c>
      <c r="G125" t="s">
        <v>1426</v>
      </c>
      <c r="H125" t="s">
        <v>1429</v>
      </c>
      <c r="U125" s="49"/>
      <c r="V125" s="49"/>
      <c r="W125" s="88"/>
      <c r="X125" s="88"/>
      <c r="Y125" s="88"/>
      <c r="Z125" s="88"/>
      <c r="AA125" s="88"/>
      <c r="AB125" s="88"/>
      <c r="AC125" s="88"/>
      <c r="AD125" s="88"/>
      <c r="AE125" s="88"/>
      <c r="AF125" s="88"/>
      <c r="AG125" s="88"/>
      <c r="AH125" s="88"/>
      <c r="AI125" s="88"/>
      <c r="AJ125" s="88"/>
      <c r="AK125" s="88"/>
      <c r="AL125" s="88"/>
      <c r="AM125" s="88"/>
      <c r="AN125" s="88"/>
      <c r="AO125" s="88"/>
    </row>
    <row r="126" spans="1:55" ht="14.65" thickBot="1" x14ac:dyDescent="0.5">
      <c r="B126">
        <v>4</v>
      </c>
      <c r="C126" t="s">
        <v>1406</v>
      </c>
      <c r="U126" s="86" t="s">
        <v>277</v>
      </c>
      <c r="V126" s="86" t="s">
        <v>1610</v>
      </c>
      <c r="W126" s="86" t="s">
        <v>408</v>
      </c>
      <c r="X126" s="86" t="s">
        <v>409</v>
      </c>
      <c r="Y126" s="86" t="s">
        <v>410</v>
      </c>
      <c r="Z126" s="86" t="s">
        <v>411</v>
      </c>
      <c r="AA126" s="86" t="s">
        <v>412</v>
      </c>
      <c r="AB126" s="86" t="s">
        <v>413</v>
      </c>
      <c r="AC126" s="86" t="s">
        <v>126</v>
      </c>
      <c r="AD126" s="86" t="s">
        <v>414</v>
      </c>
      <c r="AE126" s="86" t="s">
        <v>415</v>
      </c>
      <c r="AF126" s="86" t="s">
        <v>416</v>
      </c>
      <c r="AG126" s="86" t="s">
        <v>417</v>
      </c>
      <c r="AH126" s="87" t="s">
        <v>418</v>
      </c>
      <c r="AI126" s="86" t="s">
        <v>419</v>
      </c>
      <c r="AJ126" s="1"/>
      <c r="AK126" s="1"/>
      <c r="AL126" s="1"/>
      <c r="AM126" s="1"/>
      <c r="AN126" s="1"/>
      <c r="AO126" s="1"/>
      <c r="AP126" s="85" t="s">
        <v>277</v>
      </c>
      <c r="AQ126" s="85" t="s">
        <v>1180</v>
      </c>
      <c r="AR126" s="122" t="s">
        <v>408</v>
      </c>
      <c r="AS126" s="122" t="s">
        <v>409</v>
      </c>
      <c r="AT126" s="122" t="s">
        <v>410</v>
      </c>
      <c r="AU126" s="122" t="s">
        <v>411</v>
      </c>
      <c r="AV126" s="122" t="s">
        <v>412</v>
      </c>
      <c r="AW126" s="122" t="s">
        <v>413</v>
      </c>
      <c r="AX126" s="122" t="s">
        <v>126</v>
      </c>
      <c r="AY126" s="122" t="s">
        <v>414</v>
      </c>
      <c r="AZ126" s="122" t="s">
        <v>415</v>
      </c>
      <c r="BA126" s="122" t="s">
        <v>416</v>
      </c>
      <c r="BB126" s="122" t="s">
        <v>417</v>
      </c>
      <c r="BC126" s="122" t="s">
        <v>418</v>
      </c>
    </row>
    <row r="127" spans="1:55" x14ac:dyDescent="0.45">
      <c r="U127" t="s">
        <v>1738</v>
      </c>
      <c r="V127" t="s">
        <v>434</v>
      </c>
      <c r="W127" s="48">
        <v>0.71</v>
      </c>
      <c r="X127" s="48">
        <v>0.72</v>
      </c>
      <c r="Y127" s="48">
        <v>0.74</v>
      </c>
      <c r="Z127" s="48">
        <v>0.76</v>
      </c>
      <c r="AA127" s="48">
        <v>0.76</v>
      </c>
      <c r="AB127" s="48">
        <v>0.77</v>
      </c>
      <c r="AC127" s="48">
        <v>0.77</v>
      </c>
      <c r="AD127" s="48">
        <v>0.76</v>
      </c>
      <c r="AE127" s="48">
        <v>0.76</v>
      </c>
      <c r="AF127" s="48">
        <v>0.73</v>
      </c>
      <c r="AG127" s="48">
        <v>0.72</v>
      </c>
      <c r="AH127" s="48">
        <v>0.71</v>
      </c>
      <c r="AI127" s="48">
        <v>0.74</v>
      </c>
      <c r="AJ127" s="48"/>
      <c r="AK127" s="48"/>
      <c r="AL127" s="48"/>
      <c r="AM127" s="48"/>
      <c r="AN127" s="48"/>
      <c r="AO127" s="48"/>
      <c r="AP127" t="s">
        <v>679</v>
      </c>
      <c r="AQ127" t="s">
        <v>446</v>
      </c>
      <c r="AX127" s="120">
        <v>10.3</v>
      </c>
    </row>
    <row r="128" spans="1:55" x14ac:dyDescent="0.45">
      <c r="A128" t="s">
        <v>725</v>
      </c>
      <c r="B128" t="s">
        <v>726</v>
      </c>
      <c r="C128" t="s">
        <v>421</v>
      </c>
      <c r="D128" t="s">
        <v>727</v>
      </c>
      <c r="E128" t="s">
        <v>728</v>
      </c>
      <c r="F128" t="s">
        <v>729</v>
      </c>
      <c r="G128" t="s">
        <v>125</v>
      </c>
      <c r="H128" t="s">
        <v>573</v>
      </c>
      <c r="I128" t="s">
        <v>578</v>
      </c>
      <c r="J128" t="s">
        <v>581</v>
      </c>
      <c r="K128" t="s">
        <v>584</v>
      </c>
      <c r="L128" t="s">
        <v>586</v>
      </c>
      <c r="M128" t="s">
        <v>588</v>
      </c>
      <c r="N128" t="s">
        <v>591</v>
      </c>
      <c r="O128" t="s">
        <v>594</v>
      </c>
      <c r="P128" t="s">
        <v>688</v>
      </c>
      <c r="U128" s="49" t="s">
        <v>1748</v>
      </c>
      <c r="V128" t="s">
        <v>445</v>
      </c>
      <c r="W128" s="48">
        <v>0.77</v>
      </c>
      <c r="X128" s="48">
        <v>0.79</v>
      </c>
      <c r="Y128" s="48">
        <v>0.79</v>
      </c>
      <c r="Z128" s="48">
        <v>0.81</v>
      </c>
      <c r="AA128" s="48">
        <v>0.81</v>
      </c>
      <c r="AB128" s="48">
        <v>0.81</v>
      </c>
      <c r="AC128" s="48">
        <v>0.8</v>
      </c>
      <c r="AD128" s="48">
        <v>0.8</v>
      </c>
      <c r="AE128" s="48">
        <v>0.79</v>
      </c>
      <c r="AF128" s="48">
        <v>0.77</v>
      </c>
      <c r="AG128" s="48">
        <v>0.77</v>
      </c>
      <c r="AH128" s="48">
        <v>0.78</v>
      </c>
      <c r="AI128" s="48">
        <v>0.79</v>
      </c>
      <c r="AJ128" s="48"/>
      <c r="AK128" s="48"/>
      <c r="AL128" s="48"/>
      <c r="AM128" s="48"/>
      <c r="AN128" s="48"/>
      <c r="AO128" s="48"/>
      <c r="AP128" s="49" t="s">
        <v>1535</v>
      </c>
      <c r="AQ128" t="s">
        <v>446</v>
      </c>
      <c r="AX128" s="120">
        <v>10.3</v>
      </c>
    </row>
    <row r="129" spans="1:50" x14ac:dyDescent="0.45">
      <c r="A129">
        <v>1</v>
      </c>
      <c r="B129" t="s">
        <v>730</v>
      </c>
      <c r="C129" t="s">
        <v>429</v>
      </c>
      <c r="D129" t="s">
        <v>429</v>
      </c>
      <c r="E129">
        <v>-69.97445241269746</v>
      </c>
      <c r="F129">
        <v>-18.537534597746379</v>
      </c>
      <c r="G129">
        <v>2</v>
      </c>
      <c r="H129">
        <v>3</v>
      </c>
      <c r="N129">
        <v>4</v>
      </c>
      <c r="P129" t="s">
        <v>1818</v>
      </c>
      <c r="Q129" t="s">
        <v>731</v>
      </c>
      <c r="R129" s="193" t="s">
        <v>420</v>
      </c>
      <c r="S129" s="193" t="s">
        <v>420</v>
      </c>
      <c r="U129" t="s">
        <v>1739</v>
      </c>
      <c r="V129" t="s">
        <v>448</v>
      </c>
      <c r="W129" s="48">
        <v>0.7</v>
      </c>
      <c r="X129" s="48">
        <v>0.71</v>
      </c>
      <c r="Y129" s="48">
        <v>0.75</v>
      </c>
      <c r="Z129" s="48">
        <v>0.77</v>
      </c>
      <c r="AA129" s="48">
        <v>0.78</v>
      </c>
      <c r="AB129" s="48">
        <v>0.78</v>
      </c>
      <c r="AC129" s="48">
        <v>0.76</v>
      </c>
      <c r="AD129" s="48">
        <v>0.77</v>
      </c>
      <c r="AE129" s="48">
        <v>0.75</v>
      </c>
      <c r="AF129" s="48">
        <v>0.74</v>
      </c>
      <c r="AG129" s="48">
        <v>0.72</v>
      </c>
      <c r="AH129" s="48">
        <v>0.7</v>
      </c>
      <c r="AI129" s="48">
        <v>0.74</v>
      </c>
      <c r="AJ129" s="48"/>
      <c r="AK129" s="48"/>
      <c r="AL129" s="48"/>
      <c r="AM129" s="48"/>
      <c r="AN129" s="48"/>
      <c r="AO129" s="48"/>
      <c r="AP129" t="s">
        <v>84</v>
      </c>
      <c r="AQ129" t="s">
        <v>458</v>
      </c>
      <c r="AX129" s="120">
        <v>7.8</v>
      </c>
    </row>
    <row r="130" spans="1:50" x14ac:dyDescent="0.45">
      <c r="A130">
        <v>1</v>
      </c>
      <c r="B130" t="s">
        <v>730</v>
      </c>
      <c r="C130" t="s">
        <v>429</v>
      </c>
      <c r="D130" t="s">
        <v>732</v>
      </c>
      <c r="E130">
        <v>-69.698526445394734</v>
      </c>
      <c r="F130">
        <v>-18.929931462254959</v>
      </c>
      <c r="G130">
        <v>2</v>
      </c>
      <c r="H130">
        <v>3</v>
      </c>
      <c r="N130">
        <v>4</v>
      </c>
      <c r="P130" t="s">
        <v>1818</v>
      </c>
      <c r="Q130" t="s">
        <v>733</v>
      </c>
      <c r="R130" s="193" t="s">
        <v>734</v>
      </c>
      <c r="S130" t="s">
        <v>429</v>
      </c>
      <c r="U130" s="49" t="s">
        <v>1749</v>
      </c>
      <c r="V130" t="s">
        <v>87</v>
      </c>
      <c r="W130" s="48">
        <v>0.42</v>
      </c>
      <c r="X130" s="48">
        <v>0.47</v>
      </c>
      <c r="Y130" s="48">
        <v>0.47</v>
      </c>
      <c r="Z130" s="48">
        <v>0.39</v>
      </c>
      <c r="AA130" s="48">
        <v>0.34</v>
      </c>
      <c r="AB130" s="48">
        <v>0.34</v>
      </c>
      <c r="AC130" s="48">
        <v>0.33</v>
      </c>
      <c r="AD130" s="48">
        <v>0.31</v>
      </c>
      <c r="AE130" s="48">
        <v>0.32</v>
      </c>
      <c r="AF130" s="48">
        <v>0.32</v>
      </c>
      <c r="AG130" s="48">
        <v>0.31</v>
      </c>
      <c r="AH130" s="48">
        <v>0.36</v>
      </c>
      <c r="AI130" s="48">
        <v>0.37</v>
      </c>
      <c r="AJ130" s="48"/>
      <c r="AK130" s="48"/>
      <c r="AL130" s="48"/>
      <c r="AM130" s="48"/>
      <c r="AN130" s="48"/>
      <c r="AO130" s="48"/>
      <c r="AP130" s="49" t="s">
        <v>1534</v>
      </c>
      <c r="AQ130" t="s">
        <v>449</v>
      </c>
      <c r="AX130" s="120">
        <v>0.4</v>
      </c>
    </row>
    <row r="131" spans="1:50" x14ac:dyDescent="0.45">
      <c r="A131">
        <v>1</v>
      </c>
      <c r="B131" t="s">
        <v>730</v>
      </c>
      <c r="C131" t="s">
        <v>741</v>
      </c>
      <c r="D131" t="s">
        <v>742</v>
      </c>
      <c r="E131">
        <v>-69.57476022402615</v>
      </c>
      <c r="F131">
        <v>-17.828516830411051</v>
      </c>
      <c r="N131">
        <v>1</v>
      </c>
      <c r="P131" t="s">
        <v>591</v>
      </c>
      <c r="Q131" t="s">
        <v>743</v>
      </c>
      <c r="R131" t="s">
        <v>429</v>
      </c>
      <c r="S131" t="s">
        <v>732</v>
      </c>
      <c r="U131" t="s">
        <v>1740</v>
      </c>
      <c r="V131" t="s">
        <v>474</v>
      </c>
      <c r="W131" s="48">
        <v>0.78</v>
      </c>
      <c r="X131" s="48">
        <v>0.8</v>
      </c>
      <c r="Y131" s="48">
        <v>0.81</v>
      </c>
      <c r="Z131" s="48">
        <v>0.83</v>
      </c>
      <c r="AA131" s="48">
        <v>0.83</v>
      </c>
      <c r="AB131" s="48">
        <v>0.84</v>
      </c>
      <c r="AC131" s="48">
        <v>0.84</v>
      </c>
      <c r="AD131" s="48">
        <v>0.84</v>
      </c>
      <c r="AE131" s="48">
        <v>0.83</v>
      </c>
      <c r="AF131" s="48">
        <v>0.82</v>
      </c>
      <c r="AG131" s="48">
        <v>0.79</v>
      </c>
      <c r="AH131" s="48">
        <v>0.78</v>
      </c>
      <c r="AI131" s="48">
        <v>0.82</v>
      </c>
      <c r="AJ131" s="48"/>
      <c r="AK131" s="48"/>
      <c r="AL131" s="48"/>
      <c r="AM131" s="48"/>
      <c r="AN131" s="48"/>
      <c r="AO131" s="48"/>
      <c r="AP131" t="s">
        <v>682</v>
      </c>
      <c r="AQ131" t="s">
        <v>516</v>
      </c>
      <c r="AX131" s="120">
        <v>4.7</v>
      </c>
    </row>
    <row r="132" spans="1:50" x14ac:dyDescent="0.45">
      <c r="A132">
        <v>1</v>
      </c>
      <c r="B132" t="s">
        <v>730</v>
      </c>
      <c r="C132" t="s">
        <v>741</v>
      </c>
      <c r="D132" t="s">
        <v>744</v>
      </c>
      <c r="E132">
        <v>-69.311804259302193</v>
      </c>
      <c r="F132">
        <v>-18.427998505685139</v>
      </c>
      <c r="N132">
        <v>1</v>
      </c>
      <c r="P132" t="s">
        <v>591</v>
      </c>
      <c r="Q132" t="s">
        <v>745</v>
      </c>
      <c r="R132" t="s">
        <v>732</v>
      </c>
      <c r="S132" t="s">
        <v>742</v>
      </c>
      <c r="U132" s="49" t="s">
        <v>1750</v>
      </c>
      <c r="V132" s="49" t="s">
        <v>495</v>
      </c>
      <c r="W132" s="48">
        <v>0.73</v>
      </c>
      <c r="X132" s="48">
        <v>0.73</v>
      </c>
      <c r="Y132" s="48">
        <v>0.74</v>
      </c>
      <c r="Z132" s="48">
        <v>0.76</v>
      </c>
      <c r="AA132" s="48">
        <v>0.79</v>
      </c>
      <c r="AB132" s="48">
        <v>0.78</v>
      </c>
      <c r="AC132" s="48">
        <v>0.78</v>
      </c>
      <c r="AD132" s="48">
        <v>0.77</v>
      </c>
      <c r="AE132" s="48">
        <v>0.75</v>
      </c>
      <c r="AF132" s="48">
        <v>0.74</v>
      </c>
      <c r="AG132" s="48">
        <v>0.73</v>
      </c>
      <c r="AH132" s="48">
        <v>0.73</v>
      </c>
      <c r="AI132" s="48">
        <v>0.75</v>
      </c>
      <c r="AJ132" s="48"/>
      <c r="AK132" s="48"/>
      <c r="AL132" s="48"/>
      <c r="AM132" s="48"/>
      <c r="AN132" s="48"/>
      <c r="AO132" s="48"/>
      <c r="AP132" s="49" t="s">
        <v>1536</v>
      </c>
      <c r="AQ132" t="s">
        <v>516</v>
      </c>
      <c r="AX132" s="120">
        <v>4.7</v>
      </c>
    </row>
    <row r="133" spans="1:50" x14ac:dyDescent="0.45">
      <c r="A133">
        <v>2</v>
      </c>
      <c r="B133" t="s">
        <v>746</v>
      </c>
      <c r="C133" t="s">
        <v>434</v>
      </c>
      <c r="D133" t="s">
        <v>747</v>
      </c>
      <c r="E133">
        <v>-70.010964955756663</v>
      </c>
      <c r="F133">
        <v>-20.189940578351003</v>
      </c>
      <c r="G133">
        <v>1</v>
      </c>
      <c r="P133" t="s">
        <v>125</v>
      </c>
      <c r="Q133" t="s">
        <v>747</v>
      </c>
      <c r="R133" s="193" t="s">
        <v>748</v>
      </c>
      <c r="S133" t="s">
        <v>744</v>
      </c>
      <c r="U133" t="s">
        <v>1741</v>
      </c>
      <c r="V133" t="s">
        <v>530</v>
      </c>
      <c r="W133" s="48">
        <v>0.65</v>
      </c>
      <c r="X133" s="48">
        <v>0.69</v>
      </c>
      <c r="Y133" s="48">
        <v>0.74</v>
      </c>
      <c r="Z133" s="48">
        <v>0.82</v>
      </c>
      <c r="AA133" s="48">
        <v>0.88</v>
      </c>
      <c r="AB133" s="48">
        <v>0.91</v>
      </c>
      <c r="AC133" s="48">
        <v>0.9</v>
      </c>
      <c r="AD133" s="48">
        <v>0.87</v>
      </c>
      <c r="AE133" s="48">
        <v>0.83</v>
      </c>
      <c r="AF133" s="48">
        <v>0.78</v>
      </c>
      <c r="AG133" s="48">
        <v>0.71</v>
      </c>
      <c r="AH133" s="48">
        <v>0.66</v>
      </c>
      <c r="AI133" s="48">
        <v>0.79</v>
      </c>
      <c r="AJ133" s="48"/>
      <c r="AK133" s="48"/>
      <c r="AL133" s="48"/>
      <c r="AM133" s="48"/>
      <c r="AN133" s="48"/>
      <c r="AO133" s="48"/>
      <c r="AP133" t="s">
        <v>685</v>
      </c>
      <c r="AQ133" s="49" t="s">
        <v>526</v>
      </c>
      <c r="AX133" s="120">
        <v>1.8</v>
      </c>
    </row>
    <row r="134" spans="1:50" x14ac:dyDescent="0.45">
      <c r="A134">
        <v>2</v>
      </c>
      <c r="B134" t="s">
        <v>746</v>
      </c>
      <c r="C134" t="s">
        <v>434</v>
      </c>
      <c r="D134" t="s">
        <v>434</v>
      </c>
      <c r="E134">
        <v>-70.041530819106143</v>
      </c>
      <c r="F134">
        <v>-20.939628806119629</v>
      </c>
      <c r="G134">
        <v>1</v>
      </c>
      <c r="P134" t="s">
        <v>125</v>
      </c>
      <c r="Q134" t="s">
        <v>749</v>
      </c>
      <c r="R134" t="s">
        <v>742</v>
      </c>
      <c r="S134" s="194" t="s">
        <v>755</v>
      </c>
      <c r="U134" t="s">
        <v>1742</v>
      </c>
      <c r="V134" t="s">
        <v>554</v>
      </c>
      <c r="W134" s="48">
        <v>0.75</v>
      </c>
      <c r="X134" s="48">
        <v>0.78</v>
      </c>
      <c r="Y134" s="48">
        <v>0.81</v>
      </c>
      <c r="Z134" s="48">
        <v>0.84</v>
      </c>
      <c r="AA134" s="48">
        <v>0.88</v>
      </c>
      <c r="AB134" s="48">
        <v>0.88</v>
      </c>
      <c r="AC134" s="48">
        <v>0.87</v>
      </c>
      <c r="AD134" s="48">
        <v>0.86</v>
      </c>
      <c r="AE134" s="48">
        <v>0.84</v>
      </c>
      <c r="AF134" s="48">
        <v>0.81</v>
      </c>
      <c r="AG134" s="48">
        <v>0.76</v>
      </c>
      <c r="AH134" s="48">
        <v>0.74</v>
      </c>
      <c r="AI134" s="48">
        <v>0.82</v>
      </c>
      <c r="AJ134" s="48"/>
      <c r="AK134" s="48"/>
      <c r="AL134" s="48"/>
      <c r="AM134" s="48"/>
      <c r="AN134" s="48"/>
      <c r="AO134" s="48"/>
      <c r="AP134" t="s">
        <v>686</v>
      </c>
      <c r="AQ134" s="49" t="s">
        <v>572</v>
      </c>
      <c r="AX134" s="120">
        <v>3.5</v>
      </c>
    </row>
    <row r="135" spans="1:50" x14ac:dyDescent="0.45">
      <c r="A135">
        <v>2</v>
      </c>
      <c r="B135" t="s">
        <v>746</v>
      </c>
      <c r="C135" t="s">
        <v>750</v>
      </c>
      <c r="D135" t="s">
        <v>751</v>
      </c>
      <c r="E135">
        <v>-69.505342431644507</v>
      </c>
      <c r="F135">
        <v>-19.37344699902097</v>
      </c>
      <c r="H135">
        <v>9</v>
      </c>
      <c r="N135">
        <v>4</v>
      </c>
      <c r="P135" t="s">
        <v>1817</v>
      </c>
      <c r="Q135" t="s">
        <v>752</v>
      </c>
      <c r="R135" t="s">
        <v>744</v>
      </c>
      <c r="S135" s="193" t="s">
        <v>442</v>
      </c>
      <c r="U135" t="s">
        <v>1743</v>
      </c>
      <c r="V135" t="s">
        <v>557</v>
      </c>
      <c r="W135" s="48">
        <v>0.74</v>
      </c>
      <c r="X135" s="48">
        <v>0.77</v>
      </c>
      <c r="Y135" s="48">
        <v>0.8</v>
      </c>
      <c r="Z135" s="48">
        <v>0.84</v>
      </c>
      <c r="AA135" s="48">
        <v>0.88</v>
      </c>
      <c r="AB135" s="48">
        <v>0.89</v>
      </c>
      <c r="AC135" s="48">
        <v>0.88</v>
      </c>
      <c r="AD135" s="48">
        <v>0.86</v>
      </c>
      <c r="AE135" s="48">
        <v>0.83</v>
      </c>
      <c r="AF135" s="48">
        <v>0.81</v>
      </c>
      <c r="AG135" s="48">
        <v>0.78</v>
      </c>
      <c r="AH135" s="48">
        <v>0.75</v>
      </c>
      <c r="AI135" s="48">
        <v>0.82</v>
      </c>
      <c r="AJ135" s="48"/>
      <c r="AK135" s="48"/>
      <c r="AL135" s="48"/>
      <c r="AM135" s="48"/>
      <c r="AN135" s="48"/>
      <c r="AO135" s="48"/>
      <c r="AP135" t="s">
        <v>693</v>
      </c>
      <c r="AQ135" s="49" t="s">
        <v>577</v>
      </c>
      <c r="AX135" s="120">
        <v>3.8</v>
      </c>
    </row>
    <row r="136" spans="1:50" x14ac:dyDescent="0.45">
      <c r="A136">
        <v>2</v>
      </c>
      <c r="B136" t="s">
        <v>746</v>
      </c>
      <c r="C136" t="s">
        <v>750</v>
      </c>
      <c r="D136" t="s">
        <v>753</v>
      </c>
      <c r="E136">
        <v>-68.847237814959001</v>
      </c>
      <c r="F136">
        <v>-19.353108906045637</v>
      </c>
      <c r="N136">
        <v>1</v>
      </c>
      <c r="P136" t="s">
        <v>591</v>
      </c>
      <c r="Q136" t="s">
        <v>754</v>
      </c>
      <c r="R136" s="194" t="s">
        <v>755</v>
      </c>
      <c r="S136" t="s">
        <v>747</v>
      </c>
      <c r="U136" t="s">
        <v>1744</v>
      </c>
      <c r="V136" s="49" t="s">
        <v>561</v>
      </c>
      <c r="W136" s="48">
        <v>0.75</v>
      </c>
      <c r="X136" s="48">
        <v>0.78</v>
      </c>
      <c r="Y136" s="48">
        <v>0.82</v>
      </c>
      <c r="Z136" s="48">
        <v>0.87</v>
      </c>
      <c r="AA136" s="48">
        <v>0.89</v>
      </c>
      <c r="AB136" s="48">
        <v>0.91</v>
      </c>
      <c r="AC136" s="48">
        <v>0.9</v>
      </c>
      <c r="AD136" s="48">
        <v>0.88</v>
      </c>
      <c r="AE136" s="48">
        <v>0.85</v>
      </c>
      <c r="AF136" s="48">
        <v>0.81</v>
      </c>
      <c r="AG136" s="48">
        <v>0.78</v>
      </c>
      <c r="AH136" s="48">
        <v>0.74</v>
      </c>
      <c r="AI136" s="48">
        <v>0.83</v>
      </c>
      <c r="AJ136" s="48"/>
      <c r="AK136" s="48"/>
      <c r="AL136" s="48"/>
      <c r="AM136" s="48"/>
      <c r="AN136" s="48"/>
      <c r="AO136" s="48"/>
      <c r="AP136" t="s">
        <v>696</v>
      </c>
      <c r="AQ136" s="49" t="str">
        <f>+"Provincia de Osorno"</f>
        <v>Provincia de Osorno</v>
      </c>
      <c r="AX136" s="120">
        <v>3.4</v>
      </c>
    </row>
    <row r="137" spans="1:50" x14ac:dyDescent="0.45">
      <c r="A137">
        <v>2</v>
      </c>
      <c r="B137" t="s">
        <v>746</v>
      </c>
      <c r="C137" t="s">
        <v>750</v>
      </c>
      <c r="D137" t="s">
        <v>756</v>
      </c>
      <c r="E137">
        <v>-69.667717620260291</v>
      </c>
      <c r="F137">
        <v>-19.590112471714011</v>
      </c>
      <c r="G137">
        <v>2</v>
      </c>
      <c r="H137">
        <v>3</v>
      </c>
      <c r="N137">
        <v>4</v>
      </c>
      <c r="P137" t="s">
        <v>1818</v>
      </c>
      <c r="Q137" t="s">
        <v>757</v>
      </c>
      <c r="R137" s="193" t="s">
        <v>442</v>
      </c>
      <c r="S137" t="s">
        <v>751</v>
      </c>
      <c r="U137" t="s">
        <v>1745</v>
      </c>
      <c r="V137" t="s">
        <v>515</v>
      </c>
      <c r="W137" s="48">
        <v>0.51</v>
      </c>
      <c r="X137" s="48">
        <v>0.5</v>
      </c>
      <c r="Y137" s="48">
        <v>0.5</v>
      </c>
      <c r="Z137" s="48">
        <v>0.53</v>
      </c>
      <c r="AA137" s="48">
        <v>0.6</v>
      </c>
      <c r="AB137" s="48">
        <v>0.65</v>
      </c>
      <c r="AC137" s="48">
        <v>0.65</v>
      </c>
      <c r="AD137" s="48">
        <v>0.63</v>
      </c>
      <c r="AE137" s="48">
        <v>0.6</v>
      </c>
      <c r="AF137" s="48">
        <v>0.56999999999999995</v>
      </c>
      <c r="AG137" s="48">
        <v>0.54</v>
      </c>
      <c r="AH137" s="48">
        <v>0.51</v>
      </c>
      <c r="AI137" s="48">
        <v>0.56999999999999995</v>
      </c>
      <c r="AJ137" s="48"/>
      <c r="AK137" s="48"/>
      <c r="AL137" s="48"/>
      <c r="AM137" s="48"/>
      <c r="AN137" s="48"/>
      <c r="AO137" s="48"/>
      <c r="AP137" t="s">
        <v>699</v>
      </c>
    </row>
    <row r="138" spans="1:50" x14ac:dyDescent="0.45">
      <c r="A138">
        <v>2</v>
      </c>
      <c r="B138" t="s">
        <v>746</v>
      </c>
      <c r="C138" t="s">
        <v>750</v>
      </c>
      <c r="D138" t="s">
        <v>758</v>
      </c>
      <c r="E138">
        <v>-68.911675478448032</v>
      </c>
      <c r="F138">
        <v>-20.478011755075578</v>
      </c>
      <c r="H138">
        <v>9</v>
      </c>
      <c r="N138">
        <v>4</v>
      </c>
      <c r="P138" t="s">
        <v>1817</v>
      </c>
      <c r="Q138" t="s">
        <v>441</v>
      </c>
      <c r="R138" s="193" t="s">
        <v>759</v>
      </c>
      <c r="S138" t="s">
        <v>753</v>
      </c>
      <c r="U138" t="s">
        <v>1746</v>
      </c>
      <c r="V138" s="49" t="s">
        <v>587</v>
      </c>
      <c r="W138" s="48">
        <v>0.69</v>
      </c>
      <c r="X138" s="48">
        <v>0.71</v>
      </c>
      <c r="Y138" s="48">
        <v>0.75</v>
      </c>
      <c r="Z138" s="48">
        <v>0.8</v>
      </c>
      <c r="AA138" s="48">
        <v>0.84</v>
      </c>
      <c r="AB138" s="48">
        <v>0.84</v>
      </c>
      <c r="AC138" s="48">
        <v>0.84</v>
      </c>
      <c r="AD138" s="48">
        <v>0.82</v>
      </c>
      <c r="AE138" s="48">
        <v>0.78</v>
      </c>
      <c r="AF138" s="48">
        <v>0.72</v>
      </c>
      <c r="AG138" s="48">
        <v>0.69</v>
      </c>
      <c r="AH138" s="48">
        <v>0.68</v>
      </c>
      <c r="AI138" s="48">
        <v>0.76</v>
      </c>
      <c r="AJ138" s="48"/>
      <c r="AK138" s="48"/>
      <c r="AL138" s="48"/>
      <c r="AM138" s="48"/>
      <c r="AN138" s="48"/>
      <c r="AO138" s="48"/>
      <c r="AP138" t="s">
        <v>702</v>
      </c>
      <c r="AQ138" s="49" t="str">
        <f>+"Provincia de Palena"</f>
        <v>Provincia de Palena</v>
      </c>
      <c r="AX138" s="120">
        <v>-5.6</v>
      </c>
    </row>
    <row r="139" spans="1:50" x14ac:dyDescent="0.45">
      <c r="A139">
        <v>2</v>
      </c>
      <c r="B139" t="s">
        <v>746</v>
      </c>
      <c r="C139" t="s">
        <v>750</v>
      </c>
      <c r="D139" t="s">
        <v>760</v>
      </c>
      <c r="E139">
        <v>-69.50455920775525</v>
      </c>
      <c r="F139">
        <v>-20.769021934404119</v>
      </c>
      <c r="H139">
        <v>9</v>
      </c>
      <c r="N139">
        <v>4</v>
      </c>
      <c r="P139" t="s">
        <v>1817</v>
      </c>
      <c r="Q139" t="s">
        <v>761</v>
      </c>
      <c r="R139" t="s">
        <v>747</v>
      </c>
      <c r="S139" t="s">
        <v>756</v>
      </c>
      <c r="U139" s="49" t="s">
        <v>1747</v>
      </c>
      <c r="V139" s="49" t="s">
        <v>599</v>
      </c>
      <c r="W139" s="48">
        <v>0.81</v>
      </c>
      <c r="X139" s="48">
        <v>0.84</v>
      </c>
      <c r="Y139" s="48">
        <v>0.83</v>
      </c>
      <c r="Z139" s="48">
        <v>0.81</v>
      </c>
      <c r="AA139" s="48">
        <v>0.84</v>
      </c>
      <c r="AB139" s="48">
        <v>0.82</v>
      </c>
      <c r="AC139" s="48">
        <v>0.82</v>
      </c>
      <c r="AD139" s="48">
        <v>0.81</v>
      </c>
      <c r="AE139" s="48">
        <v>0.82</v>
      </c>
      <c r="AF139" s="48">
        <v>0.81</v>
      </c>
      <c r="AG139" s="48">
        <v>0.8</v>
      </c>
      <c r="AH139" s="48">
        <v>0.81</v>
      </c>
      <c r="AI139" s="48">
        <v>0.82</v>
      </c>
      <c r="AJ139" s="48"/>
      <c r="AK139" s="48"/>
      <c r="AL139" s="48"/>
      <c r="AM139" s="48"/>
      <c r="AN139" s="48"/>
      <c r="AO139" s="48"/>
      <c r="AP139" s="49" t="s">
        <v>1537</v>
      </c>
    </row>
    <row r="140" spans="1:50" x14ac:dyDescent="0.45">
      <c r="A140">
        <v>3</v>
      </c>
      <c r="B140" t="s">
        <v>441</v>
      </c>
      <c r="C140" t="s">
        <v>441</v>
      </c>
      <c r="D140" t="s">
        <v>441</v>
      </c>
      <c r="E140">
        <v>-69.411578844948963</v>
      </c>
      <c r="F140">
        <v>-24.27478247551975</v>
      </c>
      <c r="G140">
        <v>10</v>
      </c>
      <c r="H140">
        <v>11</v>
      </c>
      <c r="N140">
        <v>4</v>
      </c>
      <c r="P140" t="s">
        <v>1818</v>
      </c>
      <c r="Q140" t="s">
        <v>762</v>
      </c>
      <c r="R140" t="s">
        <v>434</v>
      </c>
      <c r="S140" t="s">
        <v>434</v>
      </c>
      <c r="U140" s="188" t="s">
        <v>707</v>
      </c>
      <c r="V140" t="s">
        <v>530</v>
      </c>
      <c r="W140" s="48">
        <v>0.65</v>
      </c>
      <c r="X140" s="48">
        <v>0.69</v>
      </c>
      <c r="Y140" s="48">
        <v>0.74</v>
      </c>
      <c r="Z140" s="48">
        <v>0.82</v>
      </c>
      <c r="AA140" s="48">
        <v>0.88</v>
      </c>
      <c r="AB140" s="48">
        <v>0.91</v>
      </c>
      <c r="AC140" s="48">
        <v>0.9</v>
      </c>
      <c r="AD140" s="48">
        <v>0.87</v>
      </c>
      <c r="AE140" s="48">
        <v>0.83</v>
      </c>
      <c r="AF140" s="48">
        <v>0.78</v>
      </c>
      <c r="AG140" s="48">
        <v>0.71</v>
      </c>
      <c r="AH140" s="48">
        <v>0.66</v>
      </c>
      <c r="AI140" s="48">
        <v>0.79</v>
      </c>
      <c r="AJ140" s="48"/>
      <c r="AK140" s="48"/>
      <c r="AL140" s="48"/>
      <c r="AM140" s="48"/>
      <c r="AN140" s="48"/>
      <c r="AO140" s="48"/>
      <c r="AP140" s="188" t="s">
        <v>707</v>
      </c>
    </row>
    <row r="141" spans="1:50" x14ac:dyDescent="0.45">
      <c r="A141">
        <v>3</v>
      </c>
      <c r="B141" t="s">
        <v>441</v>
      </c>
      <c r="C141" t="s">
        <v>441</v>
      </c>
      <c r="D141" t="s">
        <v>763</v>
      </c>
      <c r="E141">
        <v>-70.198371542150767</v>
      </c>
      <c r="F141">
        <v>-22.936055849627163</v>
      </c>
      <c r="G141">
        <v>1</v>
      </c>
      <c r="P141" t="s">
        <v>125</v>
      </c>
      <c r="Q141" t="s">
        <v>429</v>
      </c>
      <c r="R141" s="193" t="s">
        <v>764</v>
      </c>
      <c r="S141" t="s">
        <v>758</v>
      </c>
      <c r="U141" s="188" t="s">
        <v>709</v>
      </c>
      <c r="V141" t="s">
        <v>554</v>
      </c>
      <c r="W141" s="48">
        <v>0.75</v>
      </c>
      <c r="X141" s="48">
        <v>0.78</v>
      </c>
      <c r="Y141" s="48">
        <v>0.81</v>
      </c>
      <c r="Z141" s="48">
        <v>0.84</v>
      </c>
      <c r="AA141" s="48">
        <v>0.88</v>
      </c>
      <c r="AB141" s="48">
        <v>0.88</v>
      </c>
      <c r="AC141" s="48">
        <v>0.87</v>
      </c>
      <c r="AD141" s="48">
        <v>0.86</v>
      </c>
      <c r="AE141" s="48">
        <v>0.84</v>
      </c>
      <c r="AF141" s="48">
        <v>0.81</v>
      </c>
      <c r="AG141" s="48">
        <v>0.76</v>
      </c>
      <c r="AH141" s="48">
        <v>0.74</v>
      </c>
      <c r="AI141" s="48">
        <v>0.82</v>
      </c>
      <c r="AJ141" s="48"/>
      <c r="AK141" s="48"/>
      <c r="AL141" s="48"/>
      <c r="AM141" s="48"/>
      <c r="AN141" s="48"/>
      <c r="AO141" s="48"/>
      <c r="AP141" s="188" t="s">
        <v>709</v>
      </c>
    </row>
    <row r="142" spans="1:50" x14ac:dyDescent="0.45">
      <c r="A142">
        <v>3</v>
      </c>
      <c r="B142" t="s">
        <v>441</v>
      </c>
      <c r="C142" t="s">
        <v>441</v>
      </c>
      <c r="D142" t="s">
        <v>765</v>
      </c>
      <c r="E142">
        <v>-69.30734850462602</v>
      </c>
      <c r="F142">
        <v>-23.255732341363352</v>
      </c>
      <c r="H142">
        <v>1</v>
      </c>
      <c r="P142" t="s">
        <v>573</v>
      </c>
      <c r="Q142" t="s">
        <v>766</v>
      </c>
      <c r="R142" t="s">
        <v>751</v>
      </c>
      <c r="S142" t="s">
        <v>760</v>
      </c>
      <c r="U142" s="188" t="s">
        <v>711</v>
      </c>
      <c r="V142" s="49" t="s">
        <v>566</v>
      </c>
      <c r="W142" s="48">
        <v>0.8</v>
      </c>
      <c r="X142" s="48">
        <v>0.83</v>
      </c>
      <c r="Y142" s="48">
        <v>0.85</v>
      </c>
      <c r="Z142" s="48">
        <v>0.88</v>
      </c>
      <c r="AA142" s="48">
        <v>0.89</v>
      </c>
      <c r="AB142" s="48">
        <v>0.9</v>
      </c>
      <c r="AC142" s="48">
        <v>0.9</v>
      </c>
      <c r="AD142" s="48">
        <v>0.88</v>
      </c>
      <c r="AE142" s="48">
        <v>0.86</v>
      </c>
      <c r="AF142" s="48">
        <v>0.84</v>
      </c>
      <c r="AG142" s="48">
        <v>0.81</v>
      </c>
      <c r="AH142" s="48">
        <v>0.79</v>
      </c>
      <c r="AI142" s="48">
        <v>0.85</v>
      </c>
      <c r="AJ142" s="48"/>
      <c r="AK142" s="48"/>
      <c r="AL142" s="48"/>
      <c r="AM142" s="48"/>
      <c r="AN142" s="48"/>
      <c r="AO142" s="48"/>
      <c r="AP142" s="188" t="s">
        <v>711</v>
      </c>
    </row>
    <row r="143" spans="1:50" x14ac:dyDescent="0.45">
      <c r="A143">
        <v>3</v>
      </c>
      <c r="B143" t="s">
        <v>441</v>
      </c>
      <c r="C143" t="s">
        <v>441</v>
      </c>
      <c r="D143" t="s">
        <v>767</v>
      </c>
      <c r="E143">
        <v>-69.865204946945951</v>
      </c>
      <c r="F143">
        <v>-25.313301019661456</v>
      </c>
      <c r="G143">
        <v>10</v>
      </c>
      <c r="H143">
        <v>11</v>
      </c>
      <c r="N143">
        <v>4</v>
      </c>
      <c r="P143" t="s">
        <v>1818</v>
      </c>
      <c r="Q143" t="s">
        <v>768</v>
      </c>
      <c r="R143" t="s">
        <v>753</v>
      </c>
      <c r="S143" s="194" t="s">
        <v>779</v>
      </c>
      <c r="U143" s="188" t="s">
        <v>715</v>
      </c>
      <c r="V143" s="49" t="s">
        <v>587</v>
      </c>
      <c r="W143" s="48">
        <v>0.69</v>
      </c>
      <c r="X143" s="48">
        <v>0.71</v>
      </c>
      <c r="Y143" s="48">
        <v>0.75</v>
      </c>
      <c r="Z143" s="48">
        <v>0.8</v>
      </c>
      <c r="AA143" s="48">
        <v>0.84</v>
      </c>
      <c r="AB143" s="48">
        <v>0.84</v>
      </c>
      <c r="AC143" s="48">
        <v>0.84</v>
      </c>
      <c r="AD143" s="48">
        <v>0.82</v>
      </c>
      <c r="AE143" s="48">
        <v>0.78</v>
      </c>
      <c r="AF143" s="48">
        <v>0.72</v>
      </c>
      <c r="AG143" s="48">
        <v>0.69</v>
      </c>
      <c r="AH143" s="48">
        <v>0.68</v>
      </c>
      <c r="AI143" s="48">
        <v>0.76</v>
      </c>
      <c r="AJ143" s="48"/>
      <c r="AK143" s="48"/>
      <c r="AL143" s="48"/>
      <c r="AM143" s="48"/>
      <c r="AN143" s="48"/>
      <c r="AO143" s="48"/>
      <c r="AP143" s="188" t="s">
        <v>715</v>
      </c>
    </row>
    <row r="144" spans="1:50" x14ac:dyDescent="0.45">
      <c r="A144">
        <v>3</v>
      </c>
      <c r="B144" t="s">
        <v>441</v>
      </c>
      <c r="C144" t="s">
        <v>769</v>
      </c>
      <c r="D144" t="s">
        <v>87</v>
      </c>
      <c r="E144">
        <v>-68.6297316554502</v>
      </c>
      <c r="F144">
        <v>-22.162155514521082</v>
      </c>
      <c r="H144">
        <v>9</v>
      </c>
      <c r="N144">
        <v>4</v>
      </c>
      <c r="P144" t="s">
        <v>1817</v>
      </c>
      <c r="Q144" t="s">
        <v>770</v>
      </c>
      <c r="R144" t="s">
        <v>756</v>
      </c>
      <c r="S144" s="193" t="s">
        <v>455</v>
      </c>
      <c r="U144" t="s">
        <v>1540</v>
      </c>
      <c r="V144" s="49" t="s">
        <v>486</v>
      </c>
      <c r="W144" s="48">
        <v>0.57999999999999996</v>
      </c>
      <c r="X144" s="48">
        <v>0.62</v>
      </c>
      <c r="Y144" s="48">
        <v>0.66</v>
      </c>
      <c r="Z144" s="48">
        <v>0.71</v>
      </c>
      <c r="AA144" s="48">
        <v>0.79</v>
      </c>
      <c r="AB144" s="48">
        <v>0.83</v>
      </c>
      <c r="AC144" s="48">
        <v>0.83</v>
      </c>
      <c r="AD144" s="48">
        <v>0.8</v>
      </c>
      <c r="AE144" s="48">
        <v>0.77</v>
      </c>
      <c r="AF144" s="48">
        <v>0.71</v>
      </c>
      <c r="AG144" s="48">
        <v>0.64</v>
      </c>
      <c r="AH144" s="48">
        <v>0.6</v>
      </c>
      <c r="AI144" s="48">
        <v>0.71</v>
      </c>
      <c r="AJ144" s="48"/>
      <c r="AK144" s="48"/>
      <c r="AL144" s="48"/>
      <c r="AM144" s="48"/>
      <c r="AN144" s="48"/>
      <c r="AO144" s="48"/>
      <c r="AP144" t="s">
        <v>1538</v>
      </c>
    </row>
    <row r="145" spans="1:55" x14ac:dyDescent="0.45">
      <c r="A145">
        <v>3</v>
      </c>
      <c r="B145" t="s">
        <v>441</v>
      </c>
      <c r="C145" t="s">
        <v>769</v>
      </c>
      <c r="D145" t="s">
        <v>771</v>
      </c>
      <c r="E145">
        <v>-68.314061774785941</v>
      </c>
      <c r="F145">
        <v>-21.456475431084737</v>
      </c>
      <c r="N145">
        <v>1</v>
      </c>
      <c r="P145" t="s">
        <v>591</v>
      </c>
      <c r="Q145" t="s">
        <v>772</v>
      </c>
      <c r="R145" t="s">
        <v>758</v>
      </c>
      <c r="S145" t="s">
        <v>441</v>
      </c>
      <c r="U145" t="s">
        <v>1539</v>
      </c>
      <c r="V145" s="49" t="s">
        <v>530</v>
      </c>
      <c r="W145" s="48">
        <v>0.65</v>
      </c>
      <c r="X145" s="48">
        <v>0.69</v>
      </c>
      <c r="Y145" s="48">
        <v>0.74</v>
      </c>
      <c r="Z145" s="48">
        <v>0.82</v>
      </c>
      <c r="AA145" s="48">
        <v>0.88</v>
      </c>
      <c r="AB145" s="48">
        <v>0.91</v>
      </c>
      <c r="AC145" s="48">
        <v>0.9</v>
      </c>
      <c r="AD145" s="48">
        <v>0.87</v>
      </c>
      <c r="AE145" s="48">
        <v>0.83</v>
      </c>
      <c r="AF145" s="48">
        <v>0.78</v>
      </c>
      <c r="AG145" s="48">
        <v>0.71</v>
      </c>
      <c r="AH145" s="48">
        <v>0.66</v>
      </c>
      <c r="AI145" s="48">
        <v>0.79</v>
      </c>
      <c r="AJ145" s="48"/>
      <c r="AK145" s="48"/>
      <c r="AL145" s="48"/>
      <c r="AM145" s="48"/>
      <c r="AN145" s="48"/>
      <c r="AO145" s="48"/>
      <c r="AP145" t="s">
        <v>1539</v>
      </c>
    </row>
    <row r="146" spans="1:55" x14ac:dyDescent="0.45">
      <c r="A146">
        <v>3</v>
      </c>
      <c r="B146" t="s">
        <v>441</v>
      </c>
      <c r="C146" t="s">
        <v>769</v>
      </c>
      <c r="D146" t="s">
        <v>773</v>
      </c>
      <c r="E146">
        <v>-67.911144828616187</v>
      </c>
      <c r="F146">
        <v>-23.401972012486237</v>
      </c>
      <c r="H146">
        <v>9</v>
      </c>
      <c r="N146">
        <v>4</v>
      </c>
      <c r="P146" t="s">
        <v>1817</v>
      </c>
      <c r="Q146" t="s">
        <v>774</v>
      </c>
      <c r="R146" t="s">
        <v>760</v>
      </c>
      <c r="S146" t="s">
        <v>87</v>
      </c>
      <c r="U146" t="s">
        <v>1538</v>
      </c>
      <c r="V146" s="49" t="s">
        <v>530</v>
      </c>
      <c r="W146" s="48">
        <v>0.65</v>
      </c>
      <c r="X146" s="48">
        <v>0.69</v>
      </c>
      <c r="Y146" s="48">
        <v>0.74</v>
      </c>
      <c r="Z146" s="48">
        <v>0.82</v>
      </c>
      <c r="AA146" s="48">
        <v>0.88</v>
      </c>
      <c r="AB146" s="48">
        <v>0.91</v>
      </c>
      <c r="AC146" s="48">
        <v>0.9</v>
      </c>
      <c r="AD146" s="48">
        <v>0.87</v>
      </c>
      <c r="AE146" s="48">
        <v>0.83</v>
      </c>
      <c r="AF146" s="48">
        <v>0.78</v>
      </c>
      <c r="AG146" s="48">
        <v>0.71</v>
      </c>
      <c r="AH146" s="48">
        <v>0.66</v>
      </c>
      <c r="AI146" s="48">
        <v>0.79</v>
      </c>
      <c r="AJ146" s="48"/>
      <c r="AK146" s="48"/>
      <c r="AL146" s="48"/>
      <c r="AM146" s="48"/>
      <c r="AN146" s="48"/>
      <c r="AO146" s="48"/>
      <c r="AP146" t="s">
        <v>1540</v>
      </c>
    </row>
    <row r="147" spans="1:55" x14ac:dyDescent="0.45">
      <c r="A147">
        <v>3</v>
      </c>
      <c r="B147" t="s">
        <v>441</v>
      </c>
      <c r="C147" t="s">
        <v>776</v>
      </c>
      <c r="D147" t="s">
        <v>777</v>
      </c>
      <c r="E147">
        <v>-69.46035767511934</v>
      </c>
      <c r="F147">
        <v>-22.08950775626198</v>
      </c>
      <c r="H147">
        <v>1</v>
      </c>
      <c r="P147" t="s">
        <v>573</v>
      </c>
      <c r="Q147" t="s">
        <v>778</v>
      </c>
      <c r="R147" s="194" t="s">
        <v>779</v>
      </c>
      <c r="S147" t="s">
        <v>777</v>
      </c>
      <c r="U147" t="s">
        <v>1543</v>
      </c>
      <c r="V147" s="49" t="s">
        <v>550</v>
      </c>
      <c r="W147" s="48">
        <v>0.64</v>
      </c>
      <c r="X147" s="48">
        <v>0.66</v>
      </c>
      <c r="Y147" s="48">
        <v>0.71</v>
      </c>
      <c r="Z147" s="48">
        <v>0.78</v>
      </c>
      <c r="AA147" s="48">
        <v>0.85</v>
      </c>
      <c r="AB147" s="48">
        <v>0.88</v>
      </c>
      <c r="AC147" s="48">
        <v>0.87</v>
      </c>
      <c r="AD147" s="48">
        <v>0.84</v>
      </c>
      <c r="AE147" s="48">
        <v>0.8</v>
      </c>
      <c r="AF147" s="48">
        <v>0.76</v>
      </c>
      <c r="AG147" s="48">
        <v>0.71</v>
      </c>
      <c r="AH147" s="48">
        <v>0.67</v>
      </c>
      <c r="AI147" s="48">
        <v>0.76</v>
      </c>
      <c r="AJ147" s="48"/>
      <c r="AK147" s="48"/>
      <c r="AL147" s="48"/>
      <c r="AM147" s="48"/>
      <c r="AN147" s="48"/>
      <c r="AO147" s="48"/>
      <c r="AP147" t="s">
        <v>1541</v>
      </c>
    </row>
    <row r="148" spans="1:55" x14ac:dyDescent="0.45">
      <c r="A148">
        <v>3</v>
      </c>
      <c r="B148" t="s">
        <v>441</v>
      </c>
      <c r="C148" t="s">
        <v>776</v>
      </c>
      <c r="D148" t="s">
        <v>776</v>
      </c>
      <c r="E148">
        <v>-70.014123953945983</v>
      </c>
      <c r="F148">
        <v>-22.002303380715098</v>
      </c>
      <c r="G148">
        <v>1</v>
      </c>
      <c r="P148" t="s">
        <v>125</v>
      </c>
      <c r="Q148" t="s">
        <v>87</v>
      </c>
      <c r="R148" s="193" t="s">
        <v>455</v>
      </c>
      <c r="S148" t="s">
        <v>763</v>
      </c>
      <c r="U148" t="s">
        <v>1541</v>
      </c>
      <c r="V148" s="49" t="s">
        <v>554</v>
      </c>
      <c r="W148" s="48">
        <v>0.75</v>
      </c>
      <c r="X148" s="48">
        <v>0.78</v>
      </c>
      <c r="Y148" s="48">
        <v>0.81</v>
      </c>
      <c r="Z148" s="48">
        <v>0.84</v>
      </c>
      <c r="AA148" s="48">
        <v>0.88</v>
      </c>
      <c r="AB148" s="48">
        <v>0.88</v>
      </c>
      <c r="AC148" s="48">
        <v>0.87</v>
      </c>
      <c r="AD148" s="48">
        <v>0.86</v>
      </c>
      <c r="AE148" s="48">
        <v>0.84</v>
      </c>
      <c r="AF148" s="48">
        <v>0.81</v>
      </c>
      <c r="AG148" s="48">
        <v>0.76</v>
      </c>
      <c r="AH148" s="48">
        <v>0.74</v>
      </c>
      <c r="AI148" s="48">
        <v>0.82</v>
      </c>
      <c r="AJ148" s="48"/>
      <c r="AK148" s="48"/>
      <c r="AL148" s="48"/>
      <c r="AM148" s="48"/>
      <c r="AN148" s="48"/>
      <c r="AO148" s="48"/>
      <c r="AP148" t="s">
        <v>1542</v>
      </c>
    </row>
    <row r="149" spans="1:55" x14ac:dyDescent="0.45">
      <c r="A149">
        <v>4</v>
      </c>
      <c r="B149" t="s">
        <v>782</v>
      </c>
      <c r="C149" t="s">
        <v>783</v>
      </c>
      <c r="D149" t="s">
        <v>783</v>
      </c>
      <c r="E149">
        <v>-70.337978377975062</v>
      </c>
      <c r="F149">
        <v>-26.372533228591404</v>
      </c>
      <c r="G149">
        <v>1</v>
      </c>
      <c r="P149" t="s">
        <v>125</v>
      </c>
      <c r="Q149" t="s">
        <v>784</v>
      </c>
      <c r="R149" s="193" t="s">
        <v>785</v>
      </c>
      <c r="S149" t="s">
        <v>771</v>
      </c>
      <c r="U149" t="s">
        <v>1544</v>
      </c>
      <c r="V149" s="49" t="s">
        <v>557</v>
      </c>
      <c r="W149" s="48">
        <v>0.74</v>
      </c>
      <c r="X149" s="48">
        <v>0.77</v>
      </c>
      <c r="Y149" s="48">
        <v>0.8</v>
      </c>
      <c r="Z149" s="48">
        <v>0.84</v>
      </c>
      <c r="AA149" s="48">
        <v>0.88</v>
      </c>
      <c r="AB149" s="48">
        <v>0.89</v>
      </c>
      <c r="AC149" s="48">
        <v>0.88</v>
      </c>
      <c r="AD149" s="48">
        <v>0.86</v>
      </c>
      <c r="AE149" s="48">
        <v>0.83</v>
      </c>
      <c r="AF149" s="48">
        <v>0.81</v>
      </c>
      <c r="AG149" s="48">
        <v>0.78</v>
      </c>
      <c r="AH149" s="48">
        <v>0.75</v>
      </c>
      <c r="AI149" s="48">
        <v>0.82</v>
      </c>
      <c r="AJ149" s="48"/>
      <c r="AK149" s="48"/>
      <c r="AL149" s="48"/>
      <c r="AM149" s="48"/>
      <c r="AN149" s="48"/>
      <c r="AO149" s="48"/>
      <c r="AP149" t="s">
        <v>1543</v>
      </c>
    </row>
    <row r="150" spans="1:55" x14ac:dyDescent="0.45">
      <c r="A150">
        <v>4</v>
      </c>
      <c r="B150" t="s">
        <v>782</v>
      </c>
      <c r="C150" t="s">
        <v>783</v>
      </c>
      <c r="D150" t="s">
        <v>787</v>
      </c>
      <c r="E150">
        <v>-69.186060150541948</v>
      </c>
      <c r="F150">
        <v>-26.236775631407717</v>
      </c>
      <c r="H150">
        <v>9</v>
      </c>
      <c r="N150">
        <v>4</v>
      </c>
      <c r="P150" t="s">
        <v>1817</v>
      </c>
      <c r="Q150" t="s">
        <v>788</v>
      </c>
      <c r="R150" t="s">
        <v>441</v>
      </c>
      <c r="S150" t="s">
        <v>773</v>
      </c>
      <c r="U150" t="s">
        <v>1542</v>
      </c>
      <c r="V150" s="49" t="s">
        <v>557</v>
      </c>
      <c r="W150" s="48">
        <v>0.74</v>
      </c>
      <c r="X150" s="48">
        <v>0.77</v>
      </c>
      <c r="Y150" s="48">
        <v>0.8</v>
      </c>
      <c r="Z150" s="48">
        <v>0.84</v>
      </c>
      <c r="AA150" s="48">
        <v>0.88</v>
      </c>
      <c r="AB150" s="48">
        <v>0.89</v>
      </c>
      <c r="AC150" s="48">
        <v>0.88</v>
      </c>
      <c r="AD150" s="48">
        <v>0.86</v>
      </c>
      <c r="AE150" s="48">
        <v>0.83</v>
      </c>
      <c r="AF150" s="48">
        <v>0.81</v>
      </c>
      <c r="AG150" s="48">
        <v>0.78</v>
      </c>
      <c r="AH150" s="48">
        <v>0.75</v>
      </c>
      <c r="AI150" s="48">
        <v>0.82</v>
      </c>
      <c r="AJ150" s="48"/>
      <c r="AK150" s="48"/>
      <c r="AL150" s="48"/>
      <c r="AM150" s="48"/>
      <c r="AN150" s="48"/>
      <c r="AO150" s="48"/>
      <c r="AP150" t="s">
        <v>1544</v>
      </c>
    </row>
    <row r="151" spans="1:55" x14ac:dyDescent="0.45">
      <c r="A151">
        <v>4</v>
      </c>
      <c r="B151" t="s">
        <v>782</v>
      </c>
      <c r="C151" t="s">
        <v>448</v>
      </c>
      <c r="D151" t="s">
        <v>788</v>
      </c>
      <c r="E151">
        <v>-70.68213913434063</v>
      </c>
      <c r="F151">
        <v>-27.141117863043839</v>
      </c>
      <c r="G151">
        <v>1</v>
      </c>
      <c r="P151" t="s">
        <v>125</v>
      </c>
      <c r="Q151" t="s">
        <v>790</v>
      </c>
      <c r="R151" t="s">
        <v>763</v>
      </c>
      <c r="S151" t="s">
        <v>765</v>
      </c>
      <c r="U151" t="s">
        <v>1546</v>
      </c>
      <c r="V151" s="49" t="s">
        <v>559</v>
      </c>
      <c r="W151" s="48">
        <v>0.75</v>
      </c>
      <c r="X151" s="48">
        <v>0.77</v>
      </c>
      <c r="Y151" s="48">
        <v>0.82</v>
      </c>
      <c r="Z151" s="48">
        <v>0.87</v>
      </c>
      <c r="AA151" s="48">
        <v>0.9</v>
      </c>
      <c r="AB151" s="48">
        <v>0.91</v>
      </c>
      <c r="AC151" s="48">
        <v>0.9</v>
      </c>
      <c r="AD151" s="48">
        <v>0.88</v>
      </c>
      <c r="AE151" s="48">
        <v>0.84</v>
      </c>
      <c r="AF151" s="48">
        <v>0.81</v>
      </c>
      <c r="AG151" s="48">
        <v>0.77</v>
      </c>
      <c r="AH151" s="48">
        <v>0.74</v>
      </c>
      <c r="AI151" s="48">
        <v>0.83</v>
      </c>
      <c r="AJ151" s="48"/>
      <c r="AK151" s="48"/>
      <c r="AL151" s="48"/>
      <c r="AM151" s="48"/>
      <c r="AN151" s="48"/>
      <c r="AO151" s="48"/>
      <c r="AP151" t="s">
        <v>1545</v>
      </c>
    </row>
    <row r="152" spans="1:55" x14ac:dyDescent="0.45">
      <c r="A152">
        <v>4</v>
      </c>
      <c r="B152" t="s">
        <v>782</v>
      </c>
      <c r="C152" t="s">
        <v>448</v>
      </c>
      <c r="D152" t="s">
        <v>448</v>
      </c>
      <c r="E152">
        <v>-69.825112537094697</v>
      </c>
      <c r="F152">
        <v>-27.32047155211146</v>
      </c>
      <c r="G152">
        <v>12</v>
      </c>
      <c r="H152">
        <v>13</v>
      </c>
      <c r="P152" t="s">
        <v>1819</v>
      </c>
      <c r="Q152" t="s">
        <v>792</v>
      </c>
      <c r="R152" t="s">
        <v>765</v>
      </c>
      <c r="S152" t="s">
        <v>767</v>
      </c>
      <c r="U152" t="s">
        <v>1545</v>
      </c>
      <c r="V152" s="49" t="s">
        <v>561</v>
      </c>
      <c r="W152" s="48">
        <v>0.75</v>
      </c>
      <c r="X152" s="48">
        <v>0.78</v>
      </c>
      <c r="Y152" s="48">
        <v>0.82</v>
      </c>
      <c r="Z152" s="48">
        <v>0.87</v>
      </c>
      <c r="AA152" s="48">
        <v>0.89</v>
      </c>
      <c r="AB152" s="48">
        <v>0.91</v>
      </c>
      <c r="AC152" s="48">
        <v>0.9</v>
      </c>
      <c r="AD152" s="48">
        <v>0.88</v>
      </c>
      <c r="AE152" s="48">
        <v>0.85</v>
      </c>
      <c r="AF152" s="48">
        <v>0.81</v>
      </c>
      <c r="AG152" s="48">
        <v>0.78</v>
      </c>
      <c r="AH152" s="48">
        <v>0.74</v>
      </c>
      <c r="AI152" s="48">
        <v>0.83</v>
      </c>
      <c r="AJ152" s="48"/>
      <c r="AK152" s="48"/>
      <c r="AL152" s="48"/>
      <c r="AM152" s="48"/>
      <c r="AN152" s="48"/>
      <c r="AO152" s="48"/>
      <c r="AP152" t="s">
        <v>1546</v>
      </c>
    </row>
    <row r="153" spans="1:55" x14ac:dyDescent="0.45">
      <c r="A153">
        <v>4</v>
      </c>
      <c r="B153" t="s">
        <v>782</v>
      </c>
      <c r="C153" t="s">
        <v>448</v>
      </c>
      <c r="D153" t="s">
        <v>793</v>
      </c>
      <c r="E153">
        <v>-69.671051377683753</v>
      </c>
      <c r="F153">
        <v>-27.86395570047458</v>
      </c>
      <c r="H153">
        <v>1</v>
      </c>
      <c r="P153" t="s">
        <v>573</v>
      </c>
      <c r="Q153" t="s">
        <v>794</v>
      </c>
      <c r="R153" t="s">
        <v>767</v>
      </c>
      <c r="S153" t="s">
        <v>776</v>
      </c>
      <c r="U153" t="s">
        <v>1547</v>
      </c>
      <c r="V153" s="49" t="s">
        <v>576</v>
      </c>
      <c r="W153" s="48">
        <v>0.65</v>
      </c>
      <c r="X153" s="48">
        <v>0.67</v>
      </c>
      <c r="Y153" s="48">
        <v>0.71</v>
      </c>
      <c r="Z153" s="48">
        <v>0.77</v>
      </c>
      <c r="AA153" s="48">
        <v>0.82</v>
      </c>
      <c r="AB153" s="48">
        <v>0.84</v>
      </c>
      <c r="AC153" s="48">
        <v>0.83</v>
      </c>
      <c r="AD153" s="48">
        <v>0.8</v>
      </c>
      <c r="AE153" s="48">
        <v>0.75</v>
      </c>
      <c r="AF153" s="48">
        <v>0.7</v>
      </c>
      <c r="AG153" s="48">
        <v>0.66</v>
      </c>
      <c r="AH153" s="48">
        <v>0.65</v>
      </c>
      <c r="AI153" s="48">
        <v>0.74</v>
      </c>
      <c r="AJ153" s="48"/>
      <c r="AK153" s="48"/>
      <c r="AL153" s="48"/>
      <c r="AM153" s="48"/>
      <c r="AN153" s="48"/>
      <c r="AO153" s="48"/>
      <c r="AP153" t="s">
        <v>1547</v>
      </c>
    </row>
    <row r="154" spans="1:55" x14ac:dyDescent="0.45">
      <c r="A154">
        <v>4</v>
      </c>
      <c r="B154" t="s">
        <v>782</v>
      </c>
      <c r="C154" t="s">
        <v>796</v>
      </c>
      <c r="D154" t="s">
        <v>745</v>
      </c>
      <c r="E154">
        <v>-70.153022636559783</v>
      </c>
      <c r="F154">
        <v>-28.992946879982266</v>
      </c>
      <c r="H154">
        <v>9</v>
      </c>
      <c r="N154">
        <v>4</v>
      </c>
      <c r="P154" t="s">
        <v>1817</v>
      </c>
      <c r="Q154" t="s">
        <v>732</v>
      </c>
      <c r="R154" s="193" t="s">
        <v>797</v>
      </c>
      <c r="S154" s="194" t="s">
        <v>811</v>
      </c>
    </row>
    <row r="155" spans="1:55" ht="14.65" thickBot="1" x14ac:dyDescent="0.5">
      <c r="A155">
        <v>4</v>
      </c>
      <c r="B155" t="s">
        <v>782</v>
      </c>
      <c r="C155" t="s">
        <v>796</v>
      </c>
      <c r="D155" t="s">
        <v>798</v>
      </c>
      <c r="E155">
        <v>-71.195017378864094</v>
      </c>
      <c r="F155">
        <v>-28.843496155758061</v>
      </c>
      <c r="G155">
        <v>1</v>
      </c>
      <c r="P155" t="s">
        <v>125</v>
      </c>
      <c r="Q155" t="s">
        <v>751</v>
      </c>
      <c r="R155" t="s">
        <v>87</v>
      </c>
      <c r="S155" s="193" t="s">
        <v>470</v>
      </c>
      <c r="U155" t="s">
        <v>564</v>
      </c>
      <c r="V155" s="150" t="s">
        <v>735</v>
      </c>
      <c r="W155" s="150" t="s">
        <v>736</v>
      </c>
      <c r="X155" s="150" t="s">
        <v>737</v>
      </c>
      <c r="Y155" s="150" t="s">
        <v>738</v>
      </c>
      <c r="Z155" s="150" t="s">
        <v>739</v>
      </c>
      <c r="AA155" s="150" t="s">
        <v>740</v>
      </c>
      <c r="AB155" s="1" t="s">
        <v>1751</v>
      </c>
      <c r="AP155" s="85" t="s">
        <v>277</v>
      </c>
      <c r="AQ155" s="85" t="s">
        <v>1180</v>
      </c>
      <c r="AR155" s="122" t="s">
        <v>408</v>
      </c>
      <c r="AS155" s="122" t="s">
        <v>409</v>
      </c>
      <c r="AT155" s="122" t="s">
        <v>410</v>
      </c>
      <c r="AU155" s="122" t="s">
        <v>411</v>
      </c>
      <c r="AV155" s="122" t="s">
        <v>412</v>
      </c>
      <c r="AW155" s="122" t="s">
        <v>413</v>
      </c>
      <c r="AX155" s="122" t="s">
        <v>126</v>
      </c>
      <c r="AY155" s="122" t="s">
        <v>414</v>
      </c>
      <c r="AZ155" s="122" t="s">
        <v>415</v>
      </c>
      <c r="BA155" s="122" t="s">
        <v>416</v>
      </c>
      <c r="BB155" s="122" t="s">
        <v>417</v>
      </c>
      <c r="BC155" s="122" t="s">
        <v>418</v>
      </c>
    </row>
    <row r="156" spans="1:55" x14ac:dyDescent="0.45">
      <c r="A156">
        <v>4</v>
      </c>
      <c r="B156" t="s">
        <v>782</v>
      </c>
      <c r="C156" t="s">
        <v>796</v>
      </c>
      <c r="D156" t="s">
        <v>796</v>
      </c>
      <c r="E156">
        <v>-71.017218222825292</v>
      </c>
      <c r="F156">
        <v>-28.257625027894697</v>
      </c>
      <c r="G156">
        <v>1</v>
      </c>
      <c r="P156" t="s">
        <v>125</v>
      </c>
      <c r="Q156" t="s">
        <v>799</v>
      </c>
      <c r="R156" t="s">
        <v>771</v>
      </c>
      <c r="S156" t="s">
        <v>745</v>
      </c>
      <c r="U156" t="s">
        <v>1738</v>
      </c>
      <c r="V156">
        <v>2.1</v>
      </c>
      <c r="W156">
        <v>0.84</v>
      </c>
      <c r="X156">
        <v>3.6</v>
      </c>
      <c r="Y156">
        <v>48</v>
      </c>
      <c r="Z156">
        <v>119</v>
      </c>
      <c r="AA156">
        <v>28</v>
      </c>
      <c r="AB156">
        <v>2</v>
      </c>
      <c r="AD156" s="6"/>
      <c r="AP156" t="s">
        <v>679</v>
      </c>
      <c r="AQ156" t="s">
        <v>446</v>
      </c>
      <c r="AX156" s="120">
        <v>0.73</v>
      </c>
    </row>
    <row r="157" spans="1:55" x14ac:dyDescent="0.45">
      <c r="A157">
        <v>4</v>
      </c>
      <c r="B157" t="s">
        <v>782</v>
      </c>
      <c r="C157" t="s">
        <v>796</v>
      </c>
      <c r="D157" t="s">
        <v>450</v>
      </c>
      <c r="E157">
        <v>-70.601394778854896</v>
      </c>
      <c r="F157">
        <v>-28.593637605139968</v>
      </c>
      <c r="H157">
        <v>1</v>
      </c>
      <c r="P157" t="s">
        <v>573</v>
      </c>
      <c r="Q157" t="s">
        <v>800</v>
      </c>
      <c r="R157" t="s">
        <v>773</v>
      </c>
      <c r="S157" t="s">
        <v>788</v>
      </c>
      <c r="U157" t="s">
        <v>1739</v>
      </c>
      <c r="V157">
        <v>0.8</v>
      </c>
      <c r="W157">
        <v>0.47</v>
      </c>
      <c r="X157">
        <v>0.7</v>
      </c>
      <c r="Y157">
        <v>125</v>
      </c>
      <c r="Z157">
        <v>213</v>
      </c>
      <c r="AA157">
        <v>143</v>
      </c>
      <c r="AB157">
        <v>1</v>
      </c>
      <c r="AD157" s="6"/>
      <c r="AP157" s="49" t="s">
        <v>1535</v>
      </c>
      <c r="AQ157" t="s">
        <v>446</v>
      </c>
      <c r="AX157" s="120">
        <v>0.73</v>
      </c>
    </row>
    <row r="158" spans="1:55" x14ac:dyDescent="0.45">
      <c r="A158">
        <v>5</v>
      </c>
      <c r="B158" t="s">
        <v>801</v>
      </c>
      <c r="C158" t="s">
        <v>802</v>
      </c>
      <c r="D158" t="s">
        <v>799</v>
      </c>
      <c r="E158">
        <v>-71.394386118576037</v>
      </c>
      <c r="F158">
        <v>-31.401834646171011</v>
      </c>
      <c r="I158">
        <v>1</v>
      </c>
      <c r="P158" t="s">
        <v>578</v>
      </c>
      <c r="Q158" t="s">
        <v>803</v>
      </c>
      <c r="R158" s="193" t="s">
        <v>804</v>
      </c>
      <c r="S158" t="s">
        <v>783</v>
      </c>
      <c r="U158" t="s">
        <v>1740</v>
      </c>
      <c r="V158">
        <v>0.8</v>
      </c>
      <c r="W158">
        <v>0.47</v>
      </c>
      <c r="X158">
        <v>0.87</v>
      </c>
      <c r="Y158">
        <v>125</v>
      </c>
      <c r="Z158">
        <v>213</v>
      </c>
      <c r="AA158">
        <v>115</v>
      </c>
      <c r="AB158">
        <v>2</v>
      </c>
      <c r="AD158" s="6"/>
      <c r="AP158" t="s">
        <v>84</v>
      </c>
      <c r="AQ158" t="s">
        <v>458</v>
      </c>
      <c r="AX158" s="47">
        <v>0.76</v>
      </c>
    </row>
    <row r="159" spans="1:55" x14ac:dyDescent="0.45">
      <c r="A159">
        <v>5</v>
      </c>
      <c r="B159" t="s">
        <v>801</v>
      </c>
      <c r="C159" t="s">
        <v>802</v>
      </c>
      <c r="D159" t="s">
        <v>805</v>
      </c>
      <c r="E159">
        <v>-70.970093285608286</v>
      </c>
      <c r="F159">
        <v>-31.549368534719786</v>
      </c>
      <c r="H159">
        <v>7</v>
      </c>
      <c r="N159">
        <v>8</v>
      </c>
      <c r="P159" t="s">
        <v>1817</v>
      </c>
      <c r="Q159" t="s">
        <v>806</v>
      </c>
      <c r="R159" t="s">
        <v>777</v>
      </c>
      <c r="S159" t="s">
        <v>448</v>
      </c>
      <c r="U159" t="s">
        <v>1741</v>
      </c>
      <c r="V159">
        <v>0.8</v>
      </c>
      <c r="W159">
        <v>0.38</v>
      </c>
      <c r="X159">
        <v>0.6</v>
      </c>
      <c r="Y159">
        <v>125</v>
      </c>
      <c r="Z159">
        <v>263</v>
      </c>
      <c r="AA159">
        <v>167</v>
      </c>
      <c r="AB159">
        <v>1</v>
      </c>
      <c r="AD159" s="6"/>
      <c r="AP159" s="49" t="s">
        <v>1534</v>
      </c>
      <c r="AQ159" t="s">
        <v>449</v>
      </c>
      <c r="AX159" s="120">
        <v>0.27</v>
      </c>
    </row>
    <row r="160" spans="1:55" x14ac:dyDescent="0.45">
      <c r="A160">
        <v>5</v>
      </c>
      <c r="B160" t="s">
        <v>801</v>
      </c>
      <c r="C160" t="s">
        <v>802</v>
      </c>
      <c r="D160" t="s">
        <v>807</v>
      </c>
      <c r="E160">
        <v>-71.30425222475364</v>
      </c>
      <c r="F160">
        <v>-31.977940918782458</v>
      </c>
      <c r="I160">
        <v>1</v>
      </c>
      <c r="P160" t="s">
        <v>578</v>
      </c>
      <c r="Q160" t="s">
        <v>808</v>
      </c>
      <c r="R160" t="s">
        <v>776</v>
      </c>
      <c r="S160" t="s">
        <v>787</v>
      </c>
      <c r="U160" t="s">
        <v>1742</v>
      </c>
      <c r="V160">
        <v>0.6</v>
      </c>
      <c r="W160">
        <v>0.33</v>
      </c>
      <c r="X160">
        <v>0.6</v>
      </c>
      <c r="Y160">
        <v>167</v>
      </c>
      <c r="Z160">
        <v>303</v>
      </c>
      <c r="AA160">
        <v>167</v>
      </c>
      <c r="AB160">
        <v>2</v>
      </c>
      <c r="AD160" s="6"/>
      <c r="AP160" t="s">
        <v>682</v>
      </c>
      <c r="AQ160" t="s">
        <v>516</v>
      </c>
      <c r="AX160" s="120">
        <v>0.9</v>
      </c>
    </row>
    <row r="161" spans="1:50" x14ac:dyDescent="0.45">
      <c r="A161">
        <v>5</v>
      </c>
      <c r="B161" t="s">
        <v>801</v>
      </c>
      <c r="C161" t="s">
        <v>802</v>
      </c>
      <c r="D161" t="s">
        <v>809</v>
      </c>
      <c r="E161">
        <v>-70.66137254778269</v>
      </c>
      <c r="F161">
        <v>-31.89316824225579</v>
      </c>
      <c r="H161">
        <v>7</v>
      </c>
      <c r="N161">
        <v>8</v>
      </c>
      <c r="P161" t="s">
        <v>1817</v>
      </c>
      <c r="Q161" t="s">
        <v>810</v>
      </c>
      <c r="R161" s="194" t="s">
        <v>811</v>
      </c>
      <c r="S161" t="s">
        <v>798</v>
      </c>
      <c r="U161" t="s">
        <v>1743</v>
      </c>
      <c r="V161">
        <v>0.45</v>
      </c>
      <c r="W161">
        <v>0.28000000000000003</v>
      </c>
      <c r="X161">
        <v>0.5</v>
      </c>
      <c r="Y161">
        <v>222</v>
      </c>
      <c r="Z161">
        <v>357</v>
      </c>
      <c r="AA161">
        <v>200</v>
      </c>
      <c r="AB161">
        <v>1</v>
      </c>
      <c r="AD161" s="6"/>
      <c r="AP161" s="49" t="s">
        <v>1536</v>
      </c>
      <c r="AQ161" t="s">
        <v>516</v>
      </c>
      <c r="AX161" s="120">
        <v>0.9</v>
      </c>
    </row>
    <row r="162" spans="1:50" x14ac:dyDescent="0.45">
      <c r="A162">
        <v>5</v>
      </c>
      <c r="B162" t="s">
        <v>801</v>
      </c>
      <c r="C162" t="s">
        <v>812</v>
      </c>
      <c r="D162" t="s">
        <v>752</v>
      </c>
      <c r="E162">
        <v>-71.100637192136261</v>
      </c>
      <c r="F162">
        <v>-30.25942783326121</v>
      </c>
      <c r="H162">
        <v>1</v>
      </c>
      <c r="P162" t="s">
        <v>573</v>
      </c>
      <c r="Q162" t="s">
        <v>813</v>
      </c>
      <c r="R162" s="193" t="s">
        <v>470</v>
      </c>
      <c r="S162" t="s">
        <v>796</v>
      </c>
      <c r="U162" t="s">
        <v>1744</v>
      </c>
      <c r="V162">
        <v>0.4</v>
      </c>
      <c r="W162">
        <v>0.28000000000000003</v>
      </c>
      <c r="X162">
        <v>0.39</v>
      </c>
      <c r="Y162">
        <v>250</v>
      </c>
      <c r="Z162">
        <v>357</v>
      </c>
      <c r="AA162">
        <v>256</v>
      </c>
      <c r="AB162">
        <v>2</v>
      </c>
      <c r="AD162" s="6"/>
      <c r="AP162" t="s">
        <v>685</v>
      </c>
      <c r="AQ162" s="49" t="s">
        <v>526</v>
      </c>
      <c r="AX162" s="120">
        <v>0.9</v>
      </c>
    </row>
    <row r="163" spans="1:50" x14ac:dyDescent="0.45">
      <c r="A163">
        <v>5</v>
      </c>
      <c r="B163" t="s">
        <v>801</v>
      </c>
      <c r="C163" t="s">
        <v>812</v>
      </c>
      <c r="D163" t="s">
        <v>801</v>
      </c>
      <c r="E163">
        <v>-71.35898541148778</v>
      </c>
      <c r="F163">
        <v>-30.227415860516789</v>
      </c>
      <c r="I163">
        <v>1</v>
      </c>
      <c r="P163" t="s">
        <v>578</v>
      </c>
      <c r="Q163" t="s">
        <v>547</v>
      </c>
      <c r="R163" s="193" t="s">
        <v>814</v>
      </c>
      <c r="S163" t="s">
        <v>793</v>
      </c>
      <c r="U163" t="s">
        <v>1745</v>
      </c>
      <c r="V163">
        <v>0.3</v>
      </c>
      <c r="W163">
        <v>0.25</v>
      </c>
      <c r="X163">
        <v>0.32</v>
      </c>
      <c r="Y163">
        <v>333</v>
      </c>
      <c r="Z163">
        <v>400</v>
      </c>
      <c r="AA163">
        <v>313</v>
      </c>
      <c r="AB163">
        <v>1</v>
      </c>
      <c r="AD163" s="6"/>
      <c r="AP163" t="s">
        <v>686</v>
      </c>
      <c r="AQ163" s="49" t="s">
        <v>572</v>
      </c>
      <c r="AX163" s="120">
        <v>0.95</v>
      </c>
    </row>
    <row r="164" spans="1:50" x14ac:dyDescent="0.45">
      <c r="A164">
        <v>5</v>
      </c>
      <c r="B164" t="s">
        <v>801</v>
      </c>
      <c r="C164" t="s">
        <v>812</v>
      </c>
      <c r="D164" t="s">
        <v>815</v>
      </c>
      <c r="E164">
        <v>-70.902564641732255</v>
      </c>
      <c r="F164">
        <v>-29.374776585420314</v>
      </c>
      <c r="H164">
        <v>15</v>
      </c>
      <c r="I164">
        <v>14</v>
      </c>
      <c r="P164" t="s">
        <v>1820</v>
      </c>
      <c r="Q164" t="s">
        <v>816</v>
      </c>
      <c r="R164" t="s">
        <v>783</v>
      </c>
      <c r="S164" t="s">
        <v>450</v>
      </c>
      <c r="U164" t="s">
        <v>1746</v>
      </c>
      <c r="V164">
        <v>0.35</v>
      </c>
      <c r="W164">
        <v>0.25</v>
      </c>
      <c r="X164">
        <v>0.32</v>
      </c>
      <c r="Y164">
        <v>286</v>
      </c>
      <c r="Z164">
        <v>400</v>
      </c>
      <c r="AA164">
        <v>313</v>
      </c>
      <c r="AB164">
        <v>2</v>
      </c>
      <c r="AD164" s="6"/>
      <c r="AP164" t="s">
        <v>693</v>
      </c>
      <c r="AQ164" s="49" t="s">
        <v>577</v>
      </c>
      <c r="AX164" s="120">
        <v>0.94</v>
      </c>
    </row>
    <row r="165" spans="1:50" x14ac:dyDescent="0.45">
      <c r="A165">
        <v>5</v>
      </c>
      <c r="B165" t="s">
        <v>801</v>
      </c>
      <c r="C165" t="s">
        <v>812</v>
      </c>
      <c r="D165" t="s">
        <v>454</v>
      </c>
      <c r="E165">
        <v>-71.060818595487945</v>
      </c>
      <c r="F165">
        <v>-29.789112942311693</v>
      </c>
      <c r="H165">
        <v>15</v>
      </c>
      <c r="I165">
        <v>14</v>
      </c>
      <c r="P165" t="s">
        <v>1820</v>
      </c>
      <c r="Q165" t="s">
        <v>817</v>
      </c>
      <c r="R165" t="s">
        <v>787</v>
      </c>
      <c r="S165" s="194" t="s">
        <v>834</v>
      </c>
      <c r="U165" s="49" t="s">
        <v>1747</v>
      </c>
      <c r="V165" s="188">
        <v>0.3</v>
      </c>
      <c r="W165" s="188">
        <v>0.25</v>
      </c>
      <c r="X165" s="188">
        <v>0.32</v>
      </c>
      <c r="Y165" s="188">
        <v>333</v>
      </c>
      <c r="Z165" s="188">
        <v>400</v>
      </c>
      <c r="AA165" s="188">
        <v>313</v>
      </c>
      <c r="AB165" s="188">
        <v>2</v>
      </c>
      <c r="AP165" t="s">
        <v>696</v>
      </c>
      <c r="AQ165" s="49" t="str">
        <f>+"Provincia de Osorno"</f>
        <v>Provincia de Osorno</v>
      </c>
      <c r="AX165" s="120">
        <v>0.95</v>
      </c>
    </row>
    <row r="166" spans="1:50" x14ac:dyDescent="0.45">
      <c r="A166">
        <v>5</v>
      </c>
      <c r="B166" t="s">
        <v>801</v>
      </c>
      <c r="C166" t="s">
        <v>812</v>
      </c>
      <c r="D166" t="s">
        <v>818</v>
      </c>
      <c r="E166">
        <v>-70.370297681784066</v>
      </c>
      <c r="F166">
        <v>-30.23708638070552</v>
      </c>
      <c r="H166">
        <v>1</v>
      </c>
      <c r="P166" t="s">
        <v>573</v>
      </c>
      <c r="Q166" t="s">
        <v>819</v>
      </c>
      <c r="R166" s="193" t="s">
        <v>820</v>
      </c>
      <c r="S166" s="193" t="s">
        <v>487</v>
      </c>
      <c r="U166" t="s">
        <v>707</v>
      </c>
      <c r="V166">
        <v>0.8</v>
      </c>
      <c r="W166">
        <v>0.38</v>
      </c>
      <c r="X166">
        <v>0.6</v>
      </c>
      <c r="Y166">
        <v>125</v>
      </c>
      <c r="Z166">
        <v>263</v>
      </c>
      <c r="AA166">
        <v>167</v>
      </c>
      <c r="AB166">
        <v>2</v>
      </c>
      <c r="AP166" t="s">
        <v>699</v>
      </c>
      <c r="AX166" s="47"/>
    </row>
    <row r="167" spans="1:50" x14ac:dyDescent="0.45">
      <c r="A167">
        <v>5</v>
      </c>
      <c r="B167" t="s">
        <v>801</v>
      </c>
      <c r="C167" t="s">
        <v>812</v>
      </c>
      <c r="D167" t="s">
        <v>457</v>
      </c>
      <c r="E167">
        <v>-70.382384511978174</v>
      </c>
      <c r="F167">
        <v>-29.89161429070144</v>
      </c>
      <c r="H167">
        <v>9</v>
      </c>
      <c r="N167">
        <v>4</v>
      </c>
      <c r="P167" t="s">
        <v>1817</v>
      </c>
      <c r="Q167" t="s">
        <v>541</v>
      </c>
      <c r="R167" t="s">
        <v>788</v>
      </c>
      <c r="S167" t="s">
        <v>752</v>
      </c>
      <c r="U167" t="s">
        <v>709</v>
      </c>
      <c r="V167">
        <v>0.6</v>
      </c>
      <c r="W167">
        <v>0.33</v>
      </c>
      <c r="X167">
        <v>0.6</v>
      </c>
      <c r="Y167">
        <v>167</v>
      </c>
      <c r="Z167">
        <v>303</v>
      </c>
      <c r="AA167">
        <v>167</v>
      </c>
      <c r="AB167">
        <v>2</v>
      </c>
      <c r="AP167" t="s">
        <v>702</v>
      </c>
      <c r="AQ167" s="49" t="str">
        <f>+"Provincia de Palena"</f>
        <v>Provincia de Palena</v>
      </c>
      <c r="AX167" s="120">
        <v>0.86</v>
      </c>
    </row>
    <row r="168" spans="1:50" x14ac:dyDescent="0.45">
      <c r="A168">
        <v>5</v>
      </c>
      <c r="B168" t="s">
        <v>801</v>
      </c>
      <c r="C168" t="s">
        <v>821</v>
      </c>
      <c r="D168" t="s">
        <v>822</v>
      </c>
      <c r="E168">
        <v>-70.965737239825927</v>
      </c>
      <c r="F168">
        <v>-31.14645445094774</v>
      </c>
      <c r="H168">
        <v>7</v>
      </c>
      <c r="N168">
        <v>8</v>
      </c>
      <c r="P168" t="s">
        <v>1817</v>
      </c>
      <c r="Q168" t="s">
        <v>783</v>
      </c>
      <c r="R168" t="s">
        <v>448</v>
      </c>
      <c r="S168" t="s">
        <v>799</v>
      </c>
      <c r="U168" t="s">
        <v>711</v>
      </c>
      <c r="V168">
        <v>0.4</v>
      </c>
      <c r="W168">
        <v>0.28000000000000003</v>
      </c>
      <c r="X168">
        <v>0.39</v>
      </c>
      <c r="Y168">
        <v>250</v>
      </c>
      <c r="Z168">
        <v>357</v>
      </c>
      <c r="AA168">
        <v>256</v>
      </c>
      <c r="AB168">
        <v>2</v>
      </c>
      <c r="AP168" s="49" t="s">
        <v>1537</v>
      </c>
      <c r="AX168" s="47"/>
    </row>
    <row r="169" spans="1:50" x14ac:dyDescent="0.45">
      <c r="A169">
        <v>5</v>
      </c>
      <c r="B169" t="s">
        <v>801</v>
      </c>
      <c r="C169" t="s">
        <v>821</v>
      </c>
      <c r="D169" t="s">
        <v>823</v>
      </c>
      <c r="E169">
        <v>-70.650398125391803</v>
      </c>
      <c r="F169">
        <v>-30.834436987584343</v>
      </c>
      <c r="H169">
        <v>7</v>
      </c>
      <c r="N169">
        <v>8</v>
      </c>
      <c r="P169" t="s">
        <v>1817</v>
      </c>
      <c r="Q169" t="s">
        <v>824</v>
      </c>
      <c r="R169" t="s">
        <v>793</v>
      </c>
      <c r="S169" t="s">
        <v>822</v>
      </c>
      <c r="U169" t="s">
        <v>715</v>
      </c>
      <c r="V169">
        <v>0.3</v>
      </c>
      <c r="W169">
        <v>0.25</v>
      </c>
      <c r="X169">
        <v>0.32</v>
      </c>
      <c r="Y169">
        <v>333</v>
      </c>
      <c r="Z169">
        <v>400</v>
      </c>
      <c r="AA169">
        <v>313</v>
      </c>
      <c r="AB169">
        <v>2</v>
      </c>
      <c r="AP169" s="188" t="s">
        <v>707</v>
      </c>
      <c r="AX169" s="47"/>
    </row>
    <row r="170" spans="1:50" x14ac:dyDescent="0.45">
      <c r="A170">
        <v>5</v>
      </c>
      <c r="B170" t="s">
        <v>801</v>
      </c>
      <c r="C170" t="s">
        <v>821</v>
      </c>
      <c r="D170" t="s">
        <v>459</v>
      </c>
      <c r="E170">
        <v>-71.405310463324184</v>
      </c>
      <c r="F170">
        <v>-30.673014022519062</v>
      </c>
      <c r="H170">
        <v>17</v>
      </c>
      <c r="I170">
        <v>16</v>
      </c>
      <c r="P170" t="s">
        <v>1820</v>
      </c>
      <c r="Q170" t="s">
        <v>825</v>
      </c>
      <c r="R170" s="193" t="s">
        <v>826</v>
      </c>
      <c r="S170" t="s">
        <v>801</v>
      </c>
      <c r="U170" t="s">
        <v>1540</v>
      </c>
      <c r="V170">
        <v>0.8</v>
      </c>
      <c r="W170">
        <v>0.38</v>
      </c>
      <c r="X170">
        <v>0.6</v>
      </c>
      <c r="Y170">
        <v>125</v>
      </c>
      <c r="Z170">
        <v>263</v>
      </c>
      <c r="AA170">
        <v>167</v>
      </c>
      <c r="AB170">
        <v>1</v>
      </c>
      <c r="AP170" s="188" t="s">
        <v>709</v>
      </c>
      <c r="AX170" s="47"/>
    </row>
    <row r="171" spans="1:50" x14ac:dyDescent="0.45">
      <c r="A171">
        <v>5</v>
      </c>
      <c r="B171" t="s">
        <v>801</v>
      </c>
      <c r="C171" t="s">
        <v>821</v>
      </c>
      <c r="D171" t="s">
        <v>827</v>
      </c>
      <c r="E171">
        <v>-71.332626102768231</v>
      </c>
      <c r="F171">
        <v>-30.946100851881557</v>
      </c>
      <c r="H171">
        <v>1</v>
      </c>
      <c r="P171" t="s">
        <v>573</v>
      </c>
      <c r="Q171" t="s">
        <v>582</v>
      </c>
      <c r="R171" t="s">
        <v>745</v>
      </c>
      <c r="S171" t="s">
        <v>805</v>
      </c>
      <c r="U171" t="s">
        <v>1539</v>
      </c>
      <c r="V171">
        <v>0.8</v>
      </c>
      <c r="W171">
        <v>0.38</v>
      </c>
      <c r="X171">
        <v>0.6</v>
      </c>
      <c r="Y171">
        <v>125</v>
      </c>
      <c r="Z171">
        <v>263</v>
      </c>
      <c r="AA171">
        <v>167</v>
      </c>
      <c r="AB171">
        <v>1</v>
      </c>
      <c r="AP171" s="188" t="s">
        <v>711</v>
      </c>
      <c r="AX171" s="47"/>
    </row>
    <row r="172" spans="1:50" x14ac:dyDescent="0.45">
      <c r="A172">
        <v>5</v>
      </c>
      <c r="B172" t="s">
        <v>801</v>
      </c>
      <c r="C172" t="s">
        <v>821</v>
      </c>
      <c r="D172" t="s">
        <v>828</v>
      </c>
      <c r="E172">
        <v>-70.654174785304889</v>
      </c>
      <c r="F172">
        <v>-30.430531748053948</v>
      </c>
      <c r="H172">
        <v>9</v>
      </c>
      <c r="N172">
        <v>4</v>
      </c>
      <c r="P172" t="s">
        <v>1817</v>
      </c>
      <c r="Q172" t="s">
        <v>550</v>
      </c>
      <c r="R172" t="s">
        <v>798</v>
      </c>
      <c r="S172" t="s">
        <v>815</v>
      </c>
      <c r="U172" t="s">
        <v>1538</v>
      </c>
      <c r="V172">
        <v>0.8</v>
      </c>
      <c r="W172">
        <v>0.38</v>
      </c>
      <c r="X172">
        <v>0.6</v>
      </c>
      <c r="Y172">
        <v>125</v>
      </c>
      <c r="Z172">
        <v>263</v>
      </c>
      <c r="AA172">
        <v>167</v>
      </c>
      <c r="AB172">
        <v>1</v>
      </c>
      <c r="AP172" s="188" t="s">
        <v>715</v>
      </c>
      <c r="AX172" s="47"/>
    </row>
    <row r="173" spans="1:50" x14ac:dyDescent="0.45">
      <c r="A173">
        <v>6</v>
      </c>
      <c r="B173" t="s">
        <v>474</v>
      </c>
      <c r="C173" t="s">
        <v>829</v>
      </c>
      <c r="D173" t="s">
        <v>830</v>
      </c>
      <c r="E173">
        <v>-109.33937968696007</v>
      </c>
      <c r="F173">
        <v>-27.130205656301019</v>
      </c>
      <c r="G173">
        <v>1</v>
      </c>
      <c r="P173" t="s">
        <v>125</v>
      </c>
      <c r="Q173" t="s">
        <v>831</v>
      </c>
      <c r="R173" t="s">
        <v>796</v>
      </c>
      <c r="S173" t="s">
        <v>454</v>
      </c>
      <c r="U173" t="s">
        <v>1543</v>
      </c>
      <c r="V173">
        <v>0.45</v>
      </c>
      <c r="W173">
        <v>0.28000000000000003</v>
      </c>
      <c r="X173">
        <v>0.5</v>
      </c>
      <c r="Y173">
        <v>222</v>
      </c>
      <c r="Z173">
        <v>357</v>
      </c>
      <c r="AA173">
        <v>200</v>
      </c>
      <c r="AB173">
        <v>1</v>
      </c>
      <c r="AP173" t="s">
        <v>1538</v>
      </c>
      <c r="AX173" s="47"/>
    </row>
    <row r="174" spans="1:50" x14ac:dyDescent="0.45">
      <c r="A174">
        <v>6</v>
      </c>
      <c r="B174" t="s">
        <v>474</v>
      </c>
      <c r="C174" t="s">
        <v>465</v>
      </c>
      <c r="D174" t="s">
        <v>794</v>
      </c>
      <c r="E174">
        <v>-70.544660164775763</v>
      </c>
      <c r="F174">
        <v>-32.950769455254886</v>
      </c>
      <c r="J174">
        <v>1</v>
      </c>
      <c r="P174" t="s">
        <v>581</v>
      </c>
      <c r="Q174" t="s">
        <v>832</v>
      </c>
      <c r="R174" t="s">
        <v>450</v>
      </c>
      <c r="S174" t="s">
        <v>807</v>
      </c>
      <c r="U174" t="s">
        <v>1541</v>
      </c>
      <c r="V174">
        <v>0.6</v>
      </c>
      <c r="W174">
        <v>0.33</v>
      </c>
      <c r="X174">
        <v>0.6</v>
      </c>
      <c r="Y174">
        <v>167</v>
      </c>
      <c r="Z174">
        <v>303</v>
      </c>
      <c r="AA174">
        <v>167</v>
      </c>
      <c r="AB174">
        <v>2</v>
      </c>
      <c r="AP174" t="s">
        <v>1539</v>
      </c>
      <c r="AX174" s="47"/>
    </row>
    <row r="175" spans="1:50" x14ac:dyDescent="0.45">
      <c r="A175">
        <v>6</v>
      </c>
      <c r="B175" t="s">
        <v>474</v>
      </c>
      <c r="C175" t="s">
        <v>465</v>
      </c>
      <c r="D175" t="s">
        <v>465</v>
      </c>
      <c r="E175">
        <v>-70.239794698099729</v>
      </c>
      <c r="F175">
        <v>-32.951118791830716</v>
      </c>
      <c r="J175">
        <v>7</v>
      </c>
      <c r="N175">
        <v>8</v>
      </c>
      <c r="P175" t="s">
        <v>1821</v>
      </c>
      <c r="Q175" t="s">
        <v>833</v>
      </c>
      <c r="R175" s="194" t="s">
        <v>834</v>
      </c>
      <c r="S175" t="s">
        <v>823</v>
      </c>
      <c r="U175" t="s">
        <v>1544</v>
      </c>
      <c r="V175">
        <v>0.45</v>
      </c>
      <c r="W175">
        <v>0.28000000000000003</v>
      </c>
      <c r="X175">
        <v>0.5</v>
      </c>
      <c r="Y175">
        <v>222</v>
      </c>
      <c r="Z175">
        <v>357</v>
      </c>
      <c r="AA175">
        <v>200</v>
      </c>
      <c r="AB175">
        <v>1</v>
      </c>
      <c r="AP175" t="s">
        <v>1540</v>
      </c>
      <c r="AX175" s="47"/>
    </row>
    <row r="176" spans="1:50" x14ac:dyDescent="0.45">
      <c r="A176">
        <v>6</v>
      </c>
      <c r="B176" t="s">
        <v>474</v>
      </c>
      <c r="C176" t="s">
        <v>465</v>
      </c>
      <c r="D176" t="s">
        <v>835</v>
      </c>
      <c r="E176">
        <v>-70.706201717161861</v>
      </c>
      <c r="F176">
        <v>-32.876336094317942</v>
      </c>
      <c r="J176">
        <v>1</v>
      </c>
      <c r="P176" t="s">
        <v>581</v>
      </c>
      <c r="Q176" t="s">
        <v>836</v>
      </c>
      <c r="R176" s="193" t="s">
        <v>487</v>
      </c>
      <c r="S176" t="s">
        <v>459</v>
      </c>
      <c r="U176" t="s">
        <v>1542</v>
      </c>
      <c r="V176">
        <v>0.45</v>
      </c>
      <c r="W176">
        <v>0.28000000000000003</v>
      </c>
      <c r="X176">
        <v>0.5</v>
      </c>
      <c r="Y176">
        <v>222</v>
      </c>
      <c r="Z176">
        <v>357</v>
      </c>
      <c r="AA176">
        <v>200</v>
      </c>
      <c r="AB176">
        <v>1</v>
      </c>
      <c r="AP176" t="s">
        <v>1541</v>
      </c>
      <c r="AX176" s="47"/>
    </row>
    <row r="177" spans="1:55" x14ac:dyDescent="0.45">
      <c r="A177">
        <v>6</v>
      </c>
      <c r="B177" t="s">
        <v>474</v>
      </c>
      <c r="C177" t="s">
        <v>465</v>
      </c>
      <c r="D177" t="s">
        <v>837</v>
      </c>
      <c r="E177">
        <v>-70.348172201507253</v>
      </c>
      <c r="F177">
        <v>-32.686524537952231</v>
      </c>
      <c r="J177">
        <v>1</v>
      </c>
      <c r="P177" t="s">
        <v>581</v>
      </c>
      <c r="Q177" t="s">
        <v>838</v>
      </c>
      <c r="R177" s="193" t="s">
        <v>839</v>
      </c>
      <c r="S177" t="s">
        <v>818</v>
      </c>
      <c r="U177" t="s">
        <v>1546</v>
      </c>
      <c r="V177">
        <v>0.4</v>
      </c>
      <c r="W177">
        <v>0.28000000000000003</v>
      </c>
      <c r="X177">
        <v>0.39</v>
      </c>
      <c r="Y177">
        <v>250</v>
      </c>
      <c r="Z177">
        <v>357</v>
      </c>
      <c r="AA177">
        <v>256</v>
      </c>
      <c r="AB177">
        <v>2</v>
      </c>
      <c r="AP177" t="s">
        <v>1542</v>
      </c>
      <c r="AX177" s="47"/>
    </row>
    <row r="178" spans="1:55" x14ac:dyDescent="0.45">
      <c r="A178">
        <v>6</v>
      </c>
      <c r="B178" t="s">
        <v>474</v>
      </c>
      <c r="C178" t="s">
        <v>840</v>
      </c>
      <c r="D178" t="s">
        <v>841</v>
      </c>
      <c r="E178">
        <v>-71.278992576242828</v>
      </c>
      <c r="F178">
        <v>-33.030777111676016</v>
      </c>
      <c r="J178">
        <v>1</v>
      </c>
      <c r="P178" t="s">
        <v>581</v>
      </c>
      <c r="Q178" t="s">
        <v>842</v>
      </c>
      <c r="R178" t="s">
        <v>799</v>
      </c>
      <c r="S178" t="s">
        <v>827</v>
      </c>
      <c r="U178" t="s">
        <v>1545</v>
      </c>
      <c r="V178">
        <v>0.4</v>
      </c>
      <c r="W178">
        <v>0.28000000000000003</v>
      </c>
      <c r="X178">
        <v>0.39</v>
      </c>
      <c r="Y178">
        <v>250</v>
      </c>
      <c r="Z178">
        <v>357</v>
      </c>
      <c r="AA178">
        <v>256</v>
      </c>
      <c r="AB178">
        <v>1</v>
      </c>
      <c r="AP178" t="s">
        <v>1543</v>
      </c>
      <c r="AX178" s="47"/>
    </row>
    <row r="179" spans="1:55" x14ac:dyDescent="0.45">
      <c r="A179">
        <v>6</v>
      </c>
      <c r="B179" t="s">
        <v>474</v>
      </c>
      <c r="C179" t="s">
        <v>840</v>
      </c>
      <c r="D179" t="s">
        <v>843</v>
      </c>
      <c r="E179">
        <v>-71.110435731838777</v>
      </c>
      <c r="F179">
        <v>-33.03565498949262</v>
      </c>
      <c r="J179">
        <v>1</v>
      </c>
      <c r="P179" t="s">
        <v>581</v>
      </c>
      <c r="Q179" t="s">
        <v>844</v>
      </c>
      <c r="R179" t="s">
        <v>805</v>
      </c>
      <c r="S179" t="s">
        <v>828</v>
      </c>
      <c r="U179" t="s">
        <v>1547</v>
      </c>
      <c r="V179">
        <v>0.35</v>
      </c>
      <c r="W179">
        <v>0.25</v>
      </c>
      <c r="X179">
        <v>0.32</v>
      </c>
      <c r="Y179">
        <v>286</v>
      </c>
      <c r="Z179">
        <v>400</v>
      </c>
      <c r="AA179">
        <v>313</v>
      </c>
      <c r="AB179">
        <v>2</v>
      </c>
      <c r="AP179" t="s">
        <v>1544</v>
      </c>
      <c r="AX179" s="47"/>
    </row>
    <row r="180" spans="1:55" x14ac:dyDescent="0.45">
      <c r="A180">
        <v>6</v>
      </c>
      <c r="B180" t="s">
        <v>474</v>
      </c>
      <c r="C180" t="s">
        <v>840</v>
      </c>
      <c r="D180" t="s">
        <v>845</v>
      </c>
      <c r="E180">
        <v>-71.254207452205975</v>
      </c>
      <c r="F180">
        <v>-33.14731766092229</v>
      </c>
      <c r="J180">
        <v>1</v>
      </c>
      <c r="P180" t="s">
        <v>581</v>
      </c>
      <c r="Q180" t="s">
        <v>585</v>
      </c>
      <c r="R180" t="s">
        <v>807</v>
      </c>
      <c r="S180" t="s">
        <v>809</v>
      </c>
      <c r="AP180" t="s">
        <v>1545</v>
      </c>
      <c r="AX180" s="47"/>
    </row>
    <row r="181" spans="1:55" x14ac:dyDescent="0.45">
      <c r="A181">
        <v>6</v>
      </c>
      <c r="B181" t="s">
        <v>474</v>
      </c>
      <c r="C181" t="s">
        <v>840</v>
      </c>
      <c r="D181" t="s">
        <v>846</v>
      </c>
      <c r="E181">
        <v>-71.330011791805816</v>
      </c>
      <c r="F181">
        <v>-33.067724935560889</v>
      </c>
      <c r="J181">
        <v>1</v>
      </c>
      <c r="P181" t="s">
        <v>581</v>
      </c>
      <c r="Q181" t="s">
        <v>847</v>
      </c>
      <c r="R181" t="s">
        <v>809</v>
      </c>
      <c r="S181" t="s">
        <v>457</v>
      </c>
      <c r="AP181" t="s">
        <v>1546</v>
      </c>
      <c r="AX181" s="47"/>
    </row>
    <row r="182" spans="1:55" x14ac:dyDescent="0.45">
      <c r="A182">
        <v>6</v>
      </c>
      <c r="B182" t="s">
        <v>474</v>
      </c>
      <c r="C182" t="s">
        <v>848</v>
      </c>
      <c r="D182" t="s">
        <v>772</v>
      </c>
      <c r="E182">
        <v>-70.82353228572714</v>
      </c>
      <c r="F182">
        <v>-32.417355481602556</v>
      </c>
      <c r="J182">
        <v>7</v>
      </c>
      <c r="N182">
        <v>8</v>
      </c>
      <c r="P182" t="s">
        <v>1821</v>
      </c>
      <c r="Q182" t="s">
        <v>849</v>
      </c>
      <c r="R182" s="193" t="s">
        <v>850</v>
      </c>
      <c r="S182" s="194" t="s">
        <v>872</v>
      </c>
      <c r="AP182" t="s">
        <v>1547</v>
      </c>
      <c r="AX182" s="47"/>
    </row>
    <row r="183" spans="1:55" x14ac:dyDescent="0.45">
      <c r="A183">
        <v>6</v>
      </c>
      <c r="B183" t="s">
        <v>474</v>
      </c>
      <c r="C183" t="s">
        <v>848</v>
      </c>
      <c r="D183" t="s">
        <v>851</v>
      </c>
      <c r="E183">
        <v>-71.271702344795855</v>
      </c>
      <c r="F183">
        <v>-32.3535886474276</v>
      </c>
      <c r="I183">
        <v>16</v>
      </c>
      <c r="J183">
        <v>17</v>
      </c>
      <c r="P183" t="s">
        <v>1822</v>
      </c>
      <c r="Q183" t="s">
        <v>852</v>
      </c>
      <c r="R183" t="s">
        <v>752</v>
      </c>
      <c r="S183" s="193" t="s">
        <v>531</v>
      </c>
    </row>
    <row r="184" spans="1:55" x14ac:dyDescent="0.45">
      <c r="A184">
        <v>6</v>
      </c>
      <c r="B184" t="s">
        <v>474</v>
      </c>
      <c r="C184" t="s">
        <v>848</v>
      </c>
      <c r="D184" t="s">
        <v>853</v>
      </c>
      <c r="E184">
        <v>-71.380269001498334</v>
      </c>
      <c r="F184">
        <v>-32.474914189287276</v>
      </c>
      <c r="I184">
        <v>1</v>
      </c>
      <c r="P184" t="s">
        <v>578</v>
      </c>
      <c r="Q184" t="s">
        <v>854</v>
      </c>
      <c r="R184" t="s">
        <v>801</v>
      </c>
      <c r="S184" t="s">
        <v>731</v>
      </c>
    </row>
    <row r="185" spans="1:55" x14ac:dyDescent="0.45">
      <c r="A185">
        <v>6</v>
      </c>
      <c r="B185" t="s">
        <v>474</v>
      </c>
      <c r="C185" t="s">
        <v>848</v>
      </c>
      <c r="D185" t="s">
        <v>848</v>
      </c>
      <c r="E185">
        <v>-70.869905136081584</v>
      </c>
      <c r="F185">
        <v>-32.19050751910703</v>
      </c>
      <c r="J185">
        <v>7</v>
      </c>
      <c r="N185">
        <v>8</v>
      </c>
      <c r="P185" t="s">
        <v>1821</v>
      </c>
      <c r="Q185" t="s">
        <v>855</v>
      </c>
      <c r="R185" t="s">
        <v>815</v>
      </c>
      <c r="S185" t="s">
        <v>772</v>
      </c>
    </row>
    <row r="186" spans="1:55" x14ac:dyDescent="0.45">
      <c r="A186">
        <v>6</v>
      </c>
      <c r="B186" t="s">
        <v>474</v>
      </c>
      <c r="C186" t="s">
        <v>848</v>
      </c>
      <c r="D186" t="s">
        <v>856</v>
      </c>
      <c r="E186">
        <v>-71.336278032897894</v>
      </c>
      <c r="F186">
        <v>-32.58748819171516</v>
      </c>
      <c r="I186">
        <v>1</v>
      </c>
      <c r="P186" t="s">
        <v>578</v>
      </c>
      <c r="Q186" t="s">
        <v>753</v>
      </c>
      <c r="R186" t="s">
        <v>454</v>
      </c>
      <c r="S186" t="s">
        <v>790</v>
      </c>
    </row>
    <row r="187" spans="1:55" x14ac:dyDescent="0.45">
      <c r="A187">
        <v>6</v>
      </c>
      <c r="B187" t="s">
        <v>474</v>
      </c>
      <c r="C187" t="s">
        <v>857</v>
      </c>
      <c r="D187" t="s">
        <v>790</v>
      </c>
      <c r="E187">
        <v>-71.156893718089989</v>
      </c>
      <c r="F187">
        <v>-32.793920870669133</v>
      </c>
      <c r="J187">
        <v>1</v>
      </c>
      <c r="P187" t="s">
        <v>581</v>
      </c>
      <c r="Q187" t="s">
        <v>858</v>
      </c>
      <c r="R187" t="s">
        <v>818</v>
      </c>
      <c r="S187" t="s">
        <v>794</v>
      </c>
      <c r="U187" s="150" t="s">
        <v>775</v>
      </c>
      <c r="V187" s="150" t="s">
        <v>735</v>
      </c>
      <c r="W187" s="150" t="s">
        <v>736</v>
      </c>
      <c r="X187" s="150" t="s">
        <v>737</v>
      </c>
      <c r="Y187" s="150" t="s">
        <v>738</v>
      </c>
      <c r="Z187" s="150" t="s">
        <v>739</v>
      </c>
      <c r="AA187" s="150" t="s">
        <v>740</v>
      </c>
      <c r="AB187" s="46" t="s">
        <v>1751</v>
      </c>
    </row>
    <row r="188" spans="1:55" x14ac:dyDescent="0.45">
      <c r="A188">
        <v>6</v>
      </c>
      <c r="B188" t="s">
        <v>474</v>
      </c>
      <c r="C188" t="s">
        <v>857</v>
      </c>
      <c r="D188" t="s">
        <v>859</v>
      </c>
      <c r="E188">
        <v>-71.081073496378991</v>
      </c>
      <c r="F188">
        <v>-32.869333437898817</v>
      </c>
      <c r="J188">
        <v>1</v>
      </c>
      <c r="P188" t="s">
        <v>581</v>
      </c>
      <c r="Q188" t="s">
        <v>860</v>
      </c>
      <c r="R188" t="s">
        <v>457</v>
      </c>
      <c r="S188" t="s">
        <v>806</v>
      </c>
      <c r="U188" s="291" t="s">
        <v>780</v>
      </c>
      <c r="V188" s="291">
        <v>0.8</v>
      </c>
      <c r="W188" s="291">
        <v>0.38</v>
      </c>
      <c r="X188" s="291">
        <v>0.6</v>
      </c>
      <c r="Y188" s="291">
        <v>125</v>
      </c>
      <c r="Z188" s="291">
        <v>263</v>
      </c>
      <c r="AA188" s="291">
        <v>167</v>
      </c>
      <c r="AB188" s="291">
        <v>1</v>
      </c>
    </row>
    <row r="189" spans="1:55" x14ac:dyDescent="0.45">
      <c r="A189">
        <v>6</v>
      </c>
      <c r="B189" t="s">
        <v>474</v>
      </c>
      <c r="C189" t="s">
        <v>857</v>
      </c>
      <c r="D189" t="s">
        <v>861</v>
      </c>
      <c r="E189">
        <v>-71.240354084383171</v>
      </c>
      <c r="F189">
        <v>-32.825397035971008</v>
      </c>
      <c r="J189">
        <v>1</v>
      </c>
      <c r="P189" t="s">
        <v>581</v>
      </c>
      <c r="Q189" t="s">
        <v>862</v>
      </c>
      <c r="R189" s="193" t="s">
        <v>863</v>
      </c>
      <c r="S189" t="s">
        <v>808</v>
      </c>
      <c r="U189" t="s">
        <v>781</v>
      </c>
      <c r="V189">
        <v>0.8</v>
      </c>
      <c r="W189">
        <v>0.38</v>
      </c>
      <c r="X189">
        <v>0.6</v>
      </c>
      <c r="Y189">
        <v>125</v>
      </c>
      <c r="Z189">
        <v>263</v>
      </c>
      <c r="AA189">
        <v>167</v>
      </c>
      <c r="AB189">
        <v>1</v>
      </c>
    </row>
    <row r="190" spans="1:55" x14ac:dyDescent="0.45">
      <c r="A190">
        <v>6</v>
      </c>
      <c r="B190" t="s">
        <v>474</v>
      </c>
      <c r="C190" t="s">
        <v>857</v>
      </c>
      <c r="D190" t="s">
        <v>864</v>
      </c>
      <c r="E190">
        <v>-71.176118180568693</v>
      </c>
      <c r="F190">
        <v>-32.691495046308773</v>
      </c>
      <c r="J190">
        <v>1</v>
      </c>
      <c r="P190" t="s">
        <v>581</v>
      </c>
      <c r="Q190" t="s">
        <v>822</v>
      </c>
      <c r="R190" t="s">
        <v>822</v>
      </c>
      <c r="S190" t="s">
        <v>813</v>
      </c>
      <c r="U190" s="89" t="s">
        <v>786</v>
      </c>
      <c r="V190" s="89">
        <v>0.8</v>
      </c>
      <c r="W190" s="89">
        <v>0.38</v>
      </c>
      <c r="X190" s="89">
        <v>0.6</v>
      </c>
      <c r="Y190" s="89">
        <v>125</v>
      </c>
      <c r="Z190" s="89">
        <v>263</v>
      </c>
      <c r="AA190" s="89">
        <v>167</v>
      </c>
      <c r="AB190" s="89">
        <v>1</v>
      </c>
    </row>
    <row r="191" spans="1:55" ht="14.65" thickBot="1" x14ac:dyDescent="0.5">
      <c r="A191">
        <v>6</v>
      </c>
      <c r="B191" t="s">
        <v>474</v>
      </c>
      <c r="C191" t="s">
        <v>857</v>
      </c>
      <c r="D191" t="s">
        <v>857</v>
      </c>
      <c r="E191">
        <v>-71.272454433411355</v>
      </c>
      <c r="F191">
        <v>-32.904768496413972</v>
      </c>
      <c r="J191">
        <v>1</v>
      </c>
      <c r="P191" t="s">
        <v>581</v>
      </c>
      <c r="Q191" t="s">
        <v>554</v>
      </c>
      <c r="R191" t="s">
        <v>823</v>
      </c>
      <c r="S191" t="s">
        <v>867</v>
      </c>
      <c r="U191" t="s">
        <v>789</v>
      </c>
      <c r="V191">
        <v>0.6</v>
      </c>
      <c r="W191">
        <v>0.33</v>
      </c>
      <c r="X191">
        <v>0.6</v>
      </c>
      <c r="Y191">
        <v>167</v>
      </c>
      <c r="Z191">
        <v>303</v>
      </c>
      <c r="AA191">
        <v>167</v>
      </c>
      <c r="AB191">
        <v>2</v>
      </c>
      <c r="AP191" s="150" t="s">
        <v>277</v>
      </c>
      <c r="AQ191" s="150" t="s">
        <v>1180</v>
      </c>
      <c r="AR191" s="150" t="s">
        <v>408</v>
      </c>
      <c r="AS191" s="150" t="s">
        <v>409</v>
      </c>
      <c r="AT191" s="150" t="s">
        <v>410</v>
      </c>
      <c r="AU191" s="150" t="s">
        <v>411</v>
      </c>
      <c r="AV191" s="150" t="s">
        <v>412</v>
      </c>
      <c r="AW191" s="150" t="s">
        <v>413</v>
      </c>
      <c r="AX191" s="150" t="s">
        <v>126</v>
      </c>
      <c r="AY191" s="150" t="s">
        <v>414</v>
      </c>
      <c r="AZ191" s="150" t="s">
        <v>415</v>
      </c>
      <c r="BA191" s="150" t="s">
        <v>416</v>
      </c>
      <c r="BB191" s="150" t="s">
        <v>417</v>
      </c>
      <c r="BC191" s="150" t="s">
        <v>418</v>
      </c>
    </row>
    <row r="192" spans="1:55" x14ac:dyDescent="0.45">
      <c r="A192">
        <v>6</v>
      </c>
      <c r="B192" t="s">
        <v>474</v>
      </c>
      <c r="C192" t="s">
        <v>865</v>
      </c>
      <c r="D192" t="s">
        <v>731</v>
      </c>
      <c r="E192">
        <v>-71.599391269954097</v>
      </c>
      <c r="F192">
        <v>-33.32944439395213</v>
      </c>
      <c r="I192">
        <v>1</v>
      </c>
      <c r="P192" t="s">
        <v>578</v>
      </c>
      <c r="Q192" t="s">
        <v>866</v>
      </c>
      <c r="R192" t="s">
        <v>459</v>
      </c>
      <c r="S192" t="s">
        <v>868</v>
      </c>
      <c r="U192" s="89" t="s">
        <v>791</v>
      </c>
      <c r="V192" s="89">
        <v>0.45</v>
      </c>
      <c r="W192" s="89">
        <v>0.28000000000000003</v>
      </c>
      <c r="X192" s="89">
        <v>0.5</v>
      </c>
      <c r="Y192" s="89">
        <v>222</v>
      </c>
      <c r="Z192" s="89">
        <v>357</v>
      </c>
      <c r="AA192" s="89">
        <v>200</v>
      </c>
      <c r="AB192" s="89">
        <v>1</v>
      </c>
      <c r="AP192" s="313" t="s">
        <v>780</v>
      </c>
      <c r="AQ192" s="313"/>
      <c r="AR192" s="291"/>
      <c r="AS192" s="291"/>
      <c r="AT192" s="291"/>
      <c r="AU192" s="291"/>
      <c r="AV192" s="291"/>
      <c r="AW192" s="291"/>
      <c r="AX192" s="291"/>
      <c r="AY192" s="291"/>
      <c r="AZ192" s="291"/>
      <c r="BA192" s="291"/>
      <c r="BB192" s="291"/>
      <c r="BC192" s="291"/>
    </row>
    <row r="193" spans="1:55" x14ac:dyDescent="0.45">
      <c r="A193">
        <v>6</v>
      </c>
      <c r="B193" t="s">
        <v>474</v>
      </c>
      <c r="C193" t="s">
        <v>865</v>
      </c>
      <c r="D193" t="s">
        <v>806</v>
      </c>
      <c r="E193">
        <v>-71.442206691939504</v>
      </c>
      <c r="F193">
        <v>-33.533821571332425</v>
      </c>
      <c r="I193">
        <v>1</v>
      </c>
      <c r="P193" t="s">
        <v>578</v>
      </c>
      <c r="Q193" t="s">
        <v>867</v>
      </c>
      <c r="R193" t="s">
        <v>827</v>
      </c>
      <c r="S193" t="s">
        <v>870</v>
      </c>
      <c r="U193" t="s">
        <v>85</v>
      </c>
      <c r="V193">
        <v>0.45</v>
      </c>
      <c r="W193">
        <v>0.28000000000000003</v>
      </c>
      <c r="X193">
        <v>0.5</v>
      </c>
      <c r="Y193">
        <v>222</v>
      </c>
      <c r="Z193">
        <v>357</v>
      </c>
      <c r="AA193">
        <v>200</v>
      </c>
      <c r="AB193">
        <v>1</v>
      </c>
      <c r="AP193" t="s">
        <v>781</v>
      </c>
    </row>
    <row r="194" spans="1:55" x14ac:dyDescent="0.45">
      <c r="A194">
        <v>6</v>
      </c>
      <c r="B194" t="s">
        <v>474</v>
      </c>
      <c r="C194" t="s">
        <v>865</v>
      </c>
      <c r="D194" t="s">
        <v>868</v>
      </c>
      <c r="E194">
        <v>-71.65132203469642</v>
      </c>
      <c r="F194">
        <v>-33.415125075563715</v>
      </c>
      <c r="I194">
        <v>1</v>
      </c>
      <c r="P194" t="s">
        <v>578</v>
      </c>
      <c r="Q194" t="s">
        <v>869</v>
      </c>
      <c r="R194" t="s">
        <v>828</v>
      </c>
      <c r="S194" t="s">
        <v>859</v>
      </c>
      <c r="U194" s="89" t="s">
        <v>795</v>
      </c>
      <c r="V194" s="89">
        <v>0.45</v>
      </c>
      <c r="W194" s="89">
        <v>0.28000000000000003</v>
      </c>
      <c r="X194" s="89">
        <v>0.5</v>
      </c>
      <c r="Y194" s="89">
        <v>222</v>
      </c>
      <c r="Z194" s="89">
        <v>357</v>
      </c>
      <c r="AA194" s="89">
        <v>200</v>
      </c>
      <c r="AB194" s="89">
        <v>1</v>
      </c>
      <c r="AP194" s="89" t="s">
        <v>786</v>
      </c>
      <c r="AQ194" s="89"/>
      <c r="AR194" s="89"/>
      <c r="AS194" s="89"/>
      <c r="AT194" s="89"/>
      <c r="AU194" s="89"/>
      <c r="AV194" s="89"/>
      <c r="AW194" s="89"/>
      <c r="AX194" s="89"/>
      <c r="AY194" s="89"/>
      <c r="AZ194" s="89"/>
      <c r="BA194" s="89"/>
      <c r="BB194" s="89"/>
      <c r="BC194" s="89"/>
    </row>
    <row r="195" spans="1:55" x14ac:dyDescent="0.45">
      <c r="A195">
        <v>6</v>
      </c>
      <c r="B195" t="s">
        <v>474</v>
      </c>
      <c r="C195" t="s">
        <v>865</v>
      </c>
      <c r="D195" t="s">
        <v>870</v>
      </c>
      <c r="E195">
        <v>-71.581082214805747</v>
      </c>
      <c r="F195">
        <v>-33.482866707518269</v>
      </c>
      <c r="I195">
        <v>1</v>
      </c>
      <c r="P195" t="s">
        <v>578</v>
      </c>
      <c r="Q195" t="s">
        <v>871</v>
      </c>
      <c r="R195" s="194" t="s">
        <v>872</v>
      </c>
      <c r="S195" t="s">
        <v>830</v>
      </c>
      <c r="U195" t="s">
        <v>561</v>
      </c>
      <c r="V195">
        <v>0.4</v>
      </c>
      <c r="W195">
        <v>0.28000000000000003</v>
      </c>
      <c r="X195">
        <v>0.39</v>
      </c>
      <c r="Y195">
        <v>250</v>
      </c>
      <c r="Z195">
        <v>357</v>
      </c>
      <c r="AA195">
        <v>256</v>
      </c>
      <c r="AB195">
        <v>1</v>
      </c>
      <c r="AP195" t="s">
        <v>789</v>
      </c>
    </row>
    <row r="196" spans="1:55" x14ac:dyDescent="0.45">
      <c r="A196">
        <v>6</v>
      </c>
      <c r="B196" t="s">
        <v>474</v>
      </c>
      <c r="C196" t="s">
        <v>865</v>
      </c>
      <c r="D196" t="s">
        <v>865</v>
      </c>
      <c r="E196">
        <v>-71.486945192468426</v>
      </c>
      <c r="F196">
        <v>-33.667154715702516</v>
      </c>
      <c r="I196">
        <v>1</v>
      </c>
      <c r="P196" t="s">
        <v>578</v>
      </c>
      <c r="Q196" t="s">
        <v>448</v>
      </c>
      <c r="R196" s="193" t="s">
        <v>531</v>
      </c>
      <c r="S196" t="s">
        <v>889</v>
      </c>
      <c r="U196" s="89" t="s">
        <v>559</v>
      </c>
      <c r="V196" s="89">
        <v>0.4</v>
      </c>
      <c r="W196" s="89">
        <v>0.28000000000000003</v>
      </c>
      <c r="X196" s="89">
        <v>0.39</v>
      </c>
      <c r="Y196" s="89">
        <v>250</v>
      </c>
      <c r="Z196" s="89">
        <v>357</v>
      </c>
      <c r="AA196" s="89">
        <v>256</v>
      </c>
      <c r="AB196" s="89">
        <v>2</v>
      </c>
      <c r="AP196" s="89" t="s">
        <v>791</v>
      </c>
      <c r="AQ196" s="89"/>
      <c r="AR196" s="89"/>
      <c r="AS196" s="89"/>
      <c r="AT196" s="89"/>
      <c r="AU196" s="89"/>
      <c r="AV196" s="89"/>
      <c r="AW196" s="89"/>
      <c r="AX196" s="89"/>
      <c r="AY196" s="89"/>
      <c r="AZ196" s="89"/>
      <c r="BA196" s="89"/>
      <c r="BB196" s="89"/>
      <c r="BC196" s="89"/>
    </row>
    <row r="197" spans="1:55" x14ac:dyDescent="0.45">
      <c r="A197">
        <v>6</v>
      </c>
      <c r="B197" t="s">
        <v>474</v>
      </c>
      <c r="C197" t="s">
        <v>865</v>
      </c>
      <c r="D197" t="s">
        <v>873</v>
      </c>
      <c r="E197">
        <v>-71.676496294412203</v>
      </c>
      <c r="F197">
        <v>-33.809361457419129</v>
      </c>
      <c r="I197">
        <v>1</v>
      </c>
      <c r="P197" t="s">
        <v>578</v>
      </c>
      <c r="Q197" t="s">
        <v>801</v>
      </c>
      <c r="R197" s="193" t="s">
        <v>874</v>
      </c>
      <c r="S197" t="s">
        <v>861</v>
      </c>
      <c r="U197" s="312" t="s">
        <v>576</v>
      </c>
      <c r="V197" s="312">
        <v>0.35</v>
      </c>
      <c r="W197" s="312">
        <v>0.25</v>
      </c>
      <c r="X197" s="312">
        <v>0.32</v>
      </c>
      <c r="Y197" s="312">
        <v>286</v>
      </c>
      <c r="Z197" s="312">
        <v>400</v>
      </c>
      <c r="AA197" s="312">
        <v>313</v>
      </c>
      <c r="AB197" s="312">
        <v>2</v>
      </c>
      <c r="AP197" t="s">
        <v>85</v>
      </c>
    </row>
    <row r="198" spans="1:55" x14ac:dyDescent="0.45">
      <c r="A198">
        <v>6</v>
      </c>
      <c r="B198" t="s">
        <v>474</v>
      </c>
      <c r="C198" t="s">
        <v>875</v>
      </c>
      <c r="D198" t="s">
        <v>813</v>
      </c>
      <c r="E198">
        <v>-70.944648791218071</v>
      </c>
      <c r="F198">
        <v>-32.707356396618351</v>
      </c>
      <c r="J198">
        <v>1</v>
      </c>
      <c r="P198" t="s">
        <v>581</v>
      </c>
      <c r="Q198" t="s">
        <v>876</v>
      </c>
      <c r="R198" t="s">
        <v>830</v>
      </c>
      <c r="S198" t="s">
        <v>851</v>
      </c>
      <c r="AP198" s="89" t="s">
        <v>795</v>
      </c>
      <c r="AQ198" s="89"/>
      <c r="AR198" s="89"/>
      <c r="AS198" s="89"/>
      <c r="AT198" s="89"/>
      <c r="AU198" s="89"/>
      <c r="AV198" s="89"/>
      <c r="AW198" s="89"/>
      <c r="AX198" s="89"/>
      <c r="AY198" s="89"/>
      <c r="AZ198" s="89"/>
      <c r="BA198" s="89"/>
      <c r="BB198" s="89"/>
      <c r="BC198" s="89"/>
    </row>
    <row r="199" spans="1:55" x14ac:dyDescent="0.45">
      <c r="A199">
        <v>6</v>
      </c>
      <c r="B199" t="s">
        <v>474</v>
      </c>
      <c r="C199" t="s">
        <v>875</v>
      </c>
      <c r="D199" t="s">
        <v>877</v>
      </c>
      <c r="E199">
        <v>-70.901696837940179</v>
      </c>
      <c r="F199">
        <v>-32.888107734448269</v>
      </c>
      <c r="J199">
        <v>1</v>
      </c>
      <c r="P199" t="s">
        <v>581</v>
      </c>
      <c r="Q199" t="s">
        <v>878</v>
      </c>
      <c r="R199" s="193" t="s">
        <v>879</v>
      </c>
      <c r="S199" t="s">
        <v>841</v>
      </c>
      <c r="AP199" t="s">
        <v>561</v>
      </c>
    </row>
    <row r="200" spans="1:55" x14ac:dyDescent="0.45">
      <c r="A200">
        <v>6</v>
      </c>
      <c r="B200" t="s">
        <v>474</v>
      </c>
      <c r="C200" t="s">
        <v>875</v>
      </c>
      <c r="D200" t="s">
        <v>880</v>
      </c>
      <c r="E200">
        <v>-70.828432771596141</v>
      </c>
      <c r="F200">
        <v>-32.793737779981576</v>
      </c>
      <c r="J200">
        <v>1</v>
      </c>
      <c r="P200" t="s">
        <v>581</v>
      </c>
      <c r="Q200" t="s">
        <v>576</v>
      </c>
      <c r="R200" t="s">
        <v>794</v>
      </c>
      <c r="S200" t="s">
        <v>877</v>
      </c>
      <c r="AP200" s="89" t="s">
        <v>559</v>
      </c>
      <c r="AQ200" s="89"/>
      <c r="AR200" s="89"/>
      <c r="AS200" s="89"/>
      <c r="AT200" s="89"/>
      <c r="AU200" s="89"/>
      <c r="AV200" s="89"/>
      <c r="AW200" s="89"/>
      <c r="AX200" s="89"/>
      <c r="AY200" s="89"/>
      <c r="AZ200" s="89"/>
      <c r="BA200" s="89"/>
      <c r="BB200" s="89"/>
      <c r="BC200" s="89"/>
    </row>
    <row r="201" spans="1:55" x14ac:dyDescent="0.45">
      <c r="A201">
        <v>6</v>
      </c>
      <c r="B201" t="s">
        <v>474</v>
      </c>
      <c r="C201" t="s">
        <v>875</v>
      </c>
      <c r="D201" t="s">
        <v>881</v>
      </c>
      <c r="E201">
        <v>-70.52093967929514</v>
      </c>
      <c r="F201">
        <v>-32.48100254799779</v>
      </c>
      <c r="J201">
        <v>7</v>
      </c>
      <c r="N201">
        <v>8</v>
      </c>
      <c r="P201" t="s">
        <v>1821</v>
      </c>
      <c r="Q201" t="s">
        <v>882</v>
      </c>
      <c r="R201" t="s">
        <v>465</v>
      </c>
      <c r="S201" t="s">
        <v>465</v>
      </c>
      <c r="AP201" s="312" t="s">
        <v>576</v>
      </c>
      <c r="AQ201" s="312"/>
      <c r="AR201" s="312"/>
      <c r="AS201" s="312"/>
      <c r="AT201" s="312"/>
      <c r="AU201" s="312"/>
      <c r="AV201" s="312"/>
      <c r="AW201" s="312"/>
      <c r="AX201" s="312"/>
      <c r="AY201" s="312"/>
      <c r="AZ201" s="312"/>
      <c r="BA201" s="312"/>
      <c r="BB201" s="312"/>
      <c r="BC201" s="312"/>
    </row>
    <row r="202" spans="1:55" x14ac:dyDescent="0.45">
      <c r="A202">
        <v>6</v>
      </c>
      <c r="B202" t="s">
        <v>474</v>
      </c>
      <c r="C202" t="s">
        <v>875</v>
      </c>
      <c r="D202" t="s">
        <v>462</v>
      </c>
      <c r="E202">
        <v>-70.752958425170945</v>
      </c>
      <c r="F202">
        <v>-32.736401459981842</v>
      </c>
      <c r="J202">
        <v>1</v>
      </c>
      <c r="P202" t="s">
        <v>581</v>
      </c>
      <c r="Q202" t="s">
        <v>883</v>
      </c>
      <c r="R202" t="s">
        <v>835</v>
      </c>
      <c r="S202" t="s">
        <v>864</v>
      </c>
    </row>
    <row r="203" spans="1:55" x14ac:dyDescent="0.45">
      <c r="A203">
        <v>6</v>
      </c>
      <c r="B203" t="s">
        <v>474</v>
      </c>
      <c r="C203" t="s">
        <v>875</v>
      </c>
      <c r="D203" t="s">
        <v>884</v>
      </c>
      <c r="E203">
        <v>-70.609698373031051</v>
      </c>
      <c r="F203">
        <v>-32.686020523676305</v>
      </c>
      <c r="J203">
        <v>1</v>
      </c>
      <c r="P203" t="s">
        <v>581</v>
      </c>
      <c r="Q203" t="s">
        <v>885</v>
      </c>
      <c r="R203" t="s">
        <v>837</v>
      </c>
      <c r="S203" t="s">
        <v>843</v>
      </c>
    </row>
    <row r="204" spans="1:55" ht="14.65" thickBot="1" x14ac:dyDescent="0.5">
      <c r="A204">
        <v>6</v>
      </c>
      <c r="B204" t="s">
        <v>474</v>
      </c>
      <c r="C204" t="s">
        <v>474</v>
      </c>
      <c r="D204" t="s">
        <v>808</v>
      </c>
      <c r="E204">
        <v>-71.43497442177366</v>
      </c>
      <c r="F204">
        <v>-33.31566472783171</v>
      </c>
      <c r="I204">
        <v>1</v>
      </c>
      <c r="P204" t="s">
        <v>578</v>
      </c>
      <c r="Q204" t="s">
        <v>886</v>
      </c>
      <c r="R204" s="193" t="s">
        <v>887</v>
      </c>
      <c r="S204" t="s">
        <v>880</v>
      </c>
      <c r="AP204" s="150" t="s">
        <v>277</v>
      </c>
      <c r="AQ204" s="150" t="s">
        <v>1180</v>
      </c>
      <c r="AR204" s="150" t="s">
        <v>408</v>
      </c>
      <c r="AS204" s="150" t="s">
        <v>409</v>
      </c>
      <c r="AT204" s="150" t="s">
        <v>410</v>
      </c>
      <c r="AU204" s="150" t="s">
        <v>411</v>
      </c>
      <c r="AV204" s="150" t="s">
        <v>412</v>
      </c>
      <c r="AW204" s="150" t="s">
        <v>413</v>
      </c>
      <c r="AX204" s="150" t="s">
        <v>126</v>
      </c>
      <c r="AY204" s="150" t="s">
        <v>414</v>
      </c>
      <c r="AZ204" s="150" t="s">
        <v>415</v>
      </c>
      <c r="BA204" s="150" t="s">
        <v>416</v>
      </c>
      <c r="BB204" s="150" t="s">
        <v>417</v>
      </c>
      <c r="BC204" s="150" t="s">
        <v>418</v>
      </c>
    </row>
    <row r="205" spans="1:55" x14ac:dyDescent="0.45">
      <c r="A205">
        <v>6</v>
      </c>
      <c r="B205" t="s">
        <v>474</v>
      </c>
      <c r="C205" t="s">
        <v>474</v>
      </c>
      <c r="D205" t="s">
        <v>867</v>
      </c>
      <c r="E205">
        <v>-71.467753641273092</v>
      </c>
      <c r="F205">
        <v>-32.953290963800185</v>
      </c>
      <c r="I205">
        <v>1</v>
      </c>
      <c r="P205" t="s">
        <v>578</v>
      </c>
      <c r="Q205" t="s">
        <v>888</v>
      </c>
      <c r="R205" t="s">
        <v>841</v>
      </c>
      <c r="S205" t="s">
        <v>853</v>
      </c>
      <c r="AP205" s="313" t="s">
        <v>780</v>
      </c>
      <c r="AQ205" s="313"/>
      <c r="AR205" s="291"/>
      <c r="AS205" s="291"/>
      <c r="AT205" s="291"/>
      <c r="AU205" s="291"/>
      <c r="AV205" s="291"/>
      <c r="AW205" s="291"/>
      <c r="AX205" s="291"/>
      <c r="AY205" s="291"/>
      <c r="AZ205" s="291"/>
      <c r="BA205" s="291"/>
      <c r="BB205" s="291"/>
      <c r="BC205" s="291"/>
    </row>
    <row r="206" spans="1:55" x14ac:dyDescent="0.45">
      <c r="A206">
        <v>6</v>
      </c>
      <c r="B206" t="s">
        <v>474</v>
      </c>
      <c r="C206" t="s">
        <v>474</v>
      </c>
      <c r="D206" t="s">
        <v>889</v>
      </c>
      <c r="E206">
        <v>-78.847055882768458</v>
      </c>
      <c r="F206">
        <v>-33.650730869722835</v>
      </c>
      <c r="I206">
        <v>1</v>
      </c>
      <c r="P206" t="s">
        <v>578</v>
      </c>
      <c r="Q206" t="s">
        <v>890</v>
      </c>
      <c r="R206" t="s">
        <v>843</v>
      </c>
      <c r="S206" t="s">
        <v>848</v>
      </c>
      <c r="AP206" t="s">
        <v>781</v>
      </c>
    </row>
    <row r="207" spans="1:55" x14ac:dyDescent="0.45">
      <c r="A207">
        <v>6</v>
      </c>
      <c r="B207" t="s">
        <v>474</v>
      </c>
      <c r="C207" t="s">
        <v>474</v>
      </c>
      <c r="D207" t="s">
        <v>891</v>
      </c>
      <c r="E207">
        <v>-71.387927240621224</v>
      </c>
      <c r="F207">
        <v>-32.745307076733958</v>
      </c>
      <c r="I207">
        <v>1</v>
      </c>
      <c r="P207" t="s">
        <v>578</v>
      </c>
      <c r="Q207" t="s">
        <v>892</v>
      </c>
      <c r="R207" t="s">
        <v>845</v>
      </c>
      <c r="S207" t="s">
        <v>891</v>
      </c>
      <c r="W207">
        <v>0</v>
      </c>
      <c r="X207">
        <v>1</v>
      </c>
      <c r="AP207" s="89" t="s">
        <v>786</v>
      </c>
      <c r="AQ207" s="89"/>
      <c r="AR207" s="89"/>
      <c r="AS207" s="89"/>
      <c r="AT207" s="89"/>
      <c r="AU207" s="89"/>
      <c r="AV207" s="89"/>
      <c r="AW207" s="89"/>
      <c r="AX207" s="89"/>
      <c r="AY207" s="89"/>
      <c r="AZ207" s="89"/>
      <c r="BA207" s="89"/>
      <c r="BB207" s="89"/>
      <c r="BC207" s="89"/>
    </row>
    <row r="208" spans="1:55" x14ac:dyDescent="0.45">
      <c r="A208">
        <v>6</v>
      </c>
      <c r="B208" t="s">
        <v>474</v>
      </c>
      <c r="C208" t="s">
        <v>474</v>
      </c>
      <c r="D208" t="s">
        <v>472</v>
      </c>
      <c r="E208">
        <v>-71.473276603999594</v>
      </c>
      <c r="F208">
        <v>-32.843137546479944</v>
      </c>
      <c r="I208">
        <v>1</v>
      </c>
      <c r="P208" t="s">
        <v>578</v>
      </c>
      <c r="Q208" t="s">
        <v>530</v>
      </c>
      <c r="R208" t="s">
        <v>846</v>
      </c>
      <c r="S208" t="s">
        <v>881</v>
      </c>
      <c r="V208" t="s">
        <v>1646</v>
      </c>
      <c r="W208">
        <v>20</v>
      </c>
      <c r="X208">
        <v>25</v>
      </c>
      <c r="AP208" t="s">
        <v>789</v>
      </c>
    </row>
    <row r="209" spans="1:55" x14ac:dyDescent="0.45">
      <c r="A209">
        <v>6</v>
      </c>
      <c r="B209" t="s">
        <v>474</v>
      </c>
      <c r="C209" t="s">
        <v>474</v>
      </c>
      <c r="D209" t="s">
        <v>474</v>
      </c>
      <c r="E209">
        <v>-71.573329036050666</v>
      </c>
      <c r="F209">
        <v>-33.129733489201904</v>
      </c>
      <c r="I209">
        <v>1</v>
      </c>
      <c r="P209" t="s">
        <v>578</v>
      </c>
      <c r="Q209" t="s">
        <v>893</v>
      </c>
      <c r="R209" s="193" t="s">
        <v>894</v>
      </c>
      <c r="S209" t="s">
        <v>857</v>
      </c>
      <c r="V209" t="s">
        <v>1647</v>
      </c>
      <c r="W209">
        <v>10</v>
      </c>
      <c r="X209">
        <v>20</v>
      </c>
      <c r="AP209" s="89" t="s">
        <v>791</v>
      </c>
      <c r="AQ209" s="89"/>
      <c r="AR209" s="89"/>
      <c r="AS209" s="89"/>
      <c r="AT209" s="89"/>
      <c r="AU209" s="89"/>
      <c r="AV209" s="89"/>
      <c r="AW209" s="89"/>
      <c r="AX209" s="89"/>
      <c r="AY209" s="89"/>
      <c r="AZ209" s="89"/>
      <c r="BA209" s="89"/>
      <c r="BB209" s="89"/>
      <c r="BC209" s="89"/>
    </row>
    <row r="210" spans="1:55" x14ac:dyDescent="0.45">
      <c r="A210">
        <v>6</v>
      </c>
      <c r="B210" t="s">
        <v>474</v>
      </c>
      <c r="C210" t="s">
        <v>474</v>
      </c>
      <c r="D210" t="s">
        <v>469</v>
      </c>
      <c r="E210">
        <v>-71.515536895133991</v>
      </c>
      <c r="F210">
        <v>-33.028601722583929</v>
      </c>
      <c r="I210">
        <v>1</v>
      </c>
      <c r="P210" t="s">
        <v>578</v>
      </c>
      <c r="Q210" t="s">
        <v>787</v>
      </c>
      <c r="R210" t="s">
        <v>772</v>
      </c>
      <c r="S210" t="s">
        <v>845</v>
      </c>
      <c r="V210" t="s">
        <v>135</v>
      </c>
      <c r="W210">
        <f>(X208-W208)/(X209-W209)</f>
        <v>0.5</v>
      </c>
      <c r="AP210" t="s">
        <v>85</v>
      </c>
    </row>
    <row r="211" spans="1:55" x14ac:dyDescent="0.45">
      <c r="A211">
        <v>7</v>
      </c>
      <c r="B211" t="s">
        <v>895</v>
      </c>
      <c r="C211" t="s">
        <v>896</v>
      </c>
      <c r="D211" t="s">
        <v>858</v>
      </c>
      <c r="E211">
        <v>-70.616096952914504</v>
      </c>
      <c r="F211">
        <v>-33.134896360990112</v>
      </c>
      <c r="J211">
        <v>7</v>
      </c>
      <c r="N211">
        <v>8</v>
      </c>
      <c r="P211" t="s">
        <v>1821</v>
      </c>
      <c r="Q211" t="s">
        <v>897</v>
      </c>
      <c r="R211" t="s">
        <v>851</v>
      </c>
      <c r="S211" t="s">
        <v>472</v>
      </c>
      <c r="AP211" s="89" t="s">
        <v>795</v>
      </c>
      <c r="AQ211" s="89"/>
      <c r="AR211" s="89"/>
      <c r="AS211" s="89"/>
      <c r="AT211" s="89"/>
      <c r="AU211" s="89"/>
      <c r="AV211" s="89"/>
      <c r="AW211" s="89"/>
      <c r="AX211" s="89"/>
      <c r="AY211" s="89"/>
      <c r="AZ211" s="89"/>
      <c r="BA211" s="89"/>
      <c r="BB211" s="89"/>
      <c r="BC211" s="89"/>
    </row>
    <row r="212" spans="1:55" x14ac:dyDescent="0.45">
      <c r="A212">
        <v>7</v>
      </c>
      <c r="B212" t="s">
        <v>895</v>
      </c>
      <c r="C212" t="s">
        <v>896</v>
      </c>
      <c r="D212" t="s">
        <v>898</v>
      </c>
      <c r="E212">
        <v>-70.875154440329311</v>
      </c>
      <c r="F212">
        <v>-33.278107838639642</v>
      </c>
      <c r="J212">
        <v>1</v>
      </c>
      <c r="P212" t="s">
        <v>581</v>
      </c>
      <c r="Q212" t="s">
        <v>899</v>
      </c>
      <c r="R212" t="s">
        <v>853</v>
      </c>
      <c r="S212" t="s">
        <v>835</v>
      </c>
      <c r="AP212" t="s">
        <v>561</v>
      </c>
    </row>
    <row r="213" spans="1:55" x14ac:dyDescent="0.45">
      <c r="A213">
        <v>7</v>
      </c>
      <c r="B213" t="s">
        <v>895</v>
      </c>
      <c r="C213" t="s">
        <v>896</v>
      </c>
      <c r="D213" t="s">
        <v>900</v>
      </c>
      <c r="E213">
        <v>-70.876184502610499</v>
      </c>
      <c r="F213">
        <v>-33.062720220475754</v>
      </c>
      <c r="J213">
        <v>1</v>
      </c>
      <c r="P213" t="s">
        <v>581</v>
      </c>
      <c r="Q213" t="s">
        <v>901</v>
      </c>
      <c r="R213" t="s">
        <v>848</v>
      </c>
      <c r="S213" t="s">
        <v>865</v>
      </c>
      <c r="V213" s="88"/>
      <c r="AP213" s="89" t="s">
        <v>559</v>
      </c>
      <c r="AQ213" s="89"/>
      <c r="AR213" s="89"/>
      <c r="AS213" s="89"/>
      <c r="AT213" s="89"/>
      <c r="AU213" s="89"/>
      <c r="AV213" s="89"/>
      <c r="AW213" s="89"/>
      <c r="AX213" s="89"/>
      <c r="AY213" s="89"/>
      <c r="AZ213" s="89"/>
      <c r="BA213" s="89"/>
      <c r="BB213" s="89"/>
      <c r="BC213" s="89"/>
    </row>
    <row r="214" spans="1:55" ht="14.65" thickBot="1" x14ac:dyDescent="0.5">
      <c r="A214">
        <v>7</v>
      </c>
      <c r="B214" t="s">
        <v>895</v>
      </c>
      <c r="C214" t="s">
        <v>902</v>
      </c>
      <c r="D214" t="s">
        <v>903</v>
      </c>
      <c r="E214">
        <v>-70.506829252663934</v>
      </c>
      <c r="F214">
        <v>-33.71848391402861</v>
      </c>
      <c r="J214">
        <v>1</v>
      </c>
      <c r="P214" t="s">
        <v>581</v>
      </c>
      <c r="Q214" t="s">
        <v>904</v>
      </c>
      <c r="R214" t="s">
        <v>856</v>
      </c>
      <c r="S214" t="s">
        <v>837</v>
      </c>
      <c r="V214">
        <v>0</v>
      </c>
      <c r="W214" s="86" t="s">
        <v>408</v>
      </c>
      <c r="X214" s="86" t="s">
        <v>409</v>
      </c>
      <c r="Y214" s="86" t="s">
        <v>410</v>
      </c>
      <c r="Z214" s="86" t="s">
        <v>411</v>
      </c>
      <c r="AA214" s="86" t="s">
        <v>412</v>
      </c>
      <c r="AB214" s="86" t="s">
        <v>413</v>
      </c>
      <c r="AC214" s="86" t="s">
        <v>126</v>
      </c>
      <c r="AD214" s="86" t="s">
        <v>414</v>
      </c>
      <c r="AE214" s="86" t="s">
        <v>415</v>
      </c>
      <c r="AF214" s="86" t="s">
        <v>416</v>
      </c>
      <c r="AG214" s="86" t="s">
        <v>417</v>
      </c>
      <c r="AH214" s="87" t="s">
        <v>418</v>
      </c>
      <c r="AP214" s="312" t="s">
        <v>576</v>
      </c>
      <c r="AQ214" s="312"/>
      <c r="AR214" s="312"/>
      <c r="AS214" s="312"/>
      <c r="AT214" s="312"/>
      <c r="AU214" s="312"/>
      <c r="AV214" s="312"/>
      <c r="AW214" s="312"/>
      <c r="AX214" s="312"/>
      <c r="AY214" s="312"/>
      <c r="AZ214" s="312"/>
      <c r="BA214" s="312"/>
      <c r="BB214" s="312"/>
      <c r="BC214" s="312"/>
    </row>
    <row r="215" spans="1:55" x14ac:dyDescent="0.45">
      <c r="A215">
        <v>7</v>
      </c>
      <c r="B215" t="s">
        <v>895</v>
      </c>
      <c r="C215" t="s">
        <v>902</v>
      </c>
      <c r="D215" t="s">
        <v>905</v>
      </c>
      <c r="E215">
        <v>-70.557984086686517</v>
      </c>
      <c r="F215">
        <v>-33.591180446931517</v>
      </c>
      <c r="J215">
        <v>1</v>
      </c>
      <c r="P215" t="s">
        <v>581</v>
      </c>
      <c r="Q215" t="s">
        <v>868</v>
      </c>
      <c r="R215" s="193" t="s">
        <v>906</v>
      </c>
      <c r="S215" t="s">
        <v>462</v>
      </c>
      <c r="V215" s="89" t="s">
        <v>679</v>
      </c>
      <c r="W215" s="90">
        <f t="shared" ref="W215:AH215" si="2">ROUND(IF(X97&lt;=$W$209,$W$208+$W$210*(X97-$W$209),IF(X97&gt;=$X$209,$W$208+$W$210*(X97-$W$209),$W$208+$W$210*(X97-$W$209))),$V$214)</f>
        <v>25</v>
      </c>
      <c r="X215" s="90">
        <f t="shared" si="2"/>
        <v>25</v>
      </c>
      <c r="Y215" s="90">
        <f t="shared" si="2"/>
        <v>24</v>
      </c>
      <c r="Z215" s="90">
        <f t="shared" si="2"/>
        <v>23</v>
      </c>
      <c r="AA215" s="90">
        <f t="shared" si="2"/>
        <v>23</v>
      </c>
      <c r="AB215" s="90">
        <f t="shared" si="2"/>
        <v>22</v>
      </c>
      <c r="AC215" s="90">
        <f t="shared" si="2"/>
        <v>22</v>
      </c>
      <c r="AD215" s="90">
        <f t="shared" si="2"/>
        <v>22</v>
      </c>
      <c r="AE215" s="90">
        <f t="shared" si="2"/>
        <v>22</v>
      </c>
      <c r="AF215" s="90">
        <f t="shared" si="2"/>
        <v>23</v>
      </c>
      <c r="AG215" s="90">
        <f t="shared" si="2"/>
        <v>23</v>
      </c>
      <c r="AH215" s="90">
        <f t="shared" si="2"/>
        <v>24</v>
      </c>
    </row>
    <row r="216" spans="1:55" x14ac:dyDescent="0.45">
      <c r="A216">
        <v>7</v>
      </c>
      <c r="B216" t="s">
        <v>895</v>
      </c>
      <c r="C216" t="s">
        <v>902</v>
      </c>
      <c r="D216" t="s">
        <v>907</v>
      </c>
      <c r="E216">
        <v>-70.096792860764779</v>
      </c>
      <c r="F216">
        <v>-33.703840192447075</v>
      </c>
      <c r="J216">
        <v>7</v>
      </c>
      <c r="N216">
        <v>8</v>
      </c>
      <c r="P216" t="s">
        <v>1821</v>
      </c>
      <c r="Q216" t="s">
        <v>870</v>
      </c>
      <c r="R216" t="s">
        <v>790</v>
      </c>
      <c r="S216" t="s">
        <v>884</v>
      </c>
      <c r="V216" s="49" t="s">
        <v>1535</v>
      </c>
      <c r="W216" s="90">
        <f t="shared" ref="W216:AH216" si="3">ROUND(IF(X98&lt;=$W$209,$W$208+$W$210*(X98-$W$209),IF(X98&gt;=$X$209,$W$208+$W$210*(X98-$W$209),$W$208+$W$210*(X98-$W$209))),$V$214)</f>
        <v>27</v>
      </c>
      <c r="X216" s="90">
        <f t="shared" si="3"/>
        <v>27</v>
      </c>
      <c r="Y216" s="90">
        <f t="shared" si="3"/>
        <v>27</v>
      </c>
      <c r="Z216" s="90">
        <f t="shared" si="3"/>
        <v>26</v>
      </c>
      <c r="AA216" s="90">
        <f t="shared" si="3"/>
        <v>25</v>
      </c>
      <c r="AB216" s="90">
        <f t="shared" si="3"/>
        <v>24</v>
      </c>
      <c r="AC216" s="90">
        <f t="shared" si="3"/>
        <v>24</v>
      </c>
      <c r="AD216" s="90">
        <f t="shared" si="3"/>
        <v>24</v>
      </c>
      <c r="AE216" s="90">
        <f t="shared" si="3"/>
        <v>24</v>
      </c>
      <c r="AF216" s="90">
        <f t="shared" si="3"/>
        <v>25</v>
      </c>
      <c r="AG216" s="90">
        <f t="shared" si="3"/>
        <v>25</v>
      </c>
      <c r="AH216" s="90">
        <f t="shared" si="3"/>
        <v>26</v>
      </c>
    </row>
    <row r="217" spans="1:55" x14ac:dyDescent="0.45">
      <c r="A217">
        <v>7</v>
      </c>
      <c r="B217" t="s">
        <v>895</v>
      </c>
      <c r="C217" t="s">
        <v>908</v>
      </c>
      <c r="D217" t="s">
        <v>768</v>
      </c>
      <c r="E217">
        <v>-70.738946217624772</v>
      </c>
      <c r="F217">
        <v>-33.748059364995314</v>
      </c>
      <c r="J217">
        <v>1</v>
      </c>
      <c r="P217" t="s">
        <v>581</v>
      </c>
      <c r="Q217" t="s">
        <v>909</v>
      </c>
      <c r="R217" t="s">
        <v>859</v>
      </c>
      <c r="S217" t="s">
        <v>873</v>
      </c>
      <c r="V217" s="89" t="s">
        <v>84</v>
      </c>
      <c r="W217" s="90">
        <f t="shared" ref="W217:AH217" si="4">ROUND(IF(X99&lt;=$W$209,$W$208+$W$210*(X99-$W$209),IF(X99&gt;=$X$209,$W$208+$W$210*(X99-$W$209),$W$208+$W$210*(X99-$W$209))),$V$214)</f>
        <v>25</v>
      </c>
      <c r="X217" s="90">
        <f t="shared" si="4"/>
        <v>25</v>
      </c>
      <c r="Y217" s="90">
        <f t="shared" si="4"/>
        <v>24</v>
      </c>
      <c r="Z217" s="90">
        <f t="shared" si="4"/>
        <v>23</v>
      </c>
      <c r="AA217" s="90">
        <f t="shared" si="4"/>
        <v>22</v>
      </c>
      <c r="AB217" s="90">
        <f t="shared" si="4"/>
        <v>21</v>
      </c>
      <c r="AC217" s="90">
        <f t="shared" si="4"/>
        <v>21</v>
      </c>
      <c r="AD217" s="90">
        <f t="shared" si="4"/>
        <v>21</v>
      </c>
      <c r="AE217" s="90">
        <f t="shared" si="4"/>
        <v>22</v>
      </c>
      <c r="AF217" s="90">
        <f t="shared" si="4"/>
        <v>22</v>
      </c>
      <c r="AG217" s="90">
        <f t="shared" si="4"/>
        <v>23</v>
      </c>
      <c r="AH217" s="90">
        <f t="shared" si="4"/>
        <v>24</v>
      </c>
    </row>
    <row r="218" spans="1:55" x14ac:dyDescent="0.45">
      <c r="A218">
        <v>7</v>
      </c>
      <c r="B218" t="s">
        <v>895</v>
      </c>
      <c r="C218" t="s">
        <v>908</v>
      </c>
      <c r="D218" t="s">
        <v>792</v>
      </c>
      <c r="E218">
        <v>-70.790233444111962</v>
      </c>
      <c r="F218">
        <v>-33.623251927680585</v>
      </c>
      <c r="J218">
        <v>1</v>
      </c>
      <c r="P218" t="s">
        <v>581</v>
      </c>
      <c r="Q218" t="s">
        <v>910</v>
      </c>
      <c r="R218" t="s">
        <v>861</v>
      </c>
      <c r="S218" t="s">
        <v>474</v>
      </c>
      <c r="V218" s="49" t="s">
        <v>1534</v>
      </c>
      <c r="W218" s="90">
        <f t="shared" ref="W218:AH218" si="5">ROUND(IF(X100&lt;=$W$209,$W$208+$W$210*(X100-$W$209),IF(X100&gt;=$X$209,$W$208+$W$210*(X100-$W$209),$W$208+$W$210*(X100-$W$209))),$V$214)</f>
        <v>23</v>
      </c>
      <c r="X218" s="90">
        <f t="shared" si="5"/>
        <v>22</v>
      </c>
      <c r="Y218" s="90">
        <f t="shared" si="5"/>
        <v>22</v>
      </c>
      <c r="Z218" s="90">
        <f t="shared" si="5"/>
        <v>21</v>
      </c>
      <c r="AA218" s="90">
        <f t="shared" si="5"/>
        <v>20</v>
      </c>
      <c r="AB218" s="90">
        <f t="shared" si="5"/>
        <v>19</v>
      </c>
      <c r="AC218" s="90">
        <f t="shared" si="5"/>
        <v>19</v>
      </c>
      <c r="AD218" s="90">
        <f t="shared" si="5"/>
        <v>20</v>
      </c>
      <c r="AE218" s="90">
        <f t="shared" si="5"/>
        <v>21</v>
      </c>
      <c r="AF218" s="90">
        <f t="shared" si="5"/>
        <v>21</v>
      </c>
      <c r="AG218" s="90">
        <f t="shared" si="5"/>
        <v>22</v>
      </c>
      <c r="AH218" s="90">
        <f t="shared" si="5"/>
        <v>22</v>
      </c>
    </row>
    <row r="219" spans="1:55" x14ac:dyDescent="0.45">
      <c r="A219">
        <v>7</v>
      </c>
      <c r="B219" t="s">
        <v>895</v>
      </c>
      <c r="C219" t="s">
        <v>908</v>
      </c>
      <c r="D219" t="s">
        <v>911</v>
      </c>
      <c r="E219">
        <v>-70.758345159147595</v>
      </c>
      <c r="F219">
        <v>-33.86370544428992</v>
      </c>
      <c r="J219">
        <v>1</v>
      </c>
      <c r="P219" t="s">
        <v>581</v>
      </c>
      <c r="Q219" t="s">
        <v>912</v>
      </c>
      <c r="R219" t="s">
        <v>864</v>
      </c>
      <c r="S219" t="s">
        <v>846</v>
      </c>
      <c r="V219" s="89" t="s">
        <v>682</v>
      </c>
      <c r="W219" s="90">
        <f t="shared" ref="W219:AH219" si="6">ROUND(IF(X101&lt;=$W$209,$W$208+$W$210*(X101-$W$209),IF(X101&gt;=$X$209,$W$208+$W$210*(X101-$W$209),$W$208+$W$210*(X101-$W$209))),$V$214)</f>
        <v>24</v>
      </c>
      <c r="X219" s="90">
        <f t="shared" si="6"/>
        <v>23</v>
      </c>
      <c r="Y219" s="90">
        <f t="shared" si="6"/>
        <v>23</v>
      </c>
      <c r="Z219" s="90">
        <f t="shared" si="6"/>
        <v>22</v>
      </c>
      <c r="AA219" s="90">
        <f t="shared" si="6"/>
        <v>22</v>
      </c>
      <c r="AB219" s="90">
        <f t="shared" si="6"/>
        <v>21</v>
      </c>
      <c r="AC219" s="90">
        <f t="shared" si="6"/>
        <v>21</v>
      </c>
      <c r="AD219" s="90">
        <f t="shared" si="6"/>
        <v>21</v>
      </c>
      <c r="AE219" s="90">
        <f t="shared" si="6"/>
        <v>21</v>
      </c>
      <c r="AF219" s="90">
        <f t="shared" si="6"/>
        <v>22</v>
      </c>
      <c r="AG219" s="90">
        <f t="shared" si="6"/>
        <v>22</v>
      </c>
      <c r="AH219" s="90">
        <f t="shared" si="6"/>
        <v>23</v>
      </c>
    </row>
    <row r="220" spans="1:55" x14ac:dyDescent="0.45">
      <c r="A220">
        <v>7</v>
      </c>
      <c r="B220" t="s">
        <v>895</v>
      </c>
      <c r="C220" t="s">
        <v>908</v>
      </c>
      <c r="D220" t="s">
        <v>913</v>
      </c>
      <c r="E220">
        <v>-70.724179285202439</v>
      </c>
      <c r="F220">
        <v>-33.629267740503437</v>
      </c>
      <c r="J220">
        <v>1</v>
      </c>
      <c r="P220" t="s">
        <v>581</v>
      </c>
      <c r="Q220" t="s">
        <v>914</v>
      </c>
      <c r="R220" t="s">
        <v>857</v>
      </c>
      <c r="S220" t="s">
        <v>469</v>
      </c>
      <c r="V220" s="49" t="s">
        <v>1536</v>
      </c>
      <c r="W220" s="90">
        <f t="shared" ref="W220:AH220" si="7">ROUND(IF(X102&lt;=$W$209,$W$208+$W$210*(X102-$W$209),IF(X102&gt;=$X$209,$W$208+$W$210*(X102-$W$209),$W$208+$W$210*(X102-$W$209))),$V$214)</f>
        <v>24</v>
      </c>
      <c r="X220" s="90">
        <f t="shared" si="7"/>
        <v>24</v>
      </c>
      <c r="Y220" s="90">
        <f t="shared" si="7"/>
        <v>24</v>
      </c>
      <c r="Z220" s="90">
        <f t="shared" si="7"/>
        <v>23</v>
      </c>
      <c r="AA220" s="90">
        <f t="shared" si="7"/>
        <v>23</v>
      </c>
      <c r="AB220" s="90">
        <f t="shared" si="7"/>
        <v>22</v>
      </c>
      <c r="AC220" s="90">
        <f t="shared" si="7"/>
        <v>21</v>
      </c>
      <c r="AD220" s="90">
        <f t="shared" si="7"/>
        <v>21</v>
      </c>
      <c r="AE220" s="90">
        <f t="shared" si="7"/>
        <v>21</v>
      </c>
      <c r="AF220" s="90">
        <f t="shared" si="7"/>
        <v>22</v>
      </c>
      <c r="AG220" s="90">
        <f t="shared" si="7"/>
        <v>22</v>
      </c>
      <c r="AH220" s="90">
        <f t="shared" si="7"/>
        <v>24</v>
      </c>
    </row>
    <row r="221" spans="1:55" x14ac:dyDescent="0.45">
      <c r="A221">
        <v>7</v>
      </c>
      <c r="B221" t="s">
        <v>895</v>
      </c>
      <c r="C221" t="s">
        <v>915</v>
      </c>
      <c r="D221" t="s">
        <v>733</v>
      </c>
      <c r="E221">
        <v>-71.056440228335646</v>
      </c>
      <c r="F221">
        <v>-34.042726838915733</v>
      </c>
      <c r="J221">
        <v>1</v>
      </c>
      <c r="P221" t="s">
        <v>581</v>
      </c>
      <c r="Q221" t="s">
        <v>916</v>
      </c>
      <c r="R221" s="193" t="s">
        <v>917</v>
      </c>
      <c r="S221" t="s">
        <v>856</v>
      </c>
      <c r="V221" s="89" t="s">
        <v>685</v>
      </c>
      <c r="W221" s="90">
        <f t="shared" ref="W221:AH221" si="8">ROUND(IF(X103&lt;=$W$209,$W$208+$W$210*(X103-$W$209),IF(X103&gt;=$X$209,$W$208+$W$210*(X103-$W$209),$W$208+$W$210*(X103-$W$209))),$V$214)</f>
        <v>25</v>
      </c>
      <c r="X221" s="90">
        <f t="shared" si="8"/>
        <v>24</v>
      </c>
      <c r="Y221" s="90">
        <f t="shared" si="8"/>
        <v>23</v>
      </c>
      <c r="Z221" s="90">
        <f t="shared" si="8"/>
        <v>21</v>
      </c>
      <c r="AA221" s="90">
        <f t="shared" si="8"/>
        <v>20</v>
      </c>
      <c r="AB221" s="90">
        <f t="shared" si="8"/>
        <v>19</v>
      </c>
      <c r="AC221" s="90">
        <f t="shared" si="8"/>
        <v>19</v>
      </c>
      <c r="AD221" s="90">
        <f t="shared" si="8"/>
        <v>19</v>
      </c>
      <c r="AE221" s="90">
        <f t="shared" si="8"/>
        <v>20</v>
      </c>
      <c r="AF221" s="90">
        <f t="shared" si="8"/>
        <v>22</v>
      </c>
      <c r="AG221" s="90">
        <f t="shared" si="8"/>
        <v>23</v>
      </c>
      <c r="AH221" s="90">
        <f t="shared" si="8"/>
        <v>24</v>
      </c>
      <c r="AS221" s="46" t="s">
        <v>1661</v>
      </c>
      <c r="AT221" t="s">
        <v>1698</v>
      </c>
      <c r="AU221" t="s">
        <v>1697</v>
      </c>
    </row>
    <row r="222" spans="1:55" x14ac:dyDescent="0.45">
      <c r="A222">
        <v>7</v>
      </c>
      <c r="B222" t="s">
        <v>895</v>
      </c>
      <c r="C222" t="s">
        <v>915</v>
      </c>
      <c r="D222" t="s">
        <v>885</v>
      </c>
      <c r="E222">
        <v>-71.080133609140475</v>
      </c>
      <c r="F222">
        <v>-33.366491017544007</v>
      </c>
      <c r="J222">
        <v>1</v>
      </c>
      <c r="P222" t="s">
        <v>581</v>
      </c>
      <c r="Q222" t="s">
        <v>798</v>
      </c>
      <c r="R222" t="s">
        <v>731</v>
      </c>
      <c r="S222" s="194" t="s">
        <v>949</v>
      </c>
      <c r="V222" t="s">
        <v>686</v>
      </c>
      <c r="W222" s="90">
        <f t="shared" ref="W222:AH222" si="9">ROUND(IF(X104&lt;=$W$209,$W$208+$W$210*(X104-$W$209),IF(X104&gt;=$X$209,$W$208+$W$210*(X104-$W$209),$W$208+$W$210*(X104-$W$209))),$V$214)</f>
        <v>23</v>
      </c>
      <c r="X222" s="90">
        <f t="shared" si="9"/>
        <v>23</v>
      </c>
      <c r="Y222" s="90">
        <f t="shared" si="9"/>
        <v>22</v>
      </c>
      <c r="Z222" s="90">
        <f t="shared" si="9"/>
        <v>21</v>
      </c>
      <c r="AA222" s="90">
        <f t="shared" si="9"/>
        <v>20</v>
      </c>
      <c r="AB222" s="90">
        <f t="shared" si="9"/>
        <v>20</v>
      </c>
      <c r="AC222" s="90">
        <f t="shared" si="9"/>
        <v>19</v>
      </c>
      <c r="AD222" s="90">
        <f t="shared" si="9"/>
        <v>20</v>
      </c>
      <c r="AE222" s="90">
        <f t="shared" si="9"/>
        <v>20</v>
      </c>
      <c r="AF222" s="90">
        <f t="shared" si="9"/>
        <v>21</v>
      </c>
      <c r="AG222" s="90">
        <f t="shared" si="9"/>
        <v>22</v>
      </c>
      <c r="AH222" s="90">
        <f t="shared" si="9"/>
        <v>23</v>
      </c>
      <c r="AS222" t="s">
        <v>125</v>
      </c>
      <c r="AT222" t="b">
        <v>1</v>
      </c>
      <c r="AU222" t="s">
        <v>830</v>
      </c>
    </row>
    <row r="223" spans="1:55" x14ac:dyDescent="0.45">
      <c r="A223">
        <v>7</v>
      </c>
      <c r="B223" t="s">
        <v>895</v>
      </c>
      <c r="C223" t="s">
        <v>915</v>
      </c>
      <c r="D223" t="s">
        <v>918</v>
      </c>
      <c r="E223">
        <v>-71.210395350607115</v>
      </c>
      <c r="F223">
        <v>-33.498079901458915</v>
      </c>
      <c r="J223">
        <v>1</v>
      </c>
      <c r="P223" t="s">
        <v>581</v>
      </c>
      <c r="Q223" t="s">
        <v>919</v>
      </c>
      <c r="R223" t="s">
        <v>806</v>
      </c>
      <c r="S223" s="1" t="s">
        <v>951</v>
      </c>
      <c r="V223" s="89" t="s">
        <v>693</v>
      </c>
      <c r="W223" s="90">
        <f t="shared" ref="W223:AH223" si="10">ROUND(IF(X105&lt;=$W$209,$W$208+$W$210*(X105-$W$209),IF(X105&gt;=$X$209,$W$208+$W$210*(X105-$W$209),$W$208+$W$210*(X105-$W$209))),$V$214)</f>
        <v>23</v>
      </c>
      <c r="X223" s="90">
        <f t="shared" si="10"/>
        <v>23</v>
      </c>
      <c r="Y223" s="90">
        <f t="shared" si="10"/>
        <v>22</v>
      </c>
      <c r="Z223" s="90">
        <f t="shared" si="10"/>
        <v>21</v>
      </c>
      <c r="AA223" s="90">
        <f t="shared" si="10"/>
        <v>20</v>
      </c>
      <c r="AB223" s="90">
        <f t="shared" si="10"/>
        <v>19</v>
      </c>
      <c r="AC223" s="90">
        <f t="shared" si="10"/>
        <v>19</v>
      </c>
      <c r="AD223" s="90">
        <f t="shared" si="10"/>
        <v>19</v>
      </c>
      <c r="AE223" s="90">
        <f t="shared" si="10"/>
        <v>19</v>
      </c>
      <c r="AF223" s="90">
        <f t="shared" si="10"/>
        <v>20</v>
      </c>
      <c r="AG223" s="90">
        <f t="shared" si="10"/>
        <v>21</v>
      </c>
      <c r="AH223" s="90">
        <f t="shared" si="10"/>
        <v>22</v>
      </c>
      <c r="AO223" t="s">
        <v>446</v>
      </c>
      <c r="AS223" t="s">
        <v>573</v>
      </c>
      <c r="AT223" t="b">
        <v>1</v>
      </c>
      <c r="AU223" t="s">
        <v>1678</v>
      </c>
    </row>
    <row r="224" spans="1:55" x14ac:dyDescent="0.45">
      <c r="A224">
        <v>7</v>
      </c>
      <c r="B224" t="s">
        <v>895</v>
      </c>
      <c r="C224" t="s">
        <v>915</v>
      </c>
      <c r="D224" t="s">
        <v>915</v>
      </c>
      <c r="E224">
        <v>-71.193690549166547</v>
      </c>
      <c r="F224">
        <v>-33.743753769352217</v>
      </c>
      <c r="J224">
        <v>1</v>
      </c>
      <c r="P224" t="s">
        <v>581</v>
      </c>
      <c r="Q224" t="s">
        <v>920</v>
      </c>
      <c r="R224" t="s">
        <v>868</v>
      </c>
      <c r="S224" t="s">
        <v>733</v>
      </c>
      <c r="V224" t="s">
        <v>696</v>
      </c>
      <c r="W224" s="90">
        <f t="shared" ref="W224:AH224" si="11">ROUND(IF(X106&lt;=$W$209,$W$208+$W$210*(X106-$W$209),IF(X106&gt;=$X$209,$W$208+$W$210*(X106-$W$209),$W$208+$W$210*(X106-$W$209))),$V$214)</f>
        <v>23</v>
      </c>
      <c r="X224" s="90">
        <f t="shared" si="11"/>
        <v>22</v>
      </c>
      <c r="Y224" s="90">
        <f t="shared" si="11"/>
        <v>21</v>
      </c>
      <c r="Z224" s="90">
        <f t="shared" si="11"/>
        <v>20</v>
      </c>
      <c r="AA224" s="90">
        <f t="shared" si="11"/>
        <v>19</v>
      </c>
      <c r="AB224" s="90">
        <f t="shared" si="11"/>
        <v>18</v>
      </c>
      <c r="AC224" s="90">
        <f t="shared" si="11"/>
        <v>18</v>
      </c>
      <c r="AD224" s="90">
        <f t="shared" si="11"/>
        <v>19</v>
      </c>
      <c r="AE224" s="90">
        <f t="shared" si="11"/>
        <v>19</v>
      </c>
      <c r="AF224" s="90">
        <f t="shared" si="11"/>
        <v>20</v>
      </c>
      <c r="AG224" s="90">
        <f t="shared" si="11"/>
        <v>21</v>
      </c>
      <c r="AH224" s="90">
        <f t="shared" si="11"/>
        <v>22</v>
      </c>
      <c r="AO224" t="s">
        <v>439</v>
      </c>
      <c r="AS224" t="s">
        <v>578</v>
      </c>
      <c r="AT224" t="b">
        <v>1</v>
      </c>
      <c r="AU224" t="s">
        <v>1715</v>
      </c>
    </row>
    <row r="225" spans="1:47" x14ac:dyDescent="0.45">
      <c r="A225">
        <v>7</v>
      </c>
      <c r="B225" t="s">
        <v>895</v>
      </c>
      <c r="C225" t="s">
        <v>915</v>
      </c>
      <c r="D225" t="s">
        <v>921</v>
      </c>
      <c r="E225">
        <v>-71.452670258063179</v>
      </c>
      <c r="F225">
        <v>-33.931775594306416</v>
      </c>
      <c r="J225">
        <v>1</v>
      </c>
      <c r="P225" t="s">
        <v>581</v>
      </c>
      <c r="Q225" t="s">
        <v>922</v>
      </c>
      <c r="R225" t="s">
        <v>870</v>
      </c>
      <c r="S225" t="s">
        <v>768</v>
      </c>
      <c r="V225" s="89" t="s">
        <v>699</v>
      </c>
      <c r="W225" s="90">
        <f t="shared" ref="W225:AH225" si="12">ROUND(IF(X107&lt;=$W$209,$W$208+$W$210*(X107-$W$209),IF(X107&gt;=$X$209,$W$208+$W$210*(X107-$W$209),$W$208+$W$210*(X107-$W$209))),$V$214)</f>
        <v>23</v>
      </c>
      <c r="X225" s="90">
        <f t="shared" si="12"/>
        <v>23</v>
      </c>
      <c r="Y225" s="90">
        <f t="shared" si="12"/>
        <v>22</v>
      </c>
      <c r="Z225" s="90">
        <f t="shared" si="12"/>
        <v>21</v>
      </c>
      <c r="AA225" s="90">
        <f t="shared" si="12"/>
        <v>19</v>
      </c>
      <c r="AB225" s="90">
        <f t="shared" si="12"/>
        <v>18</v>
      </c>
      <c r="AC225" s="90">
        <f t="shared" si="12"/>
        <v>17</v>
      </c>
      <c r="AD225" s="90">
        <f t="shared" si="12"/>
        <v>18</v>
      </c>
      <c r="AE225" s="90">
        <f t="shared" si="12"/>
        <v>19</v>
      </c>
      <c r="AF225" s="90">
        <f t="shared" si="12"/>
        <v>20</v>
      </c>
      <c r="AG225" s="90">
        <f t="shared" si="12"/>
        <v>21</v>
      </c>
      <c r="AH225" s="90">
        <f t="shared" si="12"/>
        <v>22</v>
      </c>
      <c r="AO225" t="s">
        <v>473</v>
      </c>
      <c r="AS225" t="s">
        <v>581</v>
      </c>
      <c r="AT225" t="b">
        <v>1</v>
      </c>
      <c r="AU225" t="s">
        <v>907</v>
      </c>
    </row>
    <row r="226" spans="1:47" x14ac:dyDescent="0.45">
      <c r="A226">
        <v>7</v>
      </c>
      <c r="B226" t="s">
        <v>895</v>
      </c>
      <c r="C226" t="s">
        <v>923</v>
      </c>
      <c r="D226" t="s">
        <v>816</v>
      </c>
      <c r="E226">
        <v>-70.712543501002585</v>
      </c>
      <c r="F226">
        <v>-33.499768952443461</v>
      </c>
      <c r="J226">
        <v>1</v>
      </c>
      <c r="P226" t="s">
        <v>581</v>
      </c>
      <c r="Q226" t="s">
        <v>924</v>
      </c>
      <c r="R226" t="s">
        <v>865</v>
      </c>
      <c r="S226" t="s">
        <v>792</v>
      </c>
      <c r="V226" t="s">
        <v>702</v>
      </c>
      <c r="W226" s="90">
        <f t="shared" ref="W226:AH226" si="13">ROUND(IF(X108&lt;=$W$209,$W$208+$W$210*(X108-$W$209),IF(X108&gt;=$X$209,$W$208+$W$210*(X108-$W$209),$W$208+$W$210*(X108-$W$209))),$V$214)</f>
        <v>20</v>
      </c>
      <c r="X226" s="90">
        <f t="shared" si="13"/>
        <v>20</v>
      </c>
      <c r="Y226" s="90">
        <f t="shared" si="13"/>
        <v>19</v>
      </c>
      <c r="Z226" s="90">
        <f t="shared" si="13"/>
        <v>18</v>
      </c>
      <c r="AA226" s="90">
        <f t="shared" si="13"/>
        <v>17</v>
      </c>
      <c r="AB226" s="90">
        <f t="shared" si="13"/>
        <v>16</v>
      </c>
      <c r="AC226" s="90">
        <f t="shared" si="13"/>
        <v>16</v>
      </c>
      <c r="AD226" s="90">
        <f t="shared" si="13"/>
        <v>16</v>
      </c>
      <c r="AE226" s="90">
        <f t="shared" si="13"/>
        <v>17</v>
      </c>
      <c r="AF226" s="90">
        <f t="shared" si="13"/>
        <v>18</v>
      </c>
      <c r="AG226" s="90">
        <f t="shared" si="13"/>
        <v>19</v>
      </c>
      <c r="AH226" s="90">
        <f t="shared" si="13"/>
        <v>20</v>
      </c>
      <c r="AO226" t="s">
        <v>463</v>
      </c>
      <c r="AS226" t="s">
        <v>584</v>
      </c>
      <c r="AT226" t="b">
        <v>0</v>
      </c>
    </row>
    <row r="227" spans="1:47" x14ac:dyDescent="0.45">
      <c r="A227">
        <v>7</v>
      </c>
      <c r="B227" t="s">
        <v>895</v>
      </c>
      <c r="C227" t="s">
        <v>923</v>
      </c>
      <c r="D227" t="s">
        <v>817</v>
      </c>
      <c r="E227">
        <v>-70.744588647267008</v>
      </c>
      <c r="F227">
        <v>-33.422478908474801</v>
      </c>
      <c r="J227">
        <v>1</v>
      </c>
      <c r="P227" t="s">
        <v>581</v>
      </c>
      <c r="Q227" t="s">
        <v>925</v>
      </c>
      <c r="R227" t="s">
        <v>873</v>
      </c>
      <c r="S227" t="s">
        <v>816</v>
      </c>
      <c r="V227" s="336" t="s">
        <v>1537</v>
      </c>
      <c r="W227" s="90">
        <f t="shared" ref="W227:AH227" si="14">ROUND(IF(X109&lt;=$W$209,$W$208+$W$210*(X109-$W$209),IF(X109&gt;=$X$209,$W$208+$W$210*(X109-$W$209),$W$208+$W$210*(X109-$W$209))),$V$214)</f>
        <v>15</v>
      </c>
      <c r="X227" s="90">
        <f t="shared" si="14"/>
        <v>15</v>
      </c>
      <c r="Y227" s="90">
        <f t="shared" si="14"/>
        <v>14</v>
      </c>
      <c r="Z227" s="90">
        <f t="shared" si="14"/>
        <v>13</v>
      </c>
      <c r="AA227" s="90">
        <f t="shared" si="14"/>
        <v>12</v>
      </c>
      <c r="AB227" s="90">
        <f t="shared" si="14"/>
        <v>11</v>
      </c>
      <c r="AC227" s="90">
        <f t="shared" si="14"/>
        <v>11</v>
      </c>
      <c r="AD227" s="90">
        <f t="shared" si="14"/>
        <v>11</v>
      </c>
      <c r="AE227" s="90">
        <f t="shared" si="14"/>
        <v>12</v>
      </c>
      <c r="AF227" s="90">
        <f t="shared" si="14"/>
        <v>13</v>
      </c>
      <c r="AG227" s="90">
        <f t="shared" si="14"/>
        <v>14</v>
      </c>
      <c r="AH227" s="90">
        <f t="shared" si="14"/>
        <v>15</v>
      </c>
      <c r="AO227" t="s">
        <v>458</v>
      </c>
      <c r="AS227" t="s">
        <v>586</v>
      </c>
      <c r="AT227" t="b">
        <v>0</v>
      </c>
    </row>
    <row r="228" spans="1:47" x14ac:dyDescent="0.45">
      <c r="A228">
        <v>7</v>
      </c>
      <c r="B228" t="s">
        <v>895</v>
      </c>
      <c r="C228" t="s">
        <v>923</v>
      </c>
      <c r="D228" t="s">
        <v>866</v>
      </c>
      <c r="E228">
        <v>-70.676907880803313</v>
      </c>
      <c r="F228">
        <v>-33.3837232152827</v>
      </c>
      <c r="J228">
        <v>1</v>
      </c>
      <c r="P228" t="s">
        <v>581</v>
      </c>
      <c r="Q228" t="s">
        <v>742</v>
      </c>
      <c r="R228" s="193" t="s">
        <v>926</v>
      </c>
      <c r="S228" t="s">
        <v>817</v>
      </c>
      <c r="AO228" t="s">
        <v>449</v>
      </c>
      <c r="AS228" t="s">
        <v>588</v>
      </c>
      <c r="AT228" t="b">
        <v>0</v>
      </c>
    </row>
    <row r="229" spans="1:47" x14ac:dyDescent="0.45">
      <c r="A229">
        <v>7</v>
      </c>
      <c r="B229" t="s">
        <v>895</v>
      </c>
      <c r="C229" t="s">
        <v>923</v>
      </c>
      <c r="D229" t="s">
        <v>899</v>
      </c>
      <c r="E229">
        <v>-70.676356447541764</v>
      </c>
      <c r="F229">
        <v>-33.562894593449414</v>
      </c>
      <c r="J229">
        <v>1</v>
      </c>
      <c r="P229" t="s">
        <v>581</v>
      </c>
      <c r="Q229" t="s">
        <v>927</v>
      </c>
      <c r="R229" t="s">
        <v>813</v>
      </c>
      <c r="S229" t="s">
        <v>858</v>
      </c>
      <c r="AO229" t="s">
        <v>558</v>
      </c>
      <c r="AS229" t="s">
        <v>591</v>
      </c>
      <c r="AT229" t="b">
        <v>1</v>
      </c>
      <c r="AU229" t="s">
        <v>1692</v>
      </c>
    </row>
    <row r="230" spans="1:47" x14ac:dyDescent="0.45">
      <c r="A230">
        <v>7</v>
      </c>
      <c r="B230" t="s">
        <v>895</v>
      </c>
      <c r="C230" t="s">
        <v>923</v>
      </c>
      <c r="D230" t="s">
        <v>912</v>
      </c>
      <c r="E230">
        <v>-70.700992115604578</v>
      </c>
      <c r="F230">
        <v>-33.464459887123986</v>
      </c>
      <c r="J230">
        <v>1</v>
      </c>
      <c r="P230" t="s">
        <v>581</v>
      </c>
      <c r="Q230" t="s">
        <v>928</v>
      </c>
      <c r="R230" t="s">
        <v>877</v>
      </c>
      <c r="S230" t="s">
        <v>866</v>
      </c>
      <c r="AO230" t="s">
        <v>1736</v>
      </c>
      <c r="AS230" t="s">
        <v>594</v>
      </c>
      <c r="AT230" t="b">
        <v>1</v>
      </c>
      <c r="AU230" t="s">
        <v>1696</v>
      </c>
    </row>
    <row r="231" spans="1:47" x14ac:dyDescent="0.45">
      <c r="A231">
        <v>7</v>
      </c>
      <c r="B231" t="s">
        <v>895</v>
      </c>
      <c r="C231" t="s">
        <v>923</v>
      </c>
      <c r="D231" t="s">
        <v>929</v>
      </c>
      <c r="E231">
        <v>-70.638211663104514</v>
      </c>
      <c r="F231">
        <v>-33.360386538436714</v>
      </c>
      <c r="J231">
        <v>1</v>
      </c>
      <c r="P231" t="s">
        <v>581</v>
      </c>
      <c r="Q231" t="s">
        <v>930</v>
      </c>
      <c r="R231" t="s">
        <v>880</v>
      </c>
      <c r="S231" t="s">
        <v>885</v>
      </c>
      <c r="W231" s="91"/>
      <c r="X231" s="91"/>
      <c r="Y231" s="91"/>
      <c r="Z231" s="91"/>
      <c r="AA231" s="91"/>
      <c r="AB231" s="91"/>
      <c r="AC231" s="91"/>
      <c r="AD231" s="91"/>
      <c r="AE231" s="91"/>
      <c r="AF231" s="91"/>
      <c r="AG231" s="91"/>
      <c r="AH231" s="91"/>
      <c r="AO231" t="s">
        <v>516</v>
      </c>
      <c r="AS231" t="s">
        <v>1699</v>
      </c>
      <c r="AT231" t="b">
        <v>0</v>
      </c>
    </row>
    <row r="232" spans="1:47" x14ac:dyDescent="0.45">
      <c r="A232">
        <v>7</v>
      </c>
      <c r="B232" t="s">
        <v>895</v>
      </c>
      <c r="C232" t="s">
        <v>923</v>
      </c>
      <c r="D232" t="s">
        <v>931</v>
      </c>
      <c r="E232">
        <v>-70.665290230718128</v>
      </c>
      <c r="F232">
        <v>-33.41486650489307</v>
      </c>
      <c r="J232">
        <v>1</v>
      </c>
      <c r="P232" t="s">
        <v>581</v>
      </c>
      <c r="Q232" t="s">
        <v>859</v>
      </c>
      <c r="R232" t="s">
        <v>881</v>
      </c>
      <c r="S232" t="s">
        <v>899</v>
      </c>
      <c r="W232" s="91"/>
      <c r="X232" s="91"/>
      <c r="Y232" s="91"/>
      <c r="Z232" s="91"/>
      <c r="AA232" s="91"/>
      <c r="AB232" s="91"/>
      <c r="AC232" s="91"/>
      <c r="AD232" s="91"/>
      <c r="AE232" s="91"/>
      <c r="AF232" s="91"/>
      <c r="AG232" s="91"/>
      <c r="AH232" s="91"/>
      <c r="AO232" t="s">
        <v>537</v>
      </c>
    </row>
    <row r="233" spans="1:47" x14ac:dyDescent="0.45">
      <c r="A233">
        <v>7</v>
      </c>
      <c r="B233" t="s">
        <v>895</v>
      </c>
      <c r="C233" t="s">
        <v>923</v>
      </c>
      <c r="D233" t="s">
        <v>932</v>
      </c>
      <c r="E233">
        <v>-70.664152470919987</v>
      </c>
      <c r="F233">
        <v>-33.530350683572053</v>
      </c>
      <c r="J233">
        <v>1</v>
      </c>
      <c r="P233" t="s">
        <v>581</v>
      </c>
      <c r="Q233" t="s">
        <v>933</v>
      </c>
      <c r="R233" t="s">
        <v>462</v>
      </c>
      <c r="S233" t="s">
        <v>904</v>
      </c>
      <c r="W233" s="6"/>
      <c r="X233" s="6"/>
      <c r="Y233" s="6"/>
      <c r="Z233" s="6"/>
      <c r="AA233" s="6"/>
      <c r="AB233" s="6"/>
      <c r="AC233" s="6"/>
      <c r="AD233" s="6"/>
      <c r="AE233" s="6"/>
      <c r="AF233" s="6"/>
      <c r="AG233" s="6"/>
      <c r="AH233" s="6"/>
      <c r="AO233" t="s">
        <v>555</v>
      </c>
    </row>
    <row r="234" spans="1:47" x14ac:dyDescent="0.45">
      <c r="A234">
        <v>7</v>
      </c>
      <c r="B234" t="s">
        <v>895</v>
      </c>
      <c r="C234" t="s">
        <v>923</v>
      </c>
      <c r="D234" t="s">
        <v>934</v>
      </c>
      <c r="E234">
        <v>-70.53998405101369</v>
      </c>
      <c r="F234">
        <v>-33.528422103043169</v>
      </c>
      <c r="J234">
        <v>1</v>
      </c>
      <c r="P234" t="s">
        <v>581</v>
      </c>
      <c r="Q234" t="s">
        <v>935</v>
      </c>
      <c r="R234" t="s">
        <v>884</v>
      </c>
      <c r="S234" t="s">
        <v>912</v>
      </c>
      <c r="W234" s="6"/>
      <c r="X234" s="6"/>
      <c r="Y234" s="6"/>
      <c r="Z234" s="6"/>
      <c r="AA234" s="6"/>
      <c r="AB234" s="6"/>
      <c r="AC234" s="6"/>
      <c r="AD234" s="6"/>
      <c r="AE234" s="6"/>
      <c r="AF234" s="6"/>
      <c r="AG234" s="6"/>
      <c r="AH234" s="6"/>
      <c r="AO234" t="s">
        <v>551</v>
      </c>
      <c r="AS234" s="89" t="s">
        <v>1723</v>
      </c>
      <c r="AT234" t="s">
        <v>1717</v>
      </c>
    </row>
    <row r="235" spans="1:47" x14ac:dyDescent="0.45">
      <c r="A235">
        <v>7</v>
      </c>
      <c r="B235" t="s">
        <v>895</v>
      </c>
      <c r="C235" t="s">
        <v>923</v>
      </c>
      <c r="D235" t="s">
        <v>936</v>
      </c>
      <c r="E235">
        <v>-70.622762532862296</v>
      </c>
      <c r="F235">
        <v>-33.535652645217702</v>
      </c>
      <c r="J235">
        <v>1</v>
      </c>
      <c r="P235" t="s">
        <v>581</v>
      </c>
      <c r="Q235" t="s">
        <v>937</v>
      </c>
      <c r="R235" s="193" t="s">
        <v>938</v>
      </c>
      <c r="S235" t="s">
        <v>929</v>
      </c>
      <c r="W235" s="6"/>
      <c r="X235" s="6"/>
      <c r="Y235" s="6"/>
      <c r="Z235" s="6"/>
      <c r="AA235" s="6"/>
      <c r="AB235" s="6"/>
      <c r="AC235" s="6"/>
      <c r="AD235" s="6"/>
      <c r="AE235" s="6"/>
      <c r="AF235" s="6"/>
      <c r="AG235" s="6"/>
      <c r="AH235" s="6"/>
      <c r="AO235" t="s">
        <v>563</v>
      </c>
      <c r="AS235" t="s">
        <v>1724</v>
      </c>
      <c r="AT235" t="s">
        <v>829</v>
      </c>
    </row>
    <row r="236" spans="1:47" x14ac:dyDescent="0.45">
      <c r="A236">
        <v>7</v>
      </c>
      <c r="B236" t="s">
        <v>895</v>
      </c>
      <c r="C236" t="s">
        <v>923</v>
      </c>
      <c r="D236" t="s">
        <v>939</v>
      </c>
      <c r="E236">
        <v>-70.637247406574588</v>
      </c>
      <c r="F236">
        <v>-33.587640782586163</v>
      </c>
      <c r="J236">
        <v>1</v>
      </c>
      <c r="P236" t="s">
        <v>581</v>
      </c>
      <c r="Q236" t="s">
        <v>940</v>
      </c>
      <c r="R236" t="s">
        <v>808</v>
      </c>
      <c r="S236" t="s">
        <v>931</v>
      </c>
      <c r="W236" s="6"/>
      <c r="X236" s="6"/>
      <c r="Y236" s="6"/>
      <c r="Z236" s="6"/>
      <c r="AA236" s="6"/>
      <c r="AB236" s="6"/>
      <c r="AC236" s="6"/>
      <c r="AD236" s="6"/>
      <c r="AE236" s="6"/>
      <c r="AF236" s="6"/>
      <c r="AG236" s="6"/>
      <c r="AH236" s="6"/>
      <c r="AO236" t="s">
        <v>560</v>
      </c>
      <c r="AS236" t="s">
        <v>1725</v>
      </c>
      <c r="AT236" t="s">
        <v>1718</v>
      </c>
    </row>
    <row r="237" spans="1:47" x14ac:dyDescent="0.45">
      <c r="A237">
        <v>7</v>
      </c>
      <c r="B237" t="s">
        <v>895</v>
      </c>
      <c r="C237" t="s">
        <v>923</v>
      </c>
      <c r="D237" t="s">
        <v>941</v>
      </c>
      <c r="E237">
        <v>-70.536902551330883</v>
      </c>
      <c r="F237">
        <v>-33.447294875129195</v>
      </c>
      <c r="J237">
        <v>1</v>
      </c>
      <c r="P237" t="s">
        <v>581</v>
      </c>
      <c r="Q237" t="s">
        <v>756</v>
      </c>
      <c r="R237" t="s">
        <v>867</v>
      </c>
      <c r="S237" t="s">
        <v>948</v>
      </c>
      <c r="W237" s="6"/>
      <c r="X237" s="6"/>
      <c r="Y237" s="6"/>
      <c r="Z237" s="6"/>
      <c r="AA237" s="6"/>
      <c r="AB237" s="6"/>
      <c r="AC237" s="6"/>
      <c r="AD237" s="6"/>
      <c r="AE237" s="6"/>
      <c r="AF237" s="6"/>
      <c r="AG237" s="6"/>
      <c r="AH237" s="6"/>
      <c r="AO237" t="s">
        <v>526</v>
      </c>
      <c r="AS237" t="s">
        <v>1726</v>
      </c>
      <c r="AT237" t="s">
        <v>1678</v>
      </c>
    </row>
    <row r="238" spans="1:47" x14ac:dyDescent="0.45">
      <c r="A238">
        <v>7</v>
      </c>
      <c r="B238" t="s">
        <v>895</v>
      </c>
      <c r="C238" t="s">
        <v>923</v>
      </c>
      <c r="D238" t="s">
        <v>942</v>
      </c>
      <c r="E238">
        <v>-70.501318499671001</v>
      </c>
      <c r="F238">
        <v>-33.421252524971294</v>
      </c>
      <c r="J238">
        <v>1</v>
      </c>
      <c r="P238" t="s">
        <v>581</v>
      </c>
      <c r="Q238" t="s">
        <v>796</v>
      </c>
      <c r="R238" t="s">
        <v>889</v>
      </c>
      <c r="S238" t="s">
        <v>932</v>
      </c>
      <c r="W238" s="6"/>
      <c r="X238" s="6"/>
      <c r="Y238" s="6"/>
      <c r="Z238" s="6"/>
      <c r="AA238" s="6"/>
      <c r="AB238" s="6"/>
      <c r="AC238" s="6"/>
      <c r="AD238" s="6"/>
      <c r="AE238" s="6"/>
      <c r="AF238" s="6"/>
      <c r="AG238" s="6"/>
      <c r="AH238" s="6"/>
      <c r="AO238" t="s">
        <v>572</v>
      </c>
      <c r="AS238" s="89" t="s">
        <v>1727</v>
      </c>
      <c r="AT238" t="s">
        <v>1719</v>
      </c>
    </row>
    <row r="239" spans="1:47" x14ac:dyDescent="0.45">
      <c r="A239">
        <v>7</v>
      </c>
      <c r="B239" t="s">
        <v>895</v>
      </c>
      <c r="C239" t="s">
        <v>923</v>
      </c>
      <c r="D239" t="s">
        <v>943</v>
      </c>
      <c r="E239">
        <v>-70.368617411360901</v>
      </c>
      <c r="F239">
        <v>-33.299284043215685</v>
      </c>
      <c r="J239">
        <v>7</v>
      </c>
      <c r="N239">
        <v>8</v>
      </c>
      <c r="P239" t="s">
        <v>1821</v>
      </c>
      <c r="Q239" t="s">
        <v>929</v>
      </c>
      <c r="R239" t="s">
        <v>891</v>
      </c>
      <c r="S239" t="s">
        <v>934</v>
      </c>
      <c r="W239" s="6"/>
      <c r="X239" s="6"/>
      <c r="Y239" s="6"/>
      <c r="Z239" s="6"/>
      <c r="AA239" s="6"/>
      <c r="AB239" s="6"/>
      <c r="AC239" s="6"/>
      <c r="AD239" s="6"/>
      <c r="AE239" s="6"/>
      <c r="AF239" s="6"/>
      <c r="AG239" s="6"/>
      <c r="AH239" s="6"/>
      <c r="AO239" t="s">
        <v>621</v>
      </c>
      <c r="AS239" t="s">
        <v>1728</v>
      </c>
      <c r="AT239" s="89" t="s">
        <v>1715</v>
      </c>
    </row>
    <row r="240" spans="1:47" x14ac:dyDescent="0.45">
      <c r="A240">
        <v>7</v>
      </c>
      <c r="B240" t="s">
        <v>895</v>
      </c>
      <c r="C240" t="s">
        <v>923</v>
      </c>
      <c r="D240" t="s">
        <v>944</v>
      </c>
      <c r="E240">
        <v>-70.690010902654635</v>
      </c>
      <c r="F240">
        <v>-33.520630656103712</v>
      </c>
      <c r="J240">
        <v>1</v>
      </c>
      <c r="P240" t="s">
        <v>581</v>
      </c>
      <c r="Q240" t="s">
        <v>805</v>
      </c>
      <c r="R240" t="s">
        <v>472</v>
      </c>
      <c r="S240" t="s">
        <v>936</v>
      </c>
      <c r="W240" s="6"/>
      <c r="X240" s="6"/>
      <c r="Y240" s="6"/>
      <c r="Z240" s="6"/>
      <c r="AA240" s="6"/>
      <c r="AB240" s="6"/>
      <c r="AC240" s="6"/>
      <c r="AD240" s="6"/>
      <c r="AE240" s="6"/>
      <c r="AF240" s="6"/>
      <c r="AG240" s="6"/>
      <c r="AH240" s="6"/>
      <c r="AO240" t="s">
        <v>622</v>
      </c>
      <c r="AS240" t="s">
        <v>1729</v>
      </c>
      <c r="AT240" t="s">
        <v>1720</v>
      </c>
    </row>
    <row r="241" spans="1:46" x14ac:dyDescent="0.45">
      <c r="A241">
        <v>7</v>
      </c>
      <c r="B241" t="s">
        <v>895</v>
      </c>
      <c r="C241" t="s">
        <v>923</v>
      </c>
      <c r="D241" t="s">
        <v>945</v>
      </c>
      <c r="E241">
        <v>-70.72321159786469</v>
      </c>
      <c r="F241">
        <v>-33.447099700845087</v>
      </c>
      <c r="J241">
        <v>1</v>
      </c>
      <c r="P241" t="s">
        <v>581</v>
      </c>
      <c r="Q241" t="s">
        <v>931</v>
      </c>
      <c r="R241" t="s">
        <v>474</v>
      </c>
      <c r="S241" t="s">
        <v>939</v>
      </c>
      <c r="W241" s="6"/>
      <c r="X241" s="6"/>
      <c r="Y241" s="6"/>
      <c r="Z241" s="6"/>
      <c r="AA241" s="6"/>
      <c r="AB241" s="6"/>
      <c r="AC241" s="6"/>
      <c r="AD241" s="6"/>
      <c r="AE241" s="6"/>
      <c r="AF241" s="6"/>
      <c r="AG241" s="6"/>
      <c r="AH241" s="6"/>
      <c r="AO241" t="s">
        <v>577</v>
      </c>
      <c r="AS241" t="s">
        <v>1730</v>
      </c>
      <c r="AT241" t="s">
        <v>907</v>
      </c>
    </row>
    <row r="242" spans="1:46" x14ac:dyDescent="0.45">
      <c r="A242">
        <v>7</v>
      </c>
      <c r="B242" t="s">
        <v>895</v>
      </c>
      <c r="C242" t="s">
        <v>923</v>
      </c>
      <c r="D242" t="s">
        <v>946</v>
      </c>
      <c r="E242">
        <v>-70.600312596604681</v>
      </c>
      <c r="F242">
        <v>-33.489618114401203</v>
      </c>
      <c r="J242">
        <v>1</v>
      </c>
      <c r="P242" t="s">
        <v>581</v>
      </c>
      <c r="Q242" t="s">
        <v>434</v>
      </c>
      <c r="R242" t="s">
        <v>469</v>
      </c>
      <c r="S242" t="s">
        <v>941</v>
      </c>
      <c r="W242" s="6"/>
      <c r="X242" s="6"/>
      <c r="Y242" s="6"/>
      <c r="Z242" s="6"/>
      <c r="AA242" s="6"/>
      <c r="AB242" s="6"/>
      <c r="AC242" s="6"/>
      <c r="AD242" s="6"/>
      <c r="AE242" s="6"/>
      <c r="AF242" s="6"/>
      <c r="AG242" s="6"/>
      <c r="AH242" s="6"/>
      <c r="AO242" t="s">
        <v>619</v>
      </c>
      <c r="AS242" s="89" t="s">
        <v>584</v>
      </c>
      <c r="AT242" t="s">
        <v>1716</v>
      </c>
    </row>
    <row r="243" spans="1:46" x14ac:dyDescent="0.45">
      <c r="A243">
        <v>7</v>
      </c>
      <c r="B243" t="s">
        <v>895</v>
      </c>
      <c r="C243" t="s">
        <v>923</v>
      </c>
      <c r="D243" t="s">
        <v>947</v>
      </c>
      <c r="E243">
        <v>-70.809762714593234</v>
      </c>
      <c r="F243">
        <v>-33.506980744088708</v>
      </c>
      <c r="J243">
        <v>1</v>
      </c>
      <c r="P243" t="s">
        <v>581</v>
      </c>
      <c r="Q243" t="s">
        <v>948</v>
      </c>
      <c r="R243" s="194" t="s">
        <v>949</v>
      </c>
      <c r="S243" t="s">
        <v>898</v>
      </c>
      <c r="W243" s="6"/>
      <c r="X243" s="6"/>
      <c r="Y243" s="6"/>
      <c r="Z243" s="6"/>
      <c r="AA243" s="6"/>
      <c r="AB243" s="6"/>
      <c r="AC243" s="6"/>
      <c r="AD243" s="6"/>
      <c r="AE243" s="6"/>
      <c r="AF243" s="6"/>
      <c r="AG243" s="6"/>
      <c r="AH243" s="6"/>
      <c r="AO243" t="s">
        <v>627</v>
      </c>
      <c r="AS243" t="s">
        <v>586</v>
      </c>
      <c r="AT243" t="s">
        <v>1716</v>
      </c>
    </row>
    <row r="244" spans="1:46" x14ac:dyDescent="0.45">
      <c r="A244">
        <v>7</v>
      </c>
      <c r="B244" t="s">
        <v>895</v>
      </c>
      <c r="C244" t="s">
        <v>923</v>
      </c>
      <c r="D244" t="s">
        <v>950</v>
      </c>
      <c r="E244">
        <v>-70.599130592734213</v>
      </c>
      <c r="F244">
        <v>-33.458096368957428</v>
      </c>
      <c r="J244">
        <v>1</v>
      </c>
      <c r="P244" t="s">
        <v>581</v>
      </c>
      <c r="Q244" t="s">
        <v>830</v>
      </c>
      <c r="R244" s="1" t="s">
        <v>951</v>
      </c>
      <c r="S244" t="s">
        <v>942</v>
      </c>
      <c r="W244" s="6"/>
      <c r="X244" s="6"/>
      <c r="Y244" s="6"/>
      <c r="Z244" s="6"/>
      <c r="AA244" s="6"/>
      <c r="AB244" s="6"/>
      <c r="AC244" s="6"/>
      <c r="AD244" s="6"/>
      <c r="AE244" s="6"/>
      <c r="AF244" s="6"/>
      <c r="AG244" s="6"/>
      <c r="AH244" s="6"/>
      <c r="AO244" t="s">
        <v>636</v>
      </c>
      <c r="AS244" s="89" t="s">
        <v>588</v>
      </c>
      <c r="AT244" t="s">
        <v>1716</v>
      </c>
    </row>
    <row r="245" spans="1:46" x14ac:dyDescent="0.45">
      <c r="A245">
        <v>7</v>
      </c>
      <c r="B245" t="s">
        <v>895</v>
      </c>
      <c r="C245" t="s">
        <v>923</v>
      </c>
      <c r="D245" t="s">
        <v>952</v>
      </c>
      <c r="E245">
        <v>-70.675651037552498</v>
      </c>
      <c r="F245">
        <v>-33.491742347384744</v>
      </c>
      <c r="J245">
        <v>1</v>
      </c>
      <c r="P245" t="s">
        <v>581</v>
      </c>
      <c r="Q245" t="s">
        <v>889</v>
      </c>
      <c r="R245" s="195" t="s">
        <v>953</v>
      </c>
      <c r="S245" t="s">
        <v>943</v>
      </c>
      <c r="W245" s="6"/>
      <c r="X245" s="6"/>
      <c r="Y245" s="6"/>
      <c r="Z245" s="6"/>
      <c r="AA245" s="6"/>
      <c r="AB245" s="6"/>
      <c r="AC245" s="6"/>
      <c r="AD245" s="6"/>
      <c r="AE245" s="6"/>
      <c r="AF245" s="6"/>
      <c r="AG245" s="6"/>
      <c r="AH245" s="6"/>
      <c r="AO245" t="s">
        <v>660</v>
      </c>
      <c r="AS245" t="s">
        <v>1731</v>
      </c>
      <c r="AT245" t="s">
        <v>1721</v>
      </c>
    </row>
    <row r="246" spans="1:46" x14ac:dyDescent="0.45">
      <c r="A246">
        <v>7</v>
      </c>
      <c r="B246" t="s">
        <v>895</v>
      </c>
      <c r="C246" t="s">
        <v>923</v>
      </c>
      <c r="D246" t="s">
        <v>954</v>
      </c>
      <c r="E246">
        <v>-70.525500868574028</v>
      </c>
      <c r="F246">
        <v>-33.485466451999535</v>
      </c>
      <c r="J246">
        <v>1</v>
      </c>
      <c r="P246" t="s">
        <v>581</v>
      </c>
      <c r="Q246" t="s">
        <v>932</v>
      </c>
      <c r="R246" t="s">
        <v>858</v>
      </c>
      <c r="S246" t="s">
        <v>944</v>
      </c>
      <c r="AO246" t="s">
        <v>647</v>
      </c>
      <c r="AS246" s="89" t="s">
        <v>1732</v>
      </c>
      <c r="AT246" t="s">
        <v>1692</v>
      </c>
    </row>
    <row r="247" spans="1:46" x14ac:dyDescent="0.45">
      <c r="A247">
        <v>7</v>
      </c>
      <c r="B247" t="s">
        <v>895</v>
      </c>
      <c r="C247" t="s">
        <v>923</v>
      </c>
      <c r="D247" t="s">
        <v>955</v>
      </c>
      <c r="E247">
        <v>-70.61243800621321</v>
      </c>
      <c r="F247">
        <v>-33.43185201065377</v>
      </c>
      <c r="J247">
        <v>1</v>
      </c>
      <c r="P247" t="s">
        <v>581</v>
      </c>
      <c r="Q247" t="s">
        <v>861</v>
      </c>
      <c r="R247" t="s">
        <v>898</v>
      </c>
      <c r="S247" t="s">
        <v>945</v>
      </c>
      <c r="AO247" t="s">
        <v>656</v>
      </c>
      <c r="AS247" s="89" t="s">
        <v>1733</v>
      </c>
      <c r="AT247" t="s">
        <v>1722</v>
      </c>
    </row>
    <row r="248" spans="1:46" x14ac:dyDescent="0.45">
      <c r="A248">
        <v>7</v>
      </c>
      <c r="B248" t="s">
        <v>895</v>
      </c>
      <c r="C248" t="s">
        <v>923</v>
      </c>
      <c r="D248" t="s">
        <v>956</v>
      </c>
      <c r="E248">
        <v>-70.854832532832788</v>
      </c>
      <c r="F248">
        <v>-33.424080323837487</v>
      </c>
      <c r="J248">
        <v>1</v>
      </c>
      <c r="P248" t="s">
        <v>581</v>
      </c>
      <c r="Q248" t="s">
        <v>957</v>
      </c>
      <c r="R248" t="s">
        <v>900</v>
      </c>
      <c r="S248" t="s">
        <v>946</v>
      </c>
      <c r="AO248" t="s">
        <v>653</v>
      </c>
      <c r="AS248" s="89" t="s">
        <v>1734</v>
      </c>
      <c r="AT248" s="89" t="s">
        <v>1696</v>
      </c>
    </row>
    <row r="249" spans="1:46" x14ac:dyDescent="0.45">
      <c r="A249">
        <v>7</v>
      </c>
      <c r="B249" t="s">
        <v>895</v>
      </c>
      <c r="C249" t="s">
        <v>923</v>
      </c>
      <c r="D249" t="s">
        <v>958</v>
      </c>
      <c r="E249">
        <v>-70.735421068853299</v>
      </c>
      <c r="F249">
        <v>-33.355710759886165</v>
      </c>
      <c r="J249">
        <v>1</v>
      </c>
      <c r="P249" t="s">
        <v>581</v>
      </c>
      <c r="Q249" t="s">
        <v>934</v>
      </c>
      <c r="R249" s="193" t="s">
        <v>959</v>
      </c>
      <c r="S249" t="s">
        <v>947</v>
      </c>
      <c r="AO249" t="s">
        <v>1737</v>
      </c>
      <c r="AS249" s="312" t="s">
        <v>1699</v>
      </c>
      <c r="AT249" t="s">
        <v>1716</v>
      </c>
    </row>
    <row r="250" spans="1:46" x14ac:dyDescent="0.45">
      <c r="A250">
        <v>7</v>
      </c>
      <c r="B250" t="s">
        <v>895</v>
      </c>
      <c r="C250" t="s">
        <v>923</v>
      </c>
      <c r="D250" t="s">
        <v>960</v>
      </c>
      <c r="E250">
        <v>-70.701374163960381</v>
      </c>
      <c r="F250">
        <v>-33.427831905391855</v>
      </c>
      <c r="J250">
        <v>1</v>
      </c>
      <c r="P250" t="s">
        <v>581</v>
      </c>
      <c r="Q250" t="s">
        <v>936</v>
      </c>
      <c r="R250" t="s">
        <v>903</v>
      </c>
      <c r="S250" t="s">
        <v>918</v>
      </c>
    </row>
    <row r="251" spans="1:46" x14ac:dyDescent="0.45">
      <c r="A251">
        <v>7</v>
      </c>
      <c r="B251" t="s">
        <v>895</v>
      </c>
      <c r="C251" t="s">
        <v>923</v>
      </c>
      <c r="D251" t="s">
        <v>961</v>
      </c>
      <c r="E251">
        <v>-70.639590510507929</v>
      </c>
      <c r="F251">
        <v>-33.405793782049031</v>
      </c>
      <c r="J251">
        <v>1</v>
      </c>
      <c r="P251" t="s">
        <v>581</v>
      </c>
      <c r="Q251" t="s">
        <v>815</v>
      </c>
      <c r="R251" t="s">
        <v>905</v>
      </c>
      <c r="S251" t="s">
        <v>915</v>
      </c>
      <c r="V251" t="s">
        <v>1753</v>
      </c>
      <c r="W251" t="s">
        <v>1661</v>
      </c>
      <c r="X251" t="s">
        <v>1662</v>
      </c>
      <c r="Y251" t="s">
        <v>1663</v>
      </c>
      <c r="Z251" t="s">
        <v>1664</v>
      </c>
      <c r="AA251" t="s">
        <v>1735</v>
      </c>
      <c r="AB251" t="s">
        <v>1665</v>
      </c>
      <c r="AC251" t="s">
        <v>1666</v>
      </c>
    </row>
    <row r="252" spans="1:46" x14ac:dyDescent="0.45">
      <c r="A252">
        <v>7</v>
      </c>
      <c r="B252" t="s">
        <v>895</v>
      </c>
      <c r="C252" t="s">
        <v>923</v>
      </c>
      <c r="D252" t="s">
        <v>962</v>
      </c>
      <c r="E252">
        <v>-70.727931365548457</v>
      </c>
      <c r="F252">
        <v>-33.401916265084409</v>
      </c>
      <c r="J252">
        <v>1</v>
      </c>
      <c r="P252" t="s">
        <v>581</v>
      </c>
      <c r="Q252" t="s">
        <v>851</v>
      </c>
      <c r="R252" t="s">
        <v>907</v>
      </c>
      <c r="S252" t="s">
        <v>950</v>
      </c>
      <c r="V252" t="str">
        <f>condiciones_comuna[[#This Row],[Zona Térmica]]&amp;" - "&amp;condiciones_comuna[[#This Row],[Comuna / localidad]]</f>
        <v>Zona A - Todas las comunas excepto Isla de Pascua</v>
      </c>
      <c r="W252" t="s">
        <v>1738</v>
      </c>
      <c r="X252" t="s">
        <v>1670</v>
      </c>
      <c r="Y252" t="s">
        <v>1248</v>
      </c>
      <c r="Z252" t="s">
        <v>1248</v>
      </c>
      <c r="AA252" t="s">
        <v>446</v>
      </c>
      <c r="AB252">
        <v>10.3</v>
      </c>
      <c r="AC252">
        <v>0.73</v>
      </c>
    </row>
    <row r="253" spans="1:46" x14ac:dyDescent="0.45">
      <c r="A253">
        <v>7</v>
      </c>
      <c r="B253" t="s">
        <v>895</v>
      </c>
      <c r="C253" t="s">
        <v>923</v>
      </c>
      <c r="D253" t="s">
        <v>963</v>
      </c>
      <c r="E253">
        <v>-70.628710918362415</v>
      </c>
      <c r="F253">
        <v>-33.496237168198668</v>
      </c>
      <c r="J253">
        <v>1</v>
      </c>
      <c r="P253" t="s">
        <v>581</v>
      </c>
      <c r="Q253" t="s">
        <v>939</v>
      </c>
      <c r="R253" s="193" t="s">
        <v>964</v>
      </c>
      <c r="S253" t="s">
        <v>974</v>
      </c>
      <c r="V253" t="str">
        <f>condiciones_comuna[[#This Row],[Zona Térmica]]&amp;" - "&amp;condiciones_comuna[[#This Row],[Comuna / localidad]]</f>
        <v>Zona A - Alto Hospicio</v>
      </c>
      <c r="W253" t="s">
        <v>1738</v>
      </c>
      <c r="X253" t="s">
        <v>747</v>
      </c>
      <c r="Y253" t="s">
        <v>1248</v>
      </c>
      <c r="Z253" t="s">
        <v>1248</v>
      </c>
      <c r="AA253" s="49" t="s">
        <v>439</v>
      </c>
      <c r="AB253">
        <v>12.4</v>
      </c>
      <c r="AC253">
        <v>0.69</v>
      </c>
    </row>
    <row r="254" spans="1:46" x14ac:dyDescent="0.45">
      <c r="A254">
        <v>7</v>
      </c>
      <c r="B254" t="s">
        <v>895</v>
      </c>
      <c r="C254" t="s">
        <v>923</v>
      </c>
      <c r="D254" t="s">
        <v>965</v>
      </c>
      <c r="E254">
        <v>-70.65177098641837</v>
      </c>
      <c r="F254">
        <v>-33.499286602897676</v>
      </c>
      <c r="J254">
        <v>1</v>
      </c>
      <c r="P254" t="s">
        <v>581</v>
      </c>
      <c r="Q254" t="s">
        <v>941</v>
      </c>
      <c r="R254" t="s">
        <v>768</v>
      </c>
      <c r="S254" t="s">
        <v>911</v>
      </c>
      <c r="V254" t="str">
        <f>condiciones_comuna[[#This Row],[Zona Térmica]]&amp;" - "&amp;condiciones_comuna[[#This Row],[Comuna / localidad]]</f>
        <v>Zona A - Antofagasta</v>
      </c>
      <c r="W254" t="s">
        <v>1738</v>
      </c>
      <c r="X254" t="s">
        <v>441</v>
      </c>
      <c r="Y254" t="s">
        <v>1667</v>
      </c>
      <c r="Z254" t="s">
        <v>1248</v>
      </c>
      <c r="AA254" t="s">
        <v>446</v>
      </c>
      <c r="AB254">
        <v>10.3</v>
      </c>
      <c r="AC254">
        <v>0.73</v>
      </c>
    </row>
    <row r="255" spans="1:46" x14ac:dyDescent="0.45">
      <c r="A255">
        <v>7</v>
      </c>
      <c r="B255" t="s">
        <v>895</v>
      </c>
      <c r="C255" t="s">
        <v>923</v>
      </c>
      <c r="D255" t="s">
        <v>966</v>
      </c>
      <c r="E255">
        <v>-70.642574469040326</v>
      </c>
      <c r="F255">
        <v>-33.540648961197164</v>
      </c>
      <c r="J255">
        <v>1</v>
      </c>
      <c r="P255" t="s">
        <v>581</v>
      </c>
      <c r="Q255" t="s">
        <v>454</v>
      </c>
      <c r="R255" t="s">
        <v>792</v>
      </c>
      <c r="S255" t="s">
        <v>952</v>
      </c>
      <c r="V255" t="str">
        <f>condiciones_comuna[[#This Row],[Zona Térmica]]&amp;" - "&amp;condiciones_comuna[[#This Row],[Comuna / localidad]]</f>
        <v>Zona A - Arica</v>
      </c>
      <c r="W255" t="s">
        <v>1738</v>
      </c>
      <c r="X255" t="s">
        <v>429</v>
      </c>
      <c r="Y255" t="s">
        <v>1248</v>
      </c>
      <c r="Z255" t="s">
        <v>1668</v>
      </c>
      <c r="AA255" s="49" t="s">
        <v>439</v>
      </c>
      <c r="AB255">
        <v>13.6</v>
      </c>
      <c r="AC255">
        <v>0.73</v>
      </c>
    </row>
    <row r="256" spans="1:46" x14ac:dyDescent="0.45">
      <c r="A256">
        <v>7</v>
      </c>
      <c r="B256" t="s">
        <v>895</v>
      </c>
      <c r="C256" t="s">
        <v>923</v>
      </c>
      <c r="D256" t="s">
        <v>923</v>
      </c>
      <c r="E256">
        <v>-70.656953107221341</v>
      </c>
      <c r="F256">
        <v>-33.453747640110038</v>
      </c>
      <c r="J256">
        <v>1</v>
      </c>
      <c r="P256" t="s">
        <v>581</v>
      </c>
      <c r="Q256" t="s">
        <v>967</v>
      </c>
      <c r="R256" t="s">
        <v>911</v>
      </c>
      <c r="S256" t="s">
        <v>976</v>
      </c>
      <c r="V256" t="str">
        <f>condiciones_comuna[[#This Row],[Zona Térmica]]&amp;" - "&amp;condiciones_comuna[[#This Row],[Comuna / localidad]]</f>
        <v>Zona A - Caldera</v>
      </c>
      <c r="W256" t="s">
        <v>1738</v>
      </c>
      <c r="X256" t="s">
        <v>788</v>
      </c>
      <c r="Y256" t="s">
        <v>1248</v>
      </c>
      <c r="Z256" t="s">
        <v>1248</v>
      </c>
      <c r="AA256" t="s">
        <v>446</v>
      </c>
      <c r="AB256">
        <v>10.3</v>
      </c>
      <c r="AC256">
        <v>0.73</v>
      </c>
    </row>
    <row r="257" spans="1:29" x14ac:dyDescent="0.45">
      <c r="A257">
        <v>7</v>
      </c>
      <c r="B257" t="s">
        <v>895</v>
      </c>
      <c r="C257" t="s">
        <v>923</v>
      </c>
      <c r="D257" t="s">
        <v>968</v>
      </c>
      <c r="E257">
        <v>-70.573128482445668</v>
      </c>
      <c r="F257">
        <v>-33.379544962913158</v>
      </c>
      <c r="J257">
        <v>1</v>
      </c>
      <c r="P257" t="s">
        <v>581</v>
      </c>
      <c r="Q257" t="s">
        <v>969</v>
      </c>
      <c r="R257" t="s">
        <v>913</v>
      </c>
      <c r="S257" t="s">
        <v>954</v>
      </c>
      <c r="V257" t="str">
        <f>condiciones_comuna[[#This Row],[Zona Térmica]]&amp;" - "&amp;condiciones_comuna[[#This Row],[Comuna / localidad]]</f>
        <v>Zona A - Camarones</v>
      </c>
      <c r="W257" t="s">
        <v>1738</v>
      </c>
      <c r="X257" t="s">
        <v>732</v>
      </c>
      <c r="Y257" t="s">
        <v>1248</v>
      </c>
      <c r="Z257" t="s">
        <v>1668</v>
      </c>
      <c r="AA257" s="49" t="s">
        <v>439</v>
      </c>
      <c r="AB257">
        <v>13.6</v>
      </c>
      <c r="AC257">
        <v>0.73</v>
      </c>
    </row>
    <row r="258" spans="1:29" x14ac:dyDescent="0.45">
      <c r="A258">
        <v>7</v>
      </c>
      <c r="B258" t="s">
        <v>895</v>
      </c>
      <c r="C258" t="s">
        <v>970</v>
      </c>
      <c r="D258" t="s">
        <v>904</v>
      </c>
      <c r="E258">
        <v>-71.033539028539835</v>
      </c>
      <c r="F258">
        <v>-33.66787610975949</v>
      </c>
      <c r="J258">
        <v>1</v>
      </c>
      <c r="P258" t="s">
        <v>581</v>
      </c>
      <c r="Q258" t="s">
        <v>971</v>
      </c>
      <c r="R258" s="193" t="s">
        <v>972</v>
      </c>
      <c r="S258" t="s">
        <v>903</v>
      </c>
      <c r="V258" t="str">
        <f>condiciones_comuna[[#This Row],[Zona Térmica]]&amp;" - "&amp;condiciones_comuna[[#This Row],[Comuna / localidad]]</f>
        <v>Zona A - Chañaral</v>
      </c>
      <c r="W258" t="s">
        <v>1738</v>
      </c>
      <c r="X258" t="s">
        <v>783</v>
      </c>
      <c r="Y258" t="s">
        <v>1248</v>
      </c>
      <c r="Z258" t="s">
        <v>1248</v>
      </c>
      <c r="AA258" t="s">
        <v>446</v>
      </c>
      <c r="AB258">
        <v>10.3</v>
      </c>
      <c r="AC258">
        <v>0.73</v>
      </c>
    </row>
    <row r="259" spans="1:29" x14ac:dyDescent="0.45">
      <c r="A259">
        <v>7</v>
      </c>
      <c r="B259" t="s">
        <v>895</v>
      </c>
      <c r="C259" t="s">
        <v>970</v>
      </c>
      <c r="D259" t="s">
        <v>948</v>
      </c>
      <c r="E259">
        <v>-70.94590632539429</v>
      </c>
      <c r="F259">
        <v>-33.748721060086659</v>
      </c>
      <c r="J259">
        <v>1</v>
      </c>
      <c r="P259" t="s">
        <v>581</v>
      </c>
      <c r="Q259" t="s">
        <v>973</v>
      </c>
      <c r="R259" t="s">
        <v>733</v>
      </c>
      <c r="S259" t="s">
        <v>955</v>
      </c>
      <c r="V259" t="str">
        <f>condiciones_comuna[[#This Row],[Zona Térmica]]&amp;" - "&amp;condiciones_comuna[[#This Row],[Comuna / localidad]]</f>
        <v>Zona A - Copiapó</v>
      </c>
      <c r="W259" t="s">
        <v>1738</v>
      </c>
      <c r="X259" t="s">
        <v>448</v>
      </c>
      <c r="Y259" t="s">
        <v>1669</v>
      </c>
      <c r="Z259" t="s">
        <v>1248</v>
      </c>
      <c r="AA259" t="s">
        <v>446</v>
      </c>
      <c r="AB259">
        <v>10.3</v>
      </c>
      <c r="AC259">
        <v>0.73</v>
      </c>
    </row>
    <row r="260" spans="1:29" x14ac:dyDescent="0.45">
      <c r="A260">
        <v>7</v>
      </c>
      <c r="B260" t="s">
        <v>895</v>
      </c>
      <c r="C260" t="s">
        <v>970</v>
      </c>
      <c r="D260" t="s">
        <v>974</v>
      </c>
      <c r="E260">
        <v>-70.871004492209281</v>
      </c>
      <c r="F260">
        <v>-33.557534831611591</v>
      </c>
      <c r="J260">
        <v>1</v>
      </c>
      <c r="P260" t="s">
        <v>581</v>
      </c>
      <c r="Q260" t="s">
        <v>975</v>
      </c>
      <c r="R260" t="s">
        <v>885</v>
      </c>
      <c r="S260" t="s">
        <v>956</v>
      </c>
      <c r="V260" t="str">
        <f>condiciones_comuna[[#This Row],[Zona Térmica]]&amp;" - "&amp;condiciones_comuna[[#This Row],[Comuna / localidad]]</f>
        <v>Zona A - Freirina</v>
      </c>
      <c r="W260" t="s">
        <v>1738</v>
      </c>
      <c r="X260" t="s">
        <v>798</v>
      </c>
      <c r="Y260" t="s">
        <v>1248</v>
      </c>
      <c r="Z260" t="s">
        <v>1248</v>
      </c>
      <c r="AA260" t="s">
        <v>446</v>
      </c>
      <c r="AB260">
        <v>10.3</v>
      </c>
      <c r="AC260">
        <v>0.73</v>
      </c>
    </row>
    <row r="261" spans="1:29" x14ac:dyDescent="0.45">
      <c r="A261">
        <v>7</v>
      </c>
      <c r="B261" t="s">
        <v>895</v>
      </c>
      <c r="C261" t="s">
        <v>970</v>
      </c>
      <c r="D261" t="s">
        <v>976</v>
      </c>
      <c r="E261">
        <v>-70.893747733190693</v>
      </c>
      <c r="F261">
        <v>-33.611060062039989</v>
      </c>
      <c r="J261">
        <v>1</v>
      </c>
      <c r="P261" t="s">
        <v>581</v>
      </c>
      <c r="Q261" t="s">
        <v>898</v>
      </c>
      <c r="R261" t="s">
        <v>918</v>
      </c>
      <c r="S261" t="s">
        <v>905</v>
      </c>
      <c r="V261" t="str">
        <f>condiciones_comuna[[#This Row],[Zona Térmica]]&amp;" - "&amp;condiciones_comuna[[#This Row],[Comuna / localidad]]</f>
        <v>Zona A - Huara</v>
      </c>
      <c r="W261" t="s">
        <v>1738</v>
      </c>
      <c r="X261" t="s">
        <v>756</v>
      </c>
      <c r="Y261" t="s">
        <v>1248</v>
      </c>
      <c r="Z261" t="s">
        <v>1668</v>
      </c>
      <c r="AA261" s="49" t="s">
        <v>439</v>
      </c>
      <c r="AB261">
        <v>12.4</v>
      </c>
      <c r="AC261">
        <v>0.69</v>
      </c>
    </row>
    <row r="262" spans="1:29" x14ac:dyDescent="0.45">
      <c r="A262">
        <v>7</v>
      </c>
      <c r="B262" t="s">
        <v>895</v>
      </c>
      <c r="C262" t="s">
        <v>970</v>
      </c>
      <c r="D262" t="s">
        <v>970</v>
      </c>
      <c r="E262">
        <v>-70.895453307789651</v>
      </c>
      <c r="F262">
        <v>-33.682001797653598</v>
      </c>
      <c r="J262">
        <v>1</v>
      </c>
      <c r="P262" t="s">
        <v>581</v>
      </c>
      <c r="Q262" t="s">
        <v>977</v>
      </c>
      <c r="R262" t="s">
        <v>915</v>
      </c>
      <c r="S262" t="s">
        <v>958</v>
      </c>
      <c r="V262" t="str">
        <f>condiciones_comuna[[#This Row],[Zona Térmica]]&amp;" - "&amp;condiciones_comuna[[#This Row],[Comuna / localidad]]</f>
        <v>Zona A - Huasco</v>
      </c>
      <c r="W262" t="s">
        <v>1738</v>
      </c>
      <c r="X262" t="s">
        <v>796</v>
      </c>
      <c r="Y262" t="s">
        <v>1248</v>
      </c>
      <c r="Z262" t="s">
        <v>1248</v>
      </c>
      <c r="AA262" t="s">
        <v>446</v>
      </c>
      <c r="AB262">
        <v>10.3</v>
      </c>
      <c r="AC262">
        <v>0.73</v>
      </c>
    </row>
    <row r="263" spans="1:29" x14ac:dyDescent="0.45">
      <c r="A263">
        <v>8</v>
      </c>
      <c r="B263" t="s">
        <v>978</v>
      </c>
      <c r="C263" t="s">
        <v>979</v>
      </c>
      <c r="D263" t="s">
        <v>847</v>
      </c>
      <c r="E263">
        <v>-70.547151663062664</v>
      </c>
      <c r="F263">
        <v>-34.057073793555851</v>
      </c>
      <c r="J263">
        <v>5</v>
      </c>
      <c r="N263">
        <v>6</v>
      </c>
      <c r="P263" t="s">
        <v>1821</v>
      </c>
      <c r="Q263" t="s">
        <v>980</v>
      </c>
      <c r="R263" t="s">
        <v>921</v>
      </c>
      <c r="S263" t="s">
        <v>960</v>
      </c>
      <c r="V263" t="str">
        <f>condiciones_comuna[[#This Row],[Zona Térmica]]&amp;" - "&amp;condiciones_comuna[[#This Row],[Comuna / localidad]]</f>
        <v>Zona A - Iquique</v>
      </c>
      <c r="W263" t="s">
        <v>1738</v>
      </c>
      <c r="X263" t="s">
        <v>434</v>
      </c>
      <c r="Y263" t="s">
        <v>1248</v>
      </c>
      <c r="Z263" t="s">
        <v>1248</v>
      </c>
      <c r="AA263" s="49" t="s">
        <v>439</v>
      </c>
      <c r="AB263">
        <v>12.4</v>
      </c>
      <c r="AC263">
        <v>0.69</v>
      </c>
    </row>
    <row r="264" spans="1:29" x14ac:dyDescent="0.45">
      <c r="A264">
        <v>8</v>
      </c>
      <c r="B264" t="s">
        <v>978</v>
      </c>
      <c r="C264" t="s">
        <v>979</v>
      </c>
      <c r="D264" t="s">
        <v>854</v>
      </c>
      <c r="E264">
        <v>-70.971114351370318</v>
      </c>
      <c r="F264">
        <v>-34.282282924322836</v>
      </c>
      <c r="J264">
        <v>1</v>
      </c>
      <c r="P264" t="s">
        <v>581</v>
      </c>
      <c r="Q264" t="s">
        <v>942</v>
      </c>
      <c r="R264" s="193" t="s">
        <v>981</v>
      </c>
      <c r="S264" t="s">
        <v>961</v>
      </c>
      <c r="V264" t="str">
        <f>condiciones_comuna[[#This Row],[Zona Térmica]]&amp;" - "&amp;condiciones_comuna[[#This Row],[Comuna / localidad]]</f>
        <v>Zona A - Mejillones</v>
      </c>
      <c r="W264" t="s">
        <v>1738</v>
      </c>
      <c r="X264" t="s">
        <v>763</v>
      </c>
      <c r="Y264" t="s">
        <v>1248</v>
      </c>
      <c r="Z264" t="s">
        <v>1248</v>
      </c>
      <c r="AA264" t="s">
        <v>446</v>
      </c>
      <c r="AB264">
        <v>10.3</v>
      </c>
      <c r="AC264">
        <v>0.73</v>
      </c>
    </row>
    <row r="265" spans="1:29" x14ac:dyDescent="0.45">
      <c r="A265">
        <v>8</v>
      </c>
      <c r="B265" t="s">
        <v>978</v>
      </c>
      <c r="C265" t="s">
        <v>979</v>
      </c>
      <c r="D265" t="s">
        <v>862</v>
      </c>
      <c r="E265">
        <v>-71.077474049341731</v>
      </c>
      <c r="F265">
        <v>-34.259652428581084</v>
      </c>
      <c r="J265">
        <v>1</v>
      </c>
      <c r="P265" t="s">
        <v>581</v>
      </c>
      <c r="Q265" t="s">
        <v>982</v>
      </c>
      <c r="R265" t="s">
        <v>816</v>
      </c>
      <c r="S265" t="s">
        <v>962</v>
      </c>
      <c r="V265" t="str">
        <f>condiciones_comuna[[#This Row],[Zona Térmica]]&amp;" - "&amp;condiciones_comuna[[#This Row],[Comuna / localidad]]</f>
        <v>Zona A - Taltal</v>
      </c>
      <c r="W265" t="s">
        <v>1738</v>
      </c>
      <c r="X265" t="s">
        <v>767</v>
      </c>
      <c r="Y265" t="s">
        <v>1667</v>
      </c>
      <c r="Z265" t="s">
        <v>1248</v>
      </c>
      <c r="AA265" t="s">
        <v>446</v>
      </c>
      <c r="AB265">
        <v>10.3</v>
      </c>
      <c r="AC265">
        <v>0.73</v>
      </c>
    </row>
    <row r="266" spans="1:29" x14ac:dyDescent="0.45">
      <c r="A266">
        <v>8</v>
      </c>
      <c r="B266" t="s">
        <v>978</v>
      </c>
      <c r="C266" t="s">
        <v>979</v>
      </c>
      <c r="D266" t="s">
        <v>897</v>
      </c>
      <c r="E266">
        <v>-70.923380224699329</v>
      </c>
      <c r="F266">
        <v>-34.196652839501454</v>
      </c>
      <c r="J266">
        <v>1</v>
      </c>
      <c r="P266" t="s">
        <v>581</v>
      </c>
      <c r="Q266" t="s">
        <v>983</v>
      </c>
      <c r="R266" t="s">
        <v>817</v>
      </c>
      <c r="S266" t="s">
        <v>913</v>
      </c>
      <c r="V266" t="str">
        <f>condiciones_comuna[[#This Row],[Zona Térmica]]&amp;" - "&amp;condiciones_comuna[[#This Row],[Comuna / localidad]]</f>
        <v>Zona A - Tocopilla</v>
      </c>
      <c r="W266" t="s">
        <v>1738</v>
      </c>
      <c r="X266" t="s">
        <v>776</v>
      </c>
      <c r="Y266" t="s">
        <v>1248</v>
      </c>
      <c r="Z266" t="s">
        <v>1248</v>
      </c>
      <c r="AA266" s="49" t="s">
        <v>439</v>
      </c>
      <c r="AB266">
        <v>12.4</v>
      </c>
      <c r="AC266">
        <v>0.69</v>
      </c>
    </row>
    <row r="267" spans="1:29" x14ac:dyDescent="0.45">
      <c r="A267">
        <v>8</v>
      </c>
      <c r="B267" t="s">
        <v>978</v>
      </c>
      <c r="C267" t="s">
        <v>979</v>
      </c>
      <c r="D267" t="s">
        <v>928</v>
      </c>
      <c r="E267">
        <v>-70.747055800172177</v>
      </c>
      <c r="F267">
        <v>-34.065639012084837</v>
      </c>
      <c r="J267">
        <v>1</v>
      </c>
      <c r="P267" t="s">
        <v>581</v>
      </c>
      <c r="Q267" t="s">
        <v>984</v>
      </c>
      <c r="R267" t="s">
        <v>866</v>
      </c>
      <c r="S267" t="s">
        <v>963</v>
      </c>
      <c r="V267" t="str">
        <f>condiciones_comuna[[#This Row],[Zona Térmica]]&amp;" - "&amp;condiciones_comuna[[#This Row],[Comuna / localidad]]</f>
        <v>Zona A - Isla de Pascua</v>
      </c>
      <c r="W267" t="s">
        <v>1738</v>
      </c>
      <c r="X267" t="s">
        <v>830</v>
      </c>
      <c r="Y267" t="s">
        <v>1248</v>
      </c>
      <c r="Z267" t="s">
        <v>1248</v>
      </c>
      <c r="AA267" t="s">
        <v>473</v>
      </c>
      <c r="AB267">
        <v>16</v>
      </c>
      <c r="AC267">
        <v>0.85</v>
      </c>
    </row>
    <row r="268" spans="1:29" x14ac:dyDescent="0.45">
      <c r="A268">
        <v>8</v>
      </c>
      <c r="B268" t="s">
        <v>978</v>
      </c>
      <c r="C268" t="s">
        <v>979</v>
      </c>
      <c r="D268" t="s">
        <v>980</v>
      </c>
      <c r="E268">
        <v>-71.332773129163542</v>
      </c>
      <c r="F268">
        <v>-34.164700911915027</v>
      </c>
      <c r="J268">
        <v>1</v>
      </c>
      <c r="P268" t="s">
        <v>581</v>
      </c>
      <c r="Q268" t="s">
        <v>841</v>
      </c>
      <c r="R268" t="s">
        <v>899</v>
      </c>
      <c r="S268" t="s">
        <v>907</v>
      </c>
      <c r="V268" t="str">
        <f>condiciones_comuna[[#This Row],[Zona Térmica]]&amp;" - "&amp;condiciones_comuna[[#This Row],[Comuna / localidad]]</f>
        <v>Zona B - Todas las comunas excepto Calama, María Elena, San Pedro de Atacama y Sierra Gorda</v>
      </c>
      <c r="W268" t="s">
        <v>1739</v>
      </c>
      <c r="X268" t="s">
        <v>1679</v>
      </c>
      <c r="Y268" t="s">
        <v>1248</v>
      </c>
      <c r="Z268" t="s">
        <v>1248</v>
      </c>
      <c r="AA268" s="139" t="s">
        <v>463</v>
      </c>
      <c r="AB268">
        <v>6.9</v>
      </c>
      <c r="AC268">
        <v>0.85</v>
      </c>
    </row>
    <row r="269" spans="1:29" x14ac:dyDescent="0.45">
      <c r="A269">
        <v>8</v>
      </c>
      <c r="B269" t="s">
        <v>978</v>
      </c>
      <c r="C269" t="s">
        <v>979</v>
      </c>
      <c r="D269" t="s">
        <v>985</v>
      </c>
      <c r="E269">
        <v>-70.319298975286372</v>
      </c>
      <c r="F269">
        <v>-34.320407229269222</v>
      </c>
      <c r="J269">
        <v>5</v>
      </c>
      <c r="N269">
        <v>6</v>
      </c>
      <c r="P269" t="s">
        <v>1821</v>
      </c>
      <c r="Q269" t="s">
        <v>544</v>
      </c>
      <c r="R269" t="s">
        <v>912</v>
      </c>
      <c r="S269" t="s">
        <v>965</v>
      </c>
      <c r="V269" t="str">
        <f>condiciones_comuna[[#This Row],[Zona Térmica]]&amp;" - "&amp;condiciones_comuna[[#This Row],[Comuna / localidad]]</f>
        <v>Zona B - Alto del Carmen</v>
      </c>
      <c r="W269" t="s">
        <v>1739</v>
      </c>
      <c r="X269" t="s">
        <v>745</v>
      </c>
      <c r="Y269" t="s">
        <v>1248</v>
      </c>
      <c r="Z269" t="s">
        <v>1671</v>
      </c>
      <c r="AA269" t="s">
        <v>458</v>
      </c>
      <c r="AB269">
        <v>7.8</v>
      </c>
      <c r="AC269">
        <v>0.76</v>
      </c>
    </row>
    <row r="270" spans="1:29" x14ac:dyDescent="0.45">
      <c r="A270">
        <v>8</v>
      </c>
      <c r="B270" t="s">
        <v>978</v>
      </c>
      <c r="C270" t="s">
        <v>979</v>
      </c>
      <c r="D270" t="s">
        <v>986</v>
      </c>
      <c r="E270">
        <v>-70.872914951822509</v>
      </c>
      <c r="F270">
        <v>-34.476499466454129</v>
      </c>
      <c r="J270">
        <v>5</v>
      </c>
      <c r="N270">
        <v>6</v>
      </c>
      <c r="P270" t="s">
        <v>1821</v>
      </c>
      <c r="Q270" t="s">
        <v>987</v>
      </c>
      <c r="R270" t="s">
        <v>929</v>
      </c>
      <c r="S270" t="s">
        <v>921</v>
      </c>
      <c r="V270" t="str">
        <f>condiciones_comuna[[#This Row],[Zona Térmica]]&amp;" - "&amp;condiciones_comuna[[#This Row],[Comuna / localidad]]</f>
        <v>Zona B - Andacollo</v>
      </c>
      <c r="W270" t="s">
        <v>1739</v>
      </c>
      <c r="X270" t="s">
        <v>752</v>
      </c>
      <c r="Y270" t="s">
        <v>1248</v>
      </c>
      <c r="Z270" t="s">
        <v>1248</v>
      </c>
      <c r="AA270" t="s">
        <v>458</v>
      </c>
      <c r="AB270">
        <v>7.8</v>
      </c>
      <c r="AC270">
        <v>0.76</v>
      </c>
    </row>
    <row r="271" spans="1:29" x14ac:dyDescent="0.45">
      <c r="A271">
        <v>8</v>
      </c>
      <c r="B271" t="s">
        <v>978</v>
      </c>
      <c r="C271" t="s">
        <v>979</v>
      </c>
      <c r="D271" t="s">
        <v>988</v>
      </c>
      <c r="E271">
        <v>-70.568808156604234</v>
      </c>
      <c r="F271">
        <v>-33.955738606611789</v>
      </c>
      <c r="J271">
        <v>5</v>
      </c>
      <c r="N271">
        <v>6</v>
      </c>
      <c r="P271" t="s">
        <v>1821</v>
      </c>
      <c r="Q271" t="s">
        <v>877</v>
      </c>
      <c r="R271" t="s">
        <v>931</v>
      </c>
      <c r="S271" t="s">
        <v>966</v>
      </c>
      <c r="V271" t="str">
        <f>condiciones_comuna[[#This Row],[Zona Térmica]]&amp;" - "&amp;condiciones_comuna[[#This Row],[Comuna / localidad]]</f>
        <v>Zona B - Antofagasta</v>
      </c>
      <c r="W271" t="s">
        <v>1739</v>
      </c>
      <c r="X271" t="s">
        <v>441</v>
      </c>
      <c r="Y271" t="s">
        <v>1672</v>
      </c>
      <c r="Z271" t="s">
        <v>1671</v>
      </c>
      <c r="AA271" t="s">
        <v>458</v>
      </c>
      <c r="AB271">
        <v>7.8</v>
      </c>
      <c r="AC271">
        <v>0.76</v>
      </c>
    </row>
    <row r="272" spans="1:29" x14ac:dyDescent="0.45">
      <c r="A272">
        <v>8</v>
      </c>
      <c r="B272" t="s">
        <v>978</v>
      </c>
      <c r="C272" t="s">
        <v>979</v>
      </c>
      <c r="D272" t="s">
        <v>989</v>
      </c>
      <c r="E272">
        <v>-70.820686199434164</v>
      </c>
      <c r="F272">
        <v>-34.211520365198474</v>
      </c>
      <c r="J272">
        <v>1</v>
      </c>
      <c r="P272" t="s">
        <v>581</v>
      </c>
      <c r="Q272" t="s">
        <v>990</v>
      </c>
      <c r="R272" t="s">
        <v>932</v>
      </c>
      <c r="S272" t="s">
        <v>923</v>
      </c>
      <c r="V272" t="str">
        <f>condiciones_comuna[[#This Row],[Zona Térmica]]&amp;" - "&amp;condiciones_comuna[[#This Row],[Comuna / localidad]]</f>
        <v>Zona B - Arica</v>
      </c>
      <c r="W272" t="s">
        <v>1739</v>
      </c>
      <c r="X272" t="s">
        <v>429</v>
      </c>
      <c r="Y272" t="s">
        <v>1248</v>
      </c>
      <c r="Z272" t="s">
        <v>1673</v>
      </c>
      <c r="AA272" t="s">
        <v>458</v>
      </c>
      <c r="AB272">
        <v>7.8</v>
      </c>
      <c r="AC272">
        <v>0.76</v>
      </c>
    </row>
    <row r="273" spans="1:29" x14ac:dyDescent="0.45">
      <c r="A273">
        <v>8</v>
      </c>
      <c r="B273" t="s">
        <v>978</v>
      </c>
      <c r="C273" t="s">
        <v>979</v>
      </c>
      <c r="D273" t="s">
        <v>991</v>
      </c>
      <c r="E273">
        <v>-71.221826261772364</v>
      </c>
      <c r="F273">
        <v>-34.329094509175917</v>
      </c>
      <c r="J273">
        <v>1</v>
      </c>
      <c r="P273" t="s">
        <v>581</v>
      </c>
      <c r="Q273" t="s">
        <v>943</v>
      </c>
      <c r="R273" t="s">
        <v>934</v>
      </c>
      <c r="S273" t="s">
        <v>970</v>
      </c>
      <c r="V273" t="str">
        <f>condiciones_comuna[[#This Row],[Zona Térmica]]&amp;" - "&amp;condiciones_comuna[[#This Row],[Comuna / localidad]]</f>
        <v>Zona B - Calama</v>
      </c>
      <c r="W273" t="s">
        <v>1739</v>
      </c>
      <c r="X273" t="s">
        <v>87</v>
      </c>
      <c r="Y273" t="s">
        <v>1248</v>
      </c>
      <c r="Z273" t="s">
        <v>1671</v>
      </c>
      <c r="AA273" t="s">
        <v>449</v>
      </c>
      <c r="AB273">
        <v>0.4</v>
      </c>
      <c r="AC273">
        <v>0.27</v>
      </c>
    </row>
    <row r="274" spans="1:29" x14ac:dyDescent="0.45">
      <c r="A274">
        <v>8</v>
      </c>
      <c r="B274" t="s">
        <v>978</v>
      </c>
      <c r="C274" t="s">
        <v>979</v>
      </c>
      <c r="D274" t="s">
        <v>992</v>
      </c>
      <c r="E274">
        <v>-71.339093627740823</v>
      </c>
      <c r="F274">
        <v>-34.371176579003716</v>
      </c>
      <c r="J274">
        <v>1</v>
      </c>
      <c r="P274" t="s">
        <v>581</v>
      </c>
      <c r="Q274" t="s">
        <v>944</v>
      </c>
      <c r="R274" t="s">
        <v>936</v>
      </c>
      <c r="S274" t="s">
        <v>900</v>
      </c>
      <c r="V274" t="str">
        <f>condiciones_comuna[[#This Row],[Zona Térmica]]&amp;" - "&amp;condiciones_comuna[[#This Row],[Comuna / localidad]]</f>
        <v>Zona B - Camarones</v>
      </c>
      <c r="W274" t="s">
        <v>1739</v>
      </c>
      <c r="X274" t="s">
        <v>732</v>
      </c>
      <c r="Y274" t="s">
        <v>1248</v>
      </c>
      <c r="Z274" t="s">
        <v>1673</v>
      </c>
      <c r="AA274" t="s">
        <v>458</v>
      </c>
      <c r="AB274">
        <v>7.8</v>
      </c>
      <c r="AC274">
        <v>0.76</v>
      </c>
    </row>
    <row r="275" spans="1:29" x14ac:dyDescent="0.45">
      <c r="A275">
        <v>8</v>
      </c>
      <c r="B275" t="s">
        <v>978</v>
      </c>
      <c r="C275" t="s">
        <v>979</v>
      </c>
      <c r="D275" t="s">
        <v>993</v>
      </c>
      <c r="E275">
        <v>-70.998062150579941</v>
      </c>
      <c r="F275">
        <v>-34.359225378111134</v>
      </c>
      <c r="J275">
        <v>1</v>
      </c>
      <c r="P275" t="s">
        <v>581</v>
      </c>
      <c r="Q275" t="s">
        <v>945</v>
      </c>
      <c r="R275" t="s">
        <v>939</v>
      </c>
      <c r="S275" t="s">
        <v>968</v>
      </c>
      <c r="V275" t="str">
        <f>condiciones_comuna[[#This Row],[Zona Térmica]]&amp;" - "&amp;condiciones_comuna[[#This Row],[Comuna / localidad]]</f>
        <v>Zona B - Camiña</v>
      </c>
      <c r="W275" t="s">
        <v>1739</v>
      </c>
      <c r="X275" t="s">
        <v>751</v>
      </c>
      <c r="Y275" t="s">
        <v>1248</v>
      </c>
      <c r="Z275" t="s">
        <v>1673</v>
      </c>
      <c r="AA275" t="s">
        <v>458</v>
      </c>
      <c r="AB275">
        <v>7.8</v>
      </c>
      <c r="AC275">
        <v>0.76</v>
      </c>
    </row>
    <row r="276" spans="1:29" x14ac:dyDescent="0.45">
      <c r="A276">
        <v>8</v>
      </c>
      <c r="B276" t="s">
        <v>978</v>
      </c>
      <c r="C276" t="s">
        <v>979</v>
      </c>
      <c r="D276" t="s">
        <v>994</v>
      </c>
      <c r="E276">
        <v>-70.816687371736222</v>
      </c>
      <c r="F276">
        <v>-34.125756008470333</v>
      </c>
      <c r="J276">
        <v>1</v>
      </c>
      <c r="P276" t="s">
        <v>581</v>
      </c>
      <c r="Q276" t="s">
        <v>995</v>
      </c>
      <c r="R276" t="s">
        <v>941</v>
      </c>
      <c r="S276" s="194" t="s">
        <v>1030</v>
      </c>
      <c r="V276" t="str">
        <f>condiciones_comuna[[#This Row],[Zona Térmica]]&amp;" - "&amp;condiciones_comuna[[#This Row],[Comuna / localidad]]</f>
        <v>Zona B - Combarbalá</v>
      </c>
      <c r="W276" t="s">
        <v>1739</v>
      </c>
      <c r="X276" t="s">
        <v>822</v>
      </c>
      <c r="Y276" t="s">
        <v>1248</v>
      </c>
      <c r="Z276" t="s">
        <v>1674</v>
      </c>
      <c r="AA276" t="s">
        <v>458</v>
      </c>
      <c r="AB276">
        <v>7.8</v>
      </c>
      <c r="AC276">
        <v>0.76</v>
      </c>
    </row>
    <row r="277" spans="1:29" x14ac:dyDescent="0.45">
      <c r="A277">
        <v>8</v>
      </c>
      <c r="B277" t="s">
        <v>978</v>
      </c>
      <c r="C277" t="s">
        <v>979</v>
      </c>
      <c r="D277" t="s">
        <v>996</v>
      </c>
      <c r="E277">
        <v>-70.718958485972337</v>
      </c>
      <c r="F277">
        <v>-34.454633616300626</v>
      </c>
      <c r="J277">
        <v>1</v>
      </c>
      <c r="P277" t="s">
        <v>581</v>
      </c>
      <c r="Q277" t="s">
        <v>997</v>
      </c>
      <c r="R277" t="s">
        <v>942</v>
      </c>
      <c r="S277" s="1" t="s">
        <v>1032</v>
      </c>
      <c r="V277" t="str">
        <f>condiciones_comuna[[#This Row],[Zona Térmica]]&amp;" - "&amp;condiciones_comuna[[#This Row],[Comuna / localidad]]</f>
        <v>Zona B - Copiapó</v>
      </c>
      <c r="W277" t="s">
        <v>1739</v>
      </c>
      <c r="X277" t="s">
        <v>448</v>
      </c>
      <c r="Y277" t="s">
        <v>1675</v>
      </c>
      <c r="Z277" t="s">
        <v>1671</v>
      </c>
      <c r="AA277" s="139" t="s">
        <v>463</v>
      </c>
      <c r="AB277">
        <v>6.9</v>
      </c>
      <c r="AC277">
        <v>0.85</v>
      </c>
    </row>
    <row r="278" spans="1:29" x14ac:dyDescent="0.45">
      <c r="A278">
        <v>8</v>
      </c>
      <c r="B278" t="s">
        <v>978</v>
      </c>
      <c r="C278" t="s">
        <v>979</v>
      </c>
      <c r="D278" t="s">
        <v>998</v>
      </c>
      <c r="E278">
        <v>-70.659194942584818</v>
      </c>
      <c r="F278">
        <v>-34.334875735373863</v>
      </c>
      <c r="J278">
        <v>1</v>
      </c>
      <c r="P278" t="s">
        <v>581</v>
      </c>
      <c r="Q278" t="s">
        <v>999</v>
      </c>
      <c r="R278" t="s">
        <v>943</v>
      </c>
      <c r="S278" t="s">
        <v>824</v>
      </c>
      <c r="V278" t="str">
        <f>condiciones_comuna[[#This Row],[Zona Térmica]]&amp;" - "&amp;condiciones_comuna[[#This Row],[Comuna / localidad]]</f>
        <v>Zona B - Diego de Almagro</v>
      </c>
      <c r="W278" t="s">
        <v>1739</v>
      </c>
      <c r="X278" t="s">
        <v>787</v>
      </c>
      <c r="Y278" t="s">
        <v>1248</v>
      </c>
      <c r="Z278" t="s">
        <v>1671</v>
      </c>
      <c r="AA278" s="139" t="s">
        <v>463</v>
      </c>
      <c r="AB278">
        <v>6.9</v>
      </c>
      <c r="AC278">
        <v>0.85</v>
      </c>
    </row>
    <row r="279" spans="1:29" x14ac:dyDescent="0.45">
      <c r="A279">
        <v>8</v>
      </c>
      <c r="B279" t="s">
        <v>978</v>
      </c>
      <c r="C279" t="s">
        <v>979</v>
      </c>
      <c r="D279" t="s">
        <v>1000</v>
      </c>
      <c r="E279">
        <v>-71.123121365339713</v>
      </c>
      <c r="F279">
        <v>-34.477474684469001</v>
      </c>
      <c r="J279">
        <v>1</v>
      </c>
      <c r="P279" t="s">
        <v>581</v>
      </c>
      <c r="Q279" t="s">
        <v>1001</v>
      </c>
      <c r="R279" t="s">
        <v>944</v>
      </c>
      <c r="S279" t="s">
        <v>832</v>
      </c>
      <c r="V279" t="str">
        <f>condiciones_comuna[[#This Row],[Zona Térmica]]&amp;" - "&amp;condiciones_comuna[[#This Row],[Comuna / localidad]]</f>
        <v>Zona B - Huara</v>
      </c>
      <c r="W279" t="s">
        <v>1739</v>
      </c>
      <c r="X279" t="s">
        <v>756</v>
      </c>
      <c r="Y279" t="s">
        <v>1248</v>
      </c>
      <c r="Z279" t="s">
        <v>1673</v>
      </c>
      <c r="AA279" t="s">
        <v>458</v>
      </c>
      <c r="AB279">
        <v>7.8</v>
      </c>
      <c r="AC279">
        <v>0.76</v>
      </c>
    </row>
    <row r="280" spans="1:29" x14ac:dyDescent="0.45">
      <c r="A280">
        <v>8</v>
      </c>
      <c r="B280" t="s">
        <v>978</v>
      </c>
      <c r="C280" t="s">
        <v>1002</v>
      </c>
      <c r="D280" t="s">
        <v>957</v>
      </c>
      <c r="E280">
        <v>-71.602547744058029</v>
      </c>
      <c r="F280">
        <v>-34.223110515787226</v>
      </c>
      <c r="J280">
        <v>1</v>
      </c>
      <c r="P280" t="s">
        <v>581</v>
      </c>
      <c r="Q280" t="s">
        <v>1003</v>
      </c>
      <c r="R280" t="s">
        <v>945</v>
      </c>
      <c r="S280" t="s">
        <v>847</v>
      </c>
      <c r="V280" t="str">
        <f>condiciones_comuna[[#This Row],[Zona Térmica]]&amp;" - "&amp;condiciones_comuna[[#This Row],[Comuna / localidad]]</f>
        <v>Zona B - Illapel</v>
      </c>
      <c r="W280" t="s">
        <v>1739</v>
      </c>
      <c r="X280" t="s">
        <v>805</v>
      </c>
      <c r="Y280" t="s">
        <v>1248</v>
      </c>
      <c r="Z280" t="s">
        <v>1674</v>
      </c>
      <c r="AA280" t="s">
        <v>458</v>
      </c>
      <c r="AB280">
        <v>7.8</v>
      </c>
      <c r="AC280">
        <v>0.76</v>
      </c>
    </row>
    <row r="281" spans="1:29" x14ac:dyDescent="0.45">
      <c r="A281">
        <v>8</v>
      </c>
      <c r="B281" t="s">
        <v>978</v>
      </c>
      <c r="C281" t="s">
        <v>1002</v>
      </c>
      <c r="D281" t="s">
        <v>987</v>
      </c>
      <c r="E281">
        <v>-71.733311516839578</v>
      </c>
      <c r="F281">
        <v>-34.107082301841366</v>
      </c>
      <c r="I281">
        <v>1</v>
      </c>
      <c r="P281" t="s">
        <v>578</v>
      </c>
      <c r="Q281" t="s">
        <v>465</v>
      </c>
      <c r="R281" t="s">
        <v>946</v>
      </c>
      <c r="S281" t="s">
        <v>854</v>
      </c>
      <c r="V281" t="str">
        <f>condiciones_comuna[[#This Row],[Zona Térmica]]&amp;" - "&amp;condiciones_comuna[[#This Row],[Comuna / localidad]]</f>
        <v>Zona B - La Higuera</v>
      </c>
      <c r="W281" t="s">
        <v>1739</v>
      </c>
      <c r="X281" t="s">
        <v>815</v>
      </c>
      <c r="Y281" t="s">
        <v>1676</v>
      </c>
      <c r="Z281" t="s">
        <v>1248</v>
      </c>
      <c r="AA281" t="s">
        <v>458</v>
      </c>
      <c r="AB281">
        <v>7.8</v>
      </c>
      <c r="AC281">
        <v>0.76</v>
      </c>
    </row>
    <row r="282" spans="1:29" x14ac:dyDescent="0.45">
      <c r="A282">
        <v>8</v>
      </c>
      <c r="B282" t="s">
        <v>978</v>
      </c>
      <c r="C282" t="s">
        <v>1002</v>
      </c>
      <c r="D282" t="s">
        <v>1004</v>
      </c>
      <c r="E282">
        <v>-71.671766864959039</v>
      </c>
      <c r="F282">
        <v>-34.372575190458569</v>
      </c>
      <c r="J282">
        <v>1</v>
      </c>
      <c r="P282" t="s">
        <v>581</v>
      </c>
      <c r="Q282" t="s">
        <v>795</v>
      </c>
      <c r="R282" t="s">
        <v>947</v>
      </c>
      <c r="S282" t="s">
        <v>862</v>
      </c>
      <c r="V282" t="str">
        <f>condiciones_comuna[[#This Row],[Zona Térmica]]&amp;" - "&amp;condiciones_comuna[[#This Row],[Comuna / localidad]]</f>
        <v>Zona B - La Serena</v>
      </c>
      <c r="W282" t="s">
        <v>1739</v>
      </c>
      <c r="X282" t="s">
        <v>454</v>
      </c>
      <c r="Y282" t="s">
        <v>1676</v>
      </c>
      <c r="Z282" t="s">
        <v>1248</v>
      </c>
      <c r="AA282" t="s">
        <v>458</v>
      </c>
      <c r="AB282">
        <v>7.8</v>
      </c>
      <c r="AC282">
        <v>0.76</v>
      </c>
    </row>
    <row r="283" spans="1:29" x14ac:dyDescent="0.45">
      <c r="A283">
        <v>8</v>
      </c>
      <c r="B283" t="s">
        <v>978</v>
      </c>
      <c r="C283" t="s">
        <v>1002</v>
      </c>
      <c r="D283" t="s">
        <v>1005</v>
      </c>
      <c r="E283">
        <v>-71.820580282693498</v>
      </c>
      <c r="F283">
        <v>-34.012499591348856</v>
      </c>
      <c r="I283">
        <v>1</v>
      </c>
      <c r="P283" t="s">
        <v>578</v>
      </c>
      <c r="Q283" t="s">
        <v>1006</v>
      </c>
      <c r="R283" t="s">
        <v>950</v>
      </c>
      <c r="S283" t="s">
        <v>897</v>
      </c>
      <c r="V283" t="str">
        <f>condiciones_comuna[[#This Row],[Zona Térmica]]&amp;" - "&amp;condiciones_comuna[[#This Row],[Comuna / localidad]]</f>
        <v>Zona B - María Elena</v>
      </c>
      <c r="W283" t="s">
        <v>1739</v>
      </c>
      <c r="X283" t="s">
        <v>777</v>
      </c>
      <c r="Y283" t="s">
        <v>1248</v>
      </c>
      <c r="Z283" t="s">
        <v>1248</v>
      </c>
      <c r="AA283" t="s">
        <v>449</v>
      </c>
      <c r="AB283">
        <v>0.4</v>
      </c>
      <c r="AC283">
        <v>0.27</v>
      </c>
    </row>
    <row r="284" spans="1:29" x14ac:dyDescent="0.45">
      <c r="A284">
        <v>8</v>
      </c>
      <c r="B284" t="s">
        <v>978</v>
      </c>
      <c r="C284" t="s">
        <v>1002</v>
      </c>
      <c r="D284" t="s">
        <v>1007</v>
      </c>
      <c r="E284">
        <v>-71.911528065598574</v>
      </c>
      <c r="F284">
        <v>-34.673369619497713</v>
      </c>
      <c r="I284">
        <v>1</v>
      </c>
      <c r="P284" t="s">
        <v>578</v>
      </c>
      <c r="Q284" t="s">
        <v>1008</v>
      </c>
      <c r="R284" t="s">
        <v>952</v>
      </c>
      <c r="S284" t="s">
        <v>928</v>
      </c>
      <c r="V284" t="str">
        <f>condiciones_comuna[[#This Row],[Zona Térmica]]&amp;" - "&amp;condiciones_comuna[[#This Row],[Comuna / localidad]]</f>
        <v>Zona B - Monte Patria</v>
      </c>
      <c r="W284" t="s">
        <v>1739</v>
      </c>
      <c r="X284" t="s">
        <v>823</v>
      </c>
      <c r="Y284" t="s">
        <v>1248</v>
      </c>
      <c r="Z284" t="s">
        <v>1674</v>
      </c>
      <c r="AA284" t="s">
        <v>458</v>
      </c>
      <c r="AB284">
        <v>7.8</v>
      </c>
      <c r="AC284">
        <v>0.76</v>
      </c>
    </row>
    <row r="285" spans="1:29" x14ac:dyDescent="0.45">
      <c r="A285">
        <v>8</v>
      </c>
      <c r="B285" t="s">
        <v>978</v>
      </c>
      <c r="C285" t="s">
        <v>1002</v>
      </c>
      <c r="D285" t="s">
        <v>1009</v>
      </c>
      <c r="E285">
        <v>-71.910692881417816</v>
      </c>
      <c r="F285">
        <v>-34.383888505813736</v>
      </c>
      <c r="I285">
        <v>1</v>
      </c>
      <c r="P285" t="s">
        <v>578</v>
      </c>
      <c r="Q285" t="s">
        <v>1010</v>
      </c>
      <c r="R285" t="s">
        <v>954</v>
      </c>
      <c r="S285" t="s">
        <v>957</v>
      </c>
      <c r="V285" t="str">
        <f>condiciones_comuna[[#This Row],[Zona Térmica]]&amp;" - "&amp;condiciones_comuna[[#This Row],[Comuna / localidad]]</f>
        <v>Zona B - Ovalle</v>
      </c>
      <c r="W285" t="s">
        <v>1739</v>
      </c>
      <c r="X285" t="s">
        <v>459</v>
      </c>
      <c r="Y285" t="s">
        <v>1677</v>
      </c>
      <c r="Z285" t="s">
        <v>1248</v>
      </c>
      <c r="AA285" t="s">
        <v>458</v>
      </c>
      <c r="AB285">
        <v>7.8</v>
      </c>
      <c r="AC285">
        <v>0.76</v>
      </c>
    </row>
    <row r="286" spans="1:29" x14ac:dyDescent="0.45">
      <c r="A286">
        <v>8</v>
      </c>
      <c r="B286" t="s">
        <v>978</v>
      </c>
      <c r="C286" t="s">
        <v>1011</v>
      </c>
      <c r="D286" t="s">
        <v>824</v>
      </c>
      <c r="E286">
        <v>-71.35937809477096</v>
      </c>
      <c r="F286">
        <v>-34.791234617886516</v>
      </c>
      <c r="J286">
        <v>1</v>
      </c>
      <c r="P286" t="s">
        <v>581</v>
      </c>
      <c r="Q286" t="s">
        <v>807</v>
      </c>
      <c r="R286" t="s">
        <v>955</v>
      </c>
      <c r="S286" t="s">
        <v>980</v>
      </c>
      <c r="V286" t="str">
        <f>condiciones_comuna[[#This Row],[Zona Térmica]]&amp;" - "&amp;condiciones_comuna[[#This Row],[Comuna / localidad]]</f>
        <v>Zona B - Paiguano</v>
      </c>
      <c r="W286" t="s">
        <v>1739</v>
      </c>
      <c r="X286" t="s">
        <v>818</v>
      </c>
      <c r="Y286" t="s">
        <v>1248</v>
      </c>
      <c r="Z286" t="s">
        <v>1671</v>
      </c>
      <c r="AA286" t="s">
        <v>458</v>
      </c>
      <c r="AB286">
        <v>7.8</v>
      </c>
      <c r="AC286">
        <v>0.76</v>
      </c>
    </row>
    <row r="287" spans="1:29" x14ac:dyDescent="0.45">
      <c r="A287">
        <v>8</v>
      </c>
      <c r="B287" t="s">
        <v>978</v>
      </c>
      <c r="C287" t="s">
        <v>1011</v>
      </c>
      <c r="D287" t="s">
        <v>832</v>
      </c>
      <c r="E287">
        <v>-70.980906102881065</v>
      </c>
      <c r="F287">
        <v>-34.751725471205546</v>
      </c>
      <c r="J287">
        <v>1</v>
      </c>
      <c r="P287" t="s">
        <v>581</v>
      </c>
      <c r="Q287" t="s">
        <v>1012</v>
      </c>
      <c r="R287" t="s">
        <v>956</v>
      </c>
      <c r="S287" t="s">
        <v>987</v>
      </c>
      <c r="V287" t="str">
        <f>condiciones_comuna[[#This Row],[Zona Térmica]]&amp;" - "&amp;condiciones_comuna[[#This Row],[Comuna / localidad]]</f>
        <v>Zona B - Pica</v>
      </c>
      <c r="W287" t="s">
        <v>1739</v>
      </c>
      <c r="X287" t="s">
        <v>758</v>
      </c>
      <c r="Y287" t="s">
        <v>1248</v>
      </c>
      <c r="Z287" t="s">
        <v>1671</v>
      </c>
      <c r="AA287" t="s">
        <v>458</v>
      </c>
      <c r="AB287">
        <v>7.8</v>
      </c>
      <c r="AC287">
        <v>0.76</v>
      </c>
    </row>
    <row r="288" spans="1:29" x14ac:dyDescent="0.45">
      <c r="A288">
        <v>8</v>
      </c>
      <c r="B288" t="s">
        <v>978</v>
      </c>
      <c r="C288" t="s">
        <v>1011</v>
      </c>
      <c r="D288" t="s">
        <v>995</v>
      </c>
      <c r="E288">
        <v>-71.648829212348858</v>
      </c>
      <c r="F288">
        <v>-34.768248080961484</v>
      </c>
      <c r="J288">
        <v>1</v>
      </c>
      <c r="P288" t="s">
        <v>581</v>
      </c>
      <c r="Q288" t="s">
        <v>1013</v>
      </c>
      <c r="R288" t="s">
        <v>958</v>
      </c>
      <c r="S288" t="s">
        <v>995</v>
      </c>
      <c r="V288" t="str">
        <f>condiciones_comuna[[#This Row],[Zona Térmica]]&amp;" - "&amp;condiciones_comuna[[#This Row],[Comuna / localidad]]</f>
        <v>Zona B - Pozo Almonte</v>
      </c>
      <c r="W288" t="s">
        <v>1739</v>
      </c>
      <c r="X288" t="s">
        <v>760</v>
      </c>
      <c r="Y288" t="s">
        <v>1248</v>
      </c>
      <c r="Z288" t="s">
        <v>1671</v>
      </c>
      <c r="AA288" t="s">
        <v>458</v>
      </c>
      <c r="AB288">
        <v>7.8</v>
      </c>
      <c r="AC288">
        <v>0.76</v>
      </c>
    </row>
    <row r="289" spans="1:29" x14ac:dyDescent="0.45">
      <c r="A289">
        <v>8</v>
      </c>
      <c r="B289" t="s">
        <v>978</v>
      </c>
      <c r="C289" t="s">
        <v>1011</v>
      </c>
      <c r="D289" t="s">
        <v>1014</v>
      </c>
      <c r="E289">
        <v>-71.191968357694108</v>
      </c>
      <c r="F289">
        <v>-34.667463934594537</v>
      </c>
      <c r="J289">
        <v>1</v>
      </c>
      <c r="P289" t="s">
        <v>581</v>
      </c>
      <c r="Q289" t="s">
        <v>985</v>
      </c>
      <c r="R289" t="s">
        <v>960</v>
      </c>
      <c r="S289" t="s">
        <v>985</v>
      </c>
      <c r="V289" t="str">
        <f>condiciones_comuna[[#This Row],[Zona Térmica]]&amp;" - "&amp;condiciones_comuna[[#This Row],[Comuna / localidad]]</f>
        <v>Zona B - Punitaqui</v>
      </c>
      <c r="W289" t="s">
        <v>1739</v>
      </c>
      <c r="X289" t="s">
        <v>827</v>
      </c>
      <c r="Y289" t="s">
        <v>1248</v>
      </c>
      <c r="Z289" t="s">
        <v>1248</v>
      </c>
      <c r="AA289" t="s">
        <v>458</v>
      </c>
      <c r="AB289">
        <v>7.8</v>
      </c>
      <c r="AC289">
        <v>0.76</v>
      </c>
    </row>
    <row r="290" spans="1:29" x14ac:dyDescent="0.45">
      <c r="A290">
        <v>8</v>
      </c>
      <c r="B290" t="s">
        <v>978</v>
      </c>
      <c r="C290" t="s">
        <v>1011</v>
      </c>
      <c r="D290" t="s">
        <v>1015</v>
      </c>
      <c r="E290">
        <v>-71.352914349655833</v>
      </c>
      <c r="F290">
        <v>-34.527925459936689</v>
      </c>
      <c r="J290">
        <v>1</v>
      </c>
      <c r="P290" t="s">
        <v>581</v>
      </c>
      <c r="Q290" t="s">
        <v>946</v>
      </c>
      <c r="R290" t="s">
        <v>961</v>
      </c>
      <c r="S290" t="s">
        <v>986</v>
      </c>
      <c r="V290" t="str">
        <f>condiciones_comuna[[#This Row],[Zona Térmica]]&amp;" - "&amp;condiciones_comuna[[#This Row],[Comuna / localidad]]</f>
        <v>Zona B - Río Hurtado</v>
      </c>
      <c r="W290" t="s">
        <v>1739</v>
      </c>
      <c r="X290" t="s">
        <v>828</v>
      </c>
      <c r="Y290" t="s">
        <v>1248</v>
      </c>
      <c r="Z290" t="s">
        <v>1671</v>
      </c>
      <c r="AA290" t="s">
        <v>458</v>
      </c>
      <c r="AB290">
        <v>7.8</v>
      </c>
      <c r="AC290">
        <v>0.76</v>
      </c>
    </row>
    <row r="291" spans="1:29" x14ac:dyDescent="0.45">
      <c r="A291">
        <v>8</v>
      </c>
      <c r="B291" t="s">
        <v>978</v>
      </c>
      <c r="C291" t="s">
        <v>1011</v>
      </c>
      <c r="D291" t="s">
        <v>1016</v>
      </c>
      <c r="E291">
        <v>-71.496684500859558</v>
      </c>
      <c r="F291">
        <v>-34.46602068995108</v>
      </c>
      <c r="J291">
        <v>1</v>
      </c>
      <c r="P291" t="s">
        <v>581</v>
      </c>
      <c r="Q291" t="s">
        <v>1017</v>
      </c>
      <c r="R291" t="s">
        <v>962</v>
      </c>
      <c r="S291" t="s">
        <v>1004</v>
      </c>
      <c r="V291" t="str">
        <f>condiciones_comuna[[#This Row],[Zona Térmica]]&amp;" - "&amp;condiciones_comuna[[#This Row],[Comuna / localidad]]</f>
        <v>Zona B - Salamanca</v>
      </c>
      <c r="W291" t="s">
        <v>1739</v>
      </c>
      <c r="X291" t="s">
        <v>809</v>
      </c>
      <c r="Y291" t="s">
        <v>1248</v>
      </c>
      <c r="Z291" t="s">
        <v>1674</v>
      </c>
      <c r="AA291" t="s">
        <v>458</v>
      </c>
      <c r="AB291">
        <v>7.8</v>
      </c>
      <c r="AC291">
        <v>0.76</v>
      </c>
    </row>
    <row r="292" spans="1:29" x14ac:dyDescent="0.45">
      <c r="A292">
        <v>8</v>
      </c>
      <c r="B292" t="s">
        <v>978</v>
      </c>
      <c r="C292" t="s">
        <v>1011</v>
      </c>
      <c r="D292" t="s">
        <v>1018</v>
      </c>
      <c r="E292">
        <v>-71.086314674192977</v>
      </c>
      <c r="F292">
        <v>-34.619001235253165</v>
      </c>
      <c r="J292">
        <v>1</v>
      </c>
      <c r="P292" t="s">
        <v>581</v>
      </c>
      <c r="Q292" t="s">
        <v>947</v>
      </c>
      <c r="R292" t="s">
        <v>963</v>
      </c>
      <c r="S292" t="s">
        <v>988</v>
      </c>
      <c r="V292" t="str">
        <f>condiciones_comuna[[#This Row],[Zona Térmica]]&amp;" - "&amp;condiciones_comuna[[#This Row],[Comuna / localidad]]</f>
        <v>Zona B - San Pedro de Atacama</v>
      </c>
      <c r="W292" t="s">
        <v>1739</v>
      </c>
      <c r="X292" t="s">
        <v>773</v>
      </c>
      <c r="Y292" t="s">
        <v>1248</v>
      </c>
      <c r="Z292" t="s">
        <v>1671</v>
      </c>
      <c r="AA292" t="s">
        <v>449</v>
      </c>
      <c r="AB292">
        <v>0.4</v>
      </c>
      <c r="AC292">
        <v>0.27</v>
      </c>
    </row>
    <row r="293" spans="1:29" x14ac:dyDescent="0.45">
      <c r="A293">
        <v>8</v>
      </c>
      <c r="B293" t="s">
        <v>978</v>
      </c>
      <c r="C293" t="s">
        <v>1011</v>
      </c>
      <c r="D293" t="s">
        <v>1019</v>
      </c>
      <c r="E293">
        <v>-71.691775265920072</v>
      </c>
      <c r="F293">
        <v>-34.595870034953784</v>
      </c>
      <c r="J293">
        <v>1</v>
      </c>
      <c r="P293" t="s">
        <v>581</v>
      </c>
      <c r="Q293" t="s">
        <v>986</v>
      </c>
      <c r="R293" t="s">
        <v>965</v>
      </c>
      <c r="S293" t="s">
        <v>1014</v>
      </c>
      <c r="V293" t="str">
        <f>condiciones_comuna[[#This Row],[Zona Térmica]]&amp;" - "&amp;condiciones_comuna[[#This Row],[Comuna / localidad]]</f>
        <v>Zona B - Sierra Gorda</v>
      </c>
      <c r="W293" t="s">
        <v>1739</v>
      </c>
      <c r="X293" t="s">
        <v>765</v>
      </c>
      <c r="Y293" t="s">
        <v>1248</v>
      </c>
      <c r="Z293" t="s">
        <v>1248</v>
      </c>
      <c r="AA293" t="s">
        <v>449</v>
      </c>
      <c r="AB293">
        <v>0.4</v>
      </c>
      <c r="AC293">
        <v>0.27</v>
      </c>
    </row>
    <row r="294" spans="1:29" x14ac:dyDescent="0.45">
      <c r="A294">
        <v>8</v>
      </c>
      <c r="B294" t="s">
        <v>978</v>
      </c>
      <c r="C294" t="s">
        <v>1011</v>
      </c>
      <c r="D294" t="s">
        <v>1020</v>
      </c>
      <c r="E294">
        <v>-70.603360026857317</v>
      </c>
      <c r="F294">
        <v>-34.743569241871285</v>
      </c>
      <c r="J294">
        <v>5</v>
      </c>
      <c r="N294">
        <v>6</v>
      </c>
      <c r="P294" t="s">
        <v>1821</v>
      </c>
      <c r="Q294" t="s">
        <v>1004</v>
      </c>
      <c r="R294" t="s">
        <v>966</v>
      </c>
      <c r="S294" t="s">
        <v>1005</v>
      </c>
      <c r="V294" t="str">
        <f>condiciones_comuna[[#This Row],[Zona Térmica]]&amp;" - "&amp;condiciones_comuna[[#This Row],[Comuna / localidad]]</f>
        <v>Zona B - Taltal</v>
      </c>
      <c r="W294" t="s">
        <v>1739</v>
      </c>
      <c r="X294" t="s">
        <v>767</v>
      </c>
      <c r="Y294" t="s">
        <v>1672</v>
      </c>
      <c r="Z294" t="s">
        <v>1671</v>
      </c>
      <c r="AA294" t="s">
        <v>458</v>
      </c>
      <c r="AB294">
        <v>7.8</v>
      </c>
      <c r="AC294">
        <v>0.76</v>
      </c>
    </row>
    <row r="295" spans="1:29" x14ac:dyDescent="0.45">
      <c r="A295">
        <v>8</v>
      </c>
      <c r="B295" t="s">
        <v>978</v>
      </c>
      <c r="C295" t="s">
        <v>1011</v>
      </c>
      <c r="D295" t="s">
        <v>1021</v>
      </c>
      <c r="E295">
        <v>-71.402687536832417</v>
      </c>
      <c r="F295">
        <v>-34.642702291579141</v>
      </c>
      <c r="J295">
        <v>1</v>
      </c>
      <c r="P295" t="s">
        <v>581</v>
      </c>
      <c r="Q295" t="s">
        <v>777</v>
      </c>
      <c r="R295" t="s">
        <v>923</v>
      </c>
      <c r="S295" t="s">
        <v>989</v>
      </c>
      <c r="V295" t="str">
        <f>condiciones_comuna[[#This Row],[Zona Térmica]]&amp;" - "&amp;condiciones_comuna[[#This Row],[Comuna / localidad]]</f>
        <v>Zona B - Tierra Amarilla</v>
      </c>
      <c r="W295" t="s">
        <v>1739</v>
      </c>
      <c r="X295" t="s">
        <v>793</v>
      </c>
      <c r="Y295" t="s">
        <v>1248</v>
      </c>
      <c r="Z295" t="s">
        <v>1671</v>
      </c>
      <c r="AA295" s="139" t="s">
        <v>463</v>
      </c>
      <c r="AB295">
        <v>6.9</v>
      </c>
      <c r="AC295">
        <v>0.85</v>
      </c>
    </row>
    <row r="296" spans="1:29" x14ac:dyDescent="0.45">
      <c r="A296">
        <v>9</v>
      </c>
      <c r="B296" t="s">
        <v>1022</v>
      </c>
      <c r="C296" t="s">
        <v>547</v>
      </c>
      <c r="D296" t="s">
        <v>547</v>
      </c>
      <c r="E296">
        <v>-72.280494493140253</v>
      </c>
      <c r="F296">
        <v>-35.971239771061562</v>
      </c>
      <c r="K296">
        <v>1</v>
      </c>
      <c r="P296" t="s">
        <v>584</v>
      </c>
      <c r="Q296" t="s">
        <v>918</v>
      </c>
      <c r="R296" t="s">
        <v>968</v>
      </c>
      <c r="S296" t="s">
        <v>1015</v>
      </c>
      <c r="V296" t="str">
        <f>condiciones_comuna[[#This Row],[Zona Térmica]]&amp;" - "&amp;condiciones_comuna[[#This Row],[Comuna / localidad]]</f>
        <v>Zona B - Vallenar</v>
      </c>
      <c r="W296" t="s">
        <v>1739</v>
      </c>
      <c r="X296" t="s">
        <v>450</v>
      </c>
      <c r="Y296" t="s">
        <v>1248</v>
      </c>
      <c r="Z296" t="s">
        <v>1248</v>
      </c>
      <c r="AA296" s="139" t="s">
        <v>463</v>
      </c>
      <c r="AB296">
        <v>6.9</v>
      </c>
      <c r="AC296">
        <v>0.85</v>
      </c>
    </row>
    <row r="297" spans="1:29" x14ac:dyDescent="0.45">
      <c r="A297">
        <v>9</v>
      </c>
      <c r="B297" t="s">
        <v>1022</v>
      </c>
      <c r="C297" t="s">
        <v>547</v>
      </c>
      <c r="D297" t="s">
        <v>541</v>
      </c>
      <c r="E297">
        <v>-72.48502482841235</v>
      </c>
      <c r="F297">
        <v>-35.698942688724038</v>
      </c>
      <c r="K297">
        <v>1</v>
      </c>
      <c r="P297" t="s">
        <v>584</v>
      </c>
      <c r="Q297" t="s">
        <v>1023</v>
      </c>
      <c r="R297" s="193" t="s">
        <v>1024</v>
      </c>
      <c r="S297" t="s">
        <v>1007</v>
      </c>
      <c r="V297" t="str">
        <f>condiciones_comuna[[#This Row],[Zona Térmica]]&amp;" - "&amp;condiciones_comuna[[#This Row],[Comuna / localidad]]</f>
        <v>Zona B - Vicuña</v>
      </c>
      <c r="W297" t="s">
        <v>1739</v>
      </c>
      <c r="X297" t="s">
        <v>457</v>
      </c>
      <c r="Y297" t="s">
        <v>1248</v>
      </c>
      <c r="Z297" t="s">
        <v>1671</v>
      </c>
      <c r="AA297" t="s">
        <v>458</v>
      </c>
      <c r="AB297">
        <v>7.8</v>
      </c>
      <c r="AC297">
        <v>0.76</v>
      </c>
    </row>
    <row r="298" spans="1:29" ht="15.75" customHeight="1" x14ac:dyDescent="0.45">
      <c r="A298">
        <v>9</v>
      </c>
      <c r="B298" t="s">
        <v>1022</v>
      </c>
      <c r="C298" t="s">
        <v>547</v>
      </c>
      <c r="D298" t="s">
        <v>1025</v>
      </c>
      <c r="E298">
        <v>-72.607441118843667</v>
      </c>
      <c r="F298">
        <v>-35.911648294306872</v>
      </c>
      <c r="K298">
        <v>1</v>
      </c>
      <c r="P298" t="s">
        <v>584</v>
      </c>
      <c r="Q298" t="s">
        <v>1022</v>
      </c>
      <c r="R298" t="s">
        <v>904</v>
      </c>
      <c r="S298" t="s">
        <v>1016</v>
      </c>
      <c r="V298" t="str">
        <f>condiciones_comuna[[#This Row],[Zona Térmica]]&amp;" - "&amp;condiciones_comuna[[#This Row],[Comuna / localidad]]</f>
        <v>Zona B - Calama, María Elena, San Pedro de Atacama y Sierra Gorda</v>
      </c>
      <c r="W298" t="s">
        <v>1739</v>
      </c>
      <c r="X298" t="s">
        <v>1678</v>
      </c>
      <c r="Y298" t="s">
        <v>1248</v>
      </c>
      <c r="Z298" t="s">
        <v>1248</v>
      </c>
      <c r="AA298" t="s">
        <v>449</v>
      </c>
      <c r="AB298">
        <v>0.4</v>
      </c>
      <c r="AC298">
        <v>0.27</v>
      </c>
    </row>
    <row r="299" spans="1:29" ht="15.75" customHeight="1" x14ac:dyDescent="0.45">
      <c r="A299">
        <v>9</v>
      </c>
      <c r="B299" t="s">
        <v>1022</v>
      </c>
      <c r="C299" t="s">
        <v>530</v>
      </c>
      <c r="D299" t="s">
        <v>530</v>
      </c>
      <c r="E299">
        <v>-70.896256651980721</v>
      </c>
      <c r="F299">
        <v>-35.199119701187108</v>
      </c>
      <c r="J299">
        <v>5</v>
      </c>
      <c r="N299">
        <v>6</v>
      </c>
      <c r="P299" t="s">
        <v>1821</v>
      </c>
      <c r="Q299" t="s">
        <v>1026</v>
      </c>
      <c r="R299" t="s">
        <v>948</v>
      </c>
      <c r="S299" t="s">
        <v>991</v>
      </c>
      <c r="V299" t="str">
        <f>condiciones_comuna[[#This Row],[Zona Térmica]]&amp;" - "&amp;condiciones_comuna[[#This Row],[Comuna / localidad]]</f>
        <v>Zona C - Todas las comunas excepto "Las Islas"</v>
      </c>
      <c r="W299" t="s">
        <v>1740</v>
      </c>
      <c r="X299" t="s">
        <v>1682</v>
      </c>
      <c r="Y299" t="s">
        <v>1248</v>
      </c>
      <c r="Z299" t="s">
        <v>1248</v>
      </c>
      <c r="AA299" s="49" t="s">
        <v>558</v>
      </c>
      <c r="AB299">
        <v>3.9</v>
      </c>
      <c r="AC299">
        <v>0.95</v>
      </c>
    </row>
    <row r="300" spans="1:29" x14ac:dyDescent="0.45">
      <c r="A300">
        <v>9</v>
      </c>
      <c r="B300" t="s">
        <v>1022</v>
      </c>
      <c r="C300" t="s">
        <v>530</v>
      </c>
      <c r="D300" t="s">
        <v>935</v>
      </c>
      <c r="E300">
        <v>-71.70882461576582</v>
      </c>
      <c r="F300">
        <v>-34.952636249374649</v>
      </c>
      <c r="J300">
        <v>1</v>
      </c>
      <c r="P300" t="s">
        <v>581</v>
      </c>
      <c r="Q300" t="s">
        <v>763</v>
      </c>
      <c r="R300" t="s">
        <v>974</v>
      </c>
      <c r="S300" t="s">
        <v>992</v>
      </c>
      <c r="V300" t="str">
        <f>condiciones_comuna[[#This Row],[Zona Térmica]]&amp;" - "&amp;condiciones_comuna[[#This Row],[Comuna / localidad]]</f>
        <v>Zona C - Las islas: Archip. Juan Fernández, Salas y Gómez, Islas Desventuradas</v>
      </c>
      <c r="W300" t="s">
        <v>1740</v>
      </c>
      <c r="X300" t="s">
        <v>1715</v>
      </c>
      <c r="Y300" t="s">
        <v>1248</v>
      </c>
      <c r="Z300" t="s">
        <v>1248</v>
      </c>
      <c r="AA300" s="355" t="s">
        <v>1736</v>
      </c>
      <c r="AB300">
        <v>12.5</v>
      </c>
      <c r="AC300">
        <v>0.74</v>
      </c>
    </row>
    <row r="301" spans="1:29" x14ac:dyDescent="0.45">
      <c r="A301">
        <v>9</v>
      </c>
      <c r="B301" t="s">
        <v>1022</v>
      </c>
      <c r="C301" t="s">
        <v>530</v>
      </c>
      <c r="D301" t="s">
        <v>984</v>
      </c>
      <c r="E301">
        <v>-72.06035782539341</v>
      </c>
      <c r="F301">
        <v>-34.974276990742688</v>
      </c>
      <c r="I301">
        <v>1</v>
      </c>
      <c r="P301" t="s">
        <v>578</v>
      </c>
      <c r="Q301" t="s">
        <v>1027</v>
      </c>
      <c r="R301" t="s">
        <v>976</v>
      </c>
      <c r="S301" t="s">
        <v>1009</v>
      </c>
      <c r="V301" t="str">
        <f>condiciones_comuna[[#This Row],[Zona Térmica]]&amp;" - "&amp;condiciones_comuna[[#This Row],[Comuna / localidad]]</f>
        <v>Zona C - Algarrobo</v>
      </c>
      <c r="W301" t="s">
        <v>1740</v>
      </c>
      <c r="X301" t="s">
        <v>731</v>
      </c>
      <c r="Y301" t="s">
        <v>1248</v>
      </c>
      <c r="Z301" t="s">
        <v>1248</v>
      </c>
      <c r="AA301" t="s">
        <v>516</v>
      </c>
      <c r="AB301">
        <v>4.7</v>
      </c>
      <c r="AC301">
        <v>0.9</v>
      </c>
    </row>
    <row r="302" spans="1:29" x14ac:dyDescent="0.45">
      <c r="A302">
        <v>9</v>
      </c>
      <c r="B302" t="s">
        <v>1022</v>
      </c>
      <c r="C302" t="s">
        <v>530</v>
      </c>
      <c r="D302" t="s">
        <v>1028</v>
      </c>
      <c r="E302">
        <v>-70.910738491575941</v>
      </c>
      <c r="F302">
        <v>-35.352847059212394</v>
      </c>
      <c r="J302">
        <v>5</v>
      </c>
      <c r="N302">
        <v>6</v>
      </c>
      <c r="P302" t="s">
        <v>1821</v>
      </c>
      <c r="Q302" t="s">
        <v>915</v>
      </c>
      <c r="R302" t="s">
        <v>970</v>
      </c>
      <c r="S302" t="s">
        <v>1018</v>
      </c>
      <c r="V302" t="str">
        <f>condiciones_comuna[[#This Row],[Zona Térmica]]&amp;" - "&amp;condiciones_comuna[[#This Row],[Comuna / localidad]]</f>
        <v>Zona C - Canela</v>
      </c>
      <c r="W302" t="s">
        <v>1740</v>
      </c>
      <c r="X302" t="s">
        <v>799</v>
      </c>
      <c r="Y302" t="s">
        <v>1248</v>
      </c>
      <c r="Z302" t="s">
        <v>1248</v>
      </c>
      <c r="AA302" t="s">
        <v>463</v>
      </c>
      <c r="AB302">
        <v>6.9</v>
      </c>
      <c r="AC302">
        <v>0.85</v>
      </c>
    </row>
    <row r="303" spans="1:29" x14ac:dyDescent="0.45">
      <c r="A303">
        <v>9</v>
      </c>
      <c r="B303" t="s">
        <v>1022</v>
      </c>
      <c r="C303" t="s">
        <v>530</v>
      </c>
      <c r="D303" t="s">
        <v>1029</v>
      </c>
      <c r="E303">
        <v>-71.42575839655288</v>
      </c>
      <c r="F303">
        <v>-34.93772708192639</v>
      </c>
      <c r="J303">
        <v>1</v>
      </c>
      <c r="P303" t="s">
        <v>581</v>
      </c>
      <c r="Q303" t="s">
        <v>1028</v>
      </c>
      <c r="R303" s="194" t="s">
        <v>1030</v>
      </c>
      <c r="S303" t="s">
        <v>1019</v>
      </c>
      <c r="V303" t="str">
        <f>condiciones_comuna[[#This Row],[Zona Térmica]]&amp;" - "&amp;condiciones_comuna[[#This Row],[Comuna / localidad]]</f>
        <v>Zona C - Cartagena</v>
      </c>
      <c r="W303" t="s">
        <v>1740</v>
      </c>
      <c r="X303" t="s">
        <v>806</v>
      </c>
      <c r="Y303" t="s">
        <v>1248</v>
      </c>
      <c r="Z303" t="s">
        <v>1248</v>
      </c>
      <c r="AA303" t="s">
        <v>516</v>
      </c>
      <c r="AB303">
        <v>4.7</v>
      </c>
      <c r="AC303">
        <v>0.9</v>
      </c>
    </row>
    <row r="304" spans="1:29" x14ac:dyDescent="0.45">
      <c r="A304">
        <v>9</v>
      </c>
      <c r="B304" t="s">
        <v>1022</v>
      </c>
      <c r="C304" t="s">
        <v>530</v>
      </c>
      <c r="D304" t="s">
        <v>1031</v>
      </c>
      <c r="E304">
        <v>-70.711315339297329</v>
      </c>
      <c r="F304">
        <v>-35.068530725708278</v>
      </c>
      <c r="J304">
        <v>5</v>
      </c>
      <c r="N304">
        <v>6</v>
      </c>
      <c r="P304" t="s">
        <v>1821</v>
      </c>
      <c r="Q304" t="s">
        <v>823</v>
      </c>
      <c r="R304" s="1" t="s">
        <v>1032</v>
      </c>
      <c r="S304" t="s">
        <v>993</v>
      </c>
      <c r="V304" t="str">
        <f>condiciones_comuna[[#This Row],[Zona Térmica]]&amp;" - "&amp;condiciones_comuna[[#This Row],[Comuna / localidad]]</f>
        <v>Zona C - Casablanca</v>
      </c>
      <c r="W304" t="s">
        <v>1740</v>
      </c>
      <c r="X304" t="s">
        <v>808</v>
      </c>
      <c r="Y304" t="s">
        <v>1248</v>
      </c>
      <c r="Z304" t="s">
        <v>1248</v>
      </c>
      <c r="AA304" t="s">
        <v>516</v>
      </c>
      <c r="AB304">
        <v>4.7</v>
      </c>
      <c r="AC304">
        <v>0.9</v>
      </c>
    </row>
    <row r="305" spans="1:29" x14ac:dyDescent="0.45">
      <c r="A305">
        <v>9</v>
      </c>
      <c r="B305" t="s">
        <v>1022</v>
      </c>
      <c r="C305" t="s">
        <v>530</v>
      </c>
      <c r="D305" t="s">
        <v>1033</v>
      </c>
      <c r="E305">
        <v>-71.495645098449643</v>
      </c>
      <c r="F305">
        <v>-35.103565197939638</v>
      </c>
      <c r="J305">
        <v>1</v>
      </c>
      <c r="P305" t="s">
        <v>581</v>
      </c>
      <c r="Q305" t="s">
        <v>988</v>
      </c>
      <c r="R305" s="193" t="s">
        <v>1034</v>
      </c>
      <c r="S305" t="s">
        <v>994</v>
      </c>
      <c r="V305" t="str">
        <f>condiciones_comuna[[#This Row],[Zona Térmica]]&amp;" - "&amp;condiciones_comuna[[#This Row],[Comuna / localidad]]</f>
        <v>Zona C - Concón</v>
      </c>
      <c r="W305" t="s">
        <v>1740</v>
      </c>
      <c r="X305" t="s">
        <v>867</v>
      </c>
      <c r="Y305" t="s">
        <v>1248</v>
      </c>
      <c r="Z305" t="s">
        <v>1248</v>
      </c>
      <c r="AA305" t="s">
        <v>516</v>
      </c>
      <c r="AB305">
        <v>4.7</v>
      </c>
      <c r="AC305">
        <v>0.9</v>
      </c>
    </row>
    <row r="306" spans="1:29" x14ac:dyDescent="0.45">
      <c r="A306">
        <v>9</v>
      </c>
      <c r="B306" t="s">
        <v>1022</v>
      </c>
      <c r="C306" t="s">
        <v>530</v>
      </c>
      <c r="D306" t="s">
        <v>1035</v>
      </c>
      <c r="E306">
        <v>-71.021836209700467</v>
      </c>
      <c r="F306">
        <v>-34.88813688832257</v>
      </c>
      <c r="J306">
        <v>5</v>
      </c>
      <c r="N306">
        <v>6</v>
      </c>
      <c r="P306" t="s">
        <v>1821</v>
      </c>
      <c r="Q306" t="s">
        <v>1036</v>
      </c>
      <c r="R306" t="s">
        <v>847</v>
      </c>
      <c r="S306" t="s">
        <v>996</v>
      </c>
      <c r="V306" t="str">
        <f>condiciones_comuna[[#This Row],[Zona Térmica]]&amp;" - "&amp;condiciones_comuna[[#This Row],[Comuna / localidad]]</f>
        <v>Zona C - Coquimbo</v>
      </c>
      <c r="W306" t="s">
        <v>1740</v>
      </c>
      <c r="X306" t="s">
        <v>801</v>
      </c>
      <c r="Y306" t="s">
        <v>1248</v>
      </c>
      <c r="Z306" t="s">
        <v>1248</v>
      </c>
      <c r="AA306" t="s">
        <v>463</v>
      </c>
      <c r="AB306">
        <v>6.9</v>
      </c>
      <c r="AC306">
        <v>0.85</v>
      </c>
    </row>
    <row r="307" spans="1:29" x14ac:dyDescent="0.45">
      <c r="A307">
        <v>9</v>
      </c>
      <c r="B307" t="s">
        <v>1022</v>
      </c>
      <c r="C307" t="s">
        <v>530</v>
      </c>
      <c r="D307" t="s">
        <v>1037</v>
      </c>
      <c r="E307">
        <v>-72.022528834979624</v>
      </c>
      <c r="F307">
        <v>-34.841324982738925</v>
      </c>
      <c r="I307">
        <v>1</v>
      </c>
      <c r="P307" t="s">
        <v>578</v>
      </c>
      <c r="Q307" t="s">
        <v>1038</v>
      </c>
      <c r="R307" t="s">
        <v>854</v>
      </c>
      <c r="S307" t="s">
        <v>998</v>
      </c>
      <c r="V307" t="str">
        <f>condiciones_comuna[[#This Row],[Zona Térmica]]&amp;" - "&amp;condiciones_comuna[[#This Row],[Comuna / localidad]]</f>
        <v>Zona C - El Quisco</v>
      </c>
      <c r="W307" t="s">
        <v>1740</v>
      </c>
      <c r="X307" t="s">
        <v>868</v>
      </c>
      <c r="Y307" t="s">
        <v>1248</v>
      </c>
      <c r="Z307" t="s">
        <v>1248</v>
      </c>
      <c r="AA307" t="s">
        <v>516</v>
      </c>
      <c r="AB307">
        <v>4.7</v>
      </c>
      <c r="AC307">
        <v>0.9</v>
      </c>
    </row>
    <row r="308" spans="1:29" x14ac:dyDescent="0.45">
      <c r="A308">
        <v>9</v>
      </c>
      <c r="B308" t="s">
        <v>1022</v>
      </c>
      <c r="C308" t="s">
        <v>544</v>
      </c>
      <c r="D308" t="s">
        <v>855</v>
      </c>
      <c r="E308">
        <v>-70.979416527220522</v>
      </c>
      <c r="F308">
        <v>-36.07677134498843</v>
      </c>
      <c r="J308">
        <v>5</v>
      </c>
      <c r="N308">
        <v>6</v>
      </c>
      <c r="P308" t="s">
        <v>1821</v>
      </c>
      <c r="Q308" t="s">
        <v>1014</v>
      </c>
      <c r="R308" t="s">
        <v>862</v>
      </c>
      <c r="S308" t="s">
        <v>1020</v>
      </c>
      <c r="V308" t="str">
        <f>condiciones_comuna[[#This Row],[Zona Térmica]]&amp;" - "&amp;condiciones_comuna[[#This Row],[Comuna / localidad]]</f>
        <v>Zona C - El Tabo</v>
      </c>
      <c r="W308" t="s">
        <v>1740</v>
      </c>
      <c r="X308" t="s">
        <v>870</v>
      </c>
      <c r="Y308" t="s">
        <v>1248</v>
      </c>
      <c r="Z308" t="s">
        <v>1248</v>
      </c>
      <c r="AA308" t="s">
        <v>516</v>
      </c>
      <c r="AB308">
        <v>4.7</v>
      </c>
      <c r="AC308">
        <v>0.9</v>
      </c>
    </row>
    <row r="309" spans="1:29" x14ac:dyDescent="0.45">
      <c r="A309">
        <v>9</v>
      </c>
      <c r="B309" t="s">
        <v>1022</v>
      </c>
      <c r="C309" t="s">
        <v>544</v>
      </c>
      <c r="D309" t="s">
        <v>544</v>
      </c>
      <c r="E309">
        <v>-71.332571493769407</v>
      </c>
      <c r="F309">
        <v>-35.958277770214913</v>
      </c>
      <c r="J309">
        <v>5</v>
      </c>
      <c r="N309">
        <v>6</v>
      </c>
      <c r="P309" t="s">
        <v>1821</v>
      </c>
      <c r="Q309" t="s">
        <v>1039</v>
      </c>
      <c r="R309" t="s">
        <v>897</v>
      </c>
      <c r="S309" t="s">
        <v>1000</v>
      </c>
      <c r="V309" t="str">
        <f>condiciones_comuna[[#This Row],[Zona Térmica]]&amp;" - "&amp;condiciones_comuna[[#This Row],[Comuna / localidad]]</f>
        <v>Zona C - La Higuera</v>
      </c>
      <c r="W309" t="s">
        <v>1740</v>
      </c>
      <c r="X309" t="s">
        <v>815</v>
      </c>
      <c r="Y309" t="s">
        <v>1680</v>
      </c>
      <c r="Z309" t="s">
        <v>1248</v>
      </c>
      <c r="AA309" t="s">
        <v>463</v>
      </c>
      <c r="AB309">
        <v>6.9</v>
      </c>
      <c r="AC309">
        <v>0.85</v>
      </c>
    </row>
    <row r="310" spans="1:29" x14ac:dyDescent="0.45">
      <c r="A310">
        <v>9</v>
      </c>
      <c r="B310" t="s">
        <v>1022</v>
      </c>
      <c r="C310" t="s">
        <v>544</v>
      </c>
      <c r="D310" t="s">
        <v>999</v>
      </c>
      <c r="E310">
        <v>-71.441957136656967</v>
      </c>
      <c r="F310">
        <v>-36.110445356851862</v>
      </c>
      <c r="J310">
        <v>5</v>
      </c>
      <c r="N310">
        <v>6</v>
      </c>
      <c r="P310" t="s">
        <v>1821</v>
      </c>
      <c r="Q310" t="s">
        <v>1005</v>
      </c>
      <c r="R310" t="s">
        <v>928</v>
      </c>
      <c r="S310" t="s">
        <v>1021</v>
      </c>
      <c r="V310" t="str">
        <f>condiciones_comuna[[#This Row],[Zona Térmica]]&amp;" - "&amp;condiciones_comuna[[#This Row],[Comuna / localidad]]</f>
        <v>Zona C - La Ligua</v>
      </c>
      <c r="W310" t="s">
        <v>1740</v>
      </c>
      <c r="X310" t="s">
        <v>851</v>
      </c>
      <c r="Y310" t="s">
        <v>1681</v>
      </c>
      <c r="Z310" t="s">
        <v>1248</v>
      </c>
      <c r="AA310" t="s">
        <v>516</v>
      </c>
      <c r="AB310">
        <v>4.7</v>
      </c>
      <c r="AC310">
        <v>0.9</v>
      </c>
    </row>
    <row r="311" spans="1:29" x14ac:dyDescent="0.45">
      <c r="A311">
        <v>9</v>
      </c>
      <c r="B311" t="s">
        <v>1022</v>
      </c>
      <c r="C311" t="s">
        <v>544</v>
      </c>
      <c r="D311" t="s">
        <v>1040</v>
      </c>
      <c r="E311">
        <v>-71.646628306496595</v>
      </c>
      <c r="F311">
        <v>-36.262142645314498</v>
      </c>
      <c r="J311">
        <v>5</v>
      </c>
      <c r="N311">
        <v>6</v>
      </c>
      <c r="P311" t="s">
        <v>1821</v>
      </c>
      <c r="Q311" t="s">
        <v>1041</v>
      </c>
      <c r="R311" t="s">
        <v>980</v>
      </c>
      <c r="S311" s="194" t="s">
        <v>1074</v>
      </c>
      <c r="V311" t="str">
        <f>condiciones_comuna[[#This Row],[Zona Térmica]]&amp;" - "&amp;condiciones_comuna[[#This Row],[Comuna / localidad]]</f>
        <v>Zona C - La Serena</v>
      </c>
      <c r="W311" t="s">
        <v>1740</v>
      </c>
      <c r="X311" t="s">
        <v>454</v>
      </c>
      <c r="Y311" t="s">
        <v>1680</v>
      </c>
      <c r="Z311" t="s">
        <v>1248</v>
      </c>
      <c r="AA311" t="s">
        <v>463</v>
      </c>
      <c r="AB311">
        <v>6.9</v>
      </c>
      <c r="AC311">
        <v>0.85</v>
      </c>
    </row>
    <row r="312" spans="1:29" x14ac:dyDescent="0.45">
      <c r="A312">
        <v>9</v>
      </c>
      <c r="B312" t="s">
        <v>1022</v>
      </c>
      <c r="C312" t="s">
        <v>544</v>
      </c>
      <c r="D312" t="s">
        <v>1042</v>
      </c>
      <c r="E312">
        <v>-71.829951073260048</v>
      </c>
      <c r="F312">
        <v>-36.002198656747566</v>
      </c>
      <c r="J312">
        <v>1</v>
      </c>
      <c r="P312" t="s">
        <v>581</v>
      </c>
      <c r="Q312" t="s">
        <v>1043</v>
      </c>
      <c r="R312" t="s">
        <v>985</v>
      </c>
      <c r="S312" s="1" t="s">
        <v>1076</v>
      </c>
      <c r="V312" t="str">
        <f>condiciones_comuna[[#This Row],[Zona Térmica]]&amp;" - "&amp;condiciones_comuna[[#This Row],[Comuna / localidad]]</f>
        <v>Zona C - Licantén</v>
      </c>
      <c r="W312" t="s">
        <v>1740</v>
      </c>
      <c r="X312" t="s">
        <v>984</v>
      </c>
      <c r="Y312" t="s">
        <v>1248</v>
      </c>
      <c r="Z312" t="s">
        <v>1248</v>
      </c>
      <c r="AA312" s="49" t="s">
        <v>558</v>
      </c>
      <c r="AB312">
        <v>3.9</v>
      </c>
      <c r="AC312">
        <v>0.95</v>
      </c>
    </row>
    <row r="313" spans="1:29" x14ac:dyDescent="0.45">
      <c r="A313">
        <v>9</v>
      </c>
      <c r="B313" t="s">
        <v>1022</v>
      </c>
      <c r="C313" t="s">
        <v>544</v>
      </c>
      <c r="D313" t="s">
        <v>1044</v>
      </c>
      <c r="E313">
        <v>-71.927071169752224</v>
      </c>
      <c r="F313">
        <v>-35.628822099350394</v>
      </c>
      <c r="J313">
        <v>1</v>
      </c>
      <c r="P313" t="s">
        <v>581</v>
      </c>
      <c r="Q313" t="s">
        <v>864</v>
      </c>
      <c r="R313" t="s">
        <v>986</v>
      </c>
      <c r="S313" t="s">
        <v>547</v>
      </c>
      <c r="V313" t="str">
        <f>condiciones_comuna[[#This Row],[Zona Térmica]]&amp;" - "&amp;condiciones_comuna[[#This Row],[Comuna / localidad]]</f>
        <v>Zona C - Litueche</v>
      </c>
      <c r="W313" t="s">
        <v>1740</v>
      </c>
      <c r="X313" t="s">
        <v>987</v>
      </c>
      <c r="Y313" t="s">
        <v>1248</v>
      </c>
      <c r="Z313" t="s">
        <v>1248</v>
      </c>
      <c r="AA313" s="49" t="s">
        <v>558</v>
      </c>
      <c r="AB313">
        <v>3.9</v>
      </c>
      <c r="AC313">
        <v>0.95</v>
      </c>
    </row>
    <row r="314" spans="1:29" x14ac:dyDescent="0.45">
      <c r="A314">
        <v>9</v>
      </c>
      <c r="B314" t="s">
        <v>1022</v>
      </c>
      <c r="C314" t="s">
        <v>544</v>
      </c>
      <c r="D314" t="s">
        <v>1045</v>
      </c>
      <c r="E314">
        <v>-71.682930678918936</v>
      </c>
      <c r="F314">
        <v>-35.685562428523639</v>
      </c>
      <c r="J314">
        <v>1</v>
      </c>
      <c r="P314" t="s">
        <v>581</v>
      </c>
      <c r="Q314" t="s">
        <v>1046</v>
      </c>
      <c r="R314" t="s">
        <v>988</v>
      </c>
      <c r="S314" t="s">
        <v>541</v>
      </c>
      <c r="V314" t="str">
        <f>condiciones_comuna[[#This Row],[Zona Térmica]]&amp;" - "&amp;condiciones_comuna[[#This Row],[Comuna / localidad]]</f>
        <v>Zona C - Los Vilos</v>
      </c>
      <c r="W314" t="s">
        <v>1740</v>
      </c>
      <c r="X314" t="s">
        <v>807</v>
      </c>
      <c r="Y314" t="s">
        <v>1248</v>
      </c>
      <c r="Z314" t="s">
        <v>1248</v>
      </c>
      <c r="AA314" t="s">
        <v>463</v>
      </c>
      <c r="AB314">
        <v>6.9</v>
      </c>
      <c r="AC314">
        <v>0.85</v>
      </c>
    </row>
    <row r="315" spans="1:29" x14ac:dyDescent="0.45">
      <c r="A315">
        <v>9</v>
      </c>
      <c r="B315" t="s">
        <v>1022</v>
      </c>
      <c r="C315" t="s">
        <v>544</v>
      </c>
      <c r="D315" t="s">
        <v>1047</v>
      </c>
      <c r="E315">
        <v>-71.544118885718291</v>
      </c>
      <c r="F315">
        <v>-35.689226951312527</v>
      </c>
      <c r="J315">
        <v>1</v>
      </c>
      <c r="P315" t="s">
        <v>581</v>
      </c>
      <c r="Q315" t="s">
        <v>1048</v>
      </c>
      <c r="R315" t="s">
        <v>989</v>
      </c>
      <c r="S315" t="s">
        <v>855</v>
      </c>
      <c r="V315" t="str">
        <f>condiciones_comuna[[#This Row],[Zona Térmica]]&amp;" - "&amp;condiciones_comuna[[#This Row],[Comuna / localidad]]</f>
        <v>Zona C - Navidad</v>
      </c>
      <c r="W315" t="s">
        <v>1740</v>
      </c>
      <c r="X315" t="s">
        <v>1005</v>
      </c>
      <c r="Y315" t="s">
        <v>1248</v>
      </c>
      <c r="Z315" t="s">
        <v>1248</v>
      </c>
      <c r="AA315" s="49" t="s">
        <v>558</v>
      </c>
      <c r="AB315">
        <v>3.9</v>
      </c>
      <c r="AC315">
        <v>0.95</v>
      </c>
    </row>
    <row r="316" spans="1:29" x14ac:dyDescent="0.45">
      <c r="A316">
        <v>9</v>
      </c>
      <c r="B316" t="s">
        <v>1022</v>
      </c>
      <c r="C316" t="s">
        <v>536</v>
      </c>
      <c r="D316" t="s">
        <v>869</v>
      </c>
      <c r="E316">
        <v>-72.275801153887031</v>
      </c>
      <c r="F316">
        <v>-35.363033697041345</v>
      </c>
      <c r="K316">
        <v>1</v>
      </c>
      <c r="P316" t="s">
        <v>584</v>
      </c>
      <c r="Q316" t="s">
        <v>950</v>
      </c>
      <c r="R316" t="s">
        <v>991</v>
      </c>
      <c r="S316" t="s">
        <v>869</v>
      </c>
      <c r="V316" t="str">
        <f>condiciones_comuna[[#This Row],[Zona Térmica]]&amp;" - "&amp;condiciones_comuna[[#This Row],[Comuna / localidad]]</f>
        <v>Zona C - Ovalle</v>
      </c>
      <c r="W316" t="s">
        <v>1740</v>
      </c>
      <c r="X316" t="s">
        <v>459</v>
      </c>
      <c r="Y316" t="s">
        <v>1681</v>
      </c>
      <c r="Z316" t="s">
        <v>1248</v>
      </c>
      <c r="AA316" t="s">
        <v>463</v>
      </c>
      <c r="AB316">
        <v>6.9</v>
      </c>
      <c r="AC316">
        <v>0.85</v>
      </c>
    </row>
    <row r="317" spans="1:29" x14ac:dyDescent="0.45">
      <c r="A317">
        <v>9</v>
      </c>
      <c r="B317" t="s">
        <v>1022</v>
      </c>
      <c r="C317" t="s">
        <v>536</v>
      </c>
      <c r="D317" t="s">
        <v>892</v>
      </c>
      <c r="E317">
        <v>-71.953026331029534</v>
      </c>
      <c r="F317">
        <v>-35.129765741511264</v>
      </c>
      <c r="K317">
        <v>1</v>
      </c>
      <c r="P317" t="s">
        <v>584</v>
      </c>
      <c r="Q317" t="s">
        <v>1049</v>
      </c>
      <c r="R317" t="s">
        <v>992</v>
      </c>
      <c r="S317" t="s">
        <v>892</v>
      </c>
      <c r="V317" t="str">
        <f>condiciones_comuna[[#This Row],[Zona Térmica]]&amp;" - "&amp;condiciones_comuna[[#This Row],[Comuna / localidad]]</f>
        <v>Zona C - Papudo</v>
      </c>
      <c r="W317" t="s">
        <v>1740</v>
      </c>
      <c r="X317" t="s">
        <v>853</v>
      </c>
      <c r="Y317" t="s">
        <v>1248</v>
      </c>
      <c r="Z317" t="s">
        <v>1248</v>
      </c>
      <c r="AA317" t="s">
        <v>516</v>
      </c>
      <c r="AB317">
        <v>4.7</v>
      </c>
      <c r="AC317">
        <v>0.9</v>
      </c>
    </row>
    <row r="318" spans="1:29" x14ac:dyDescent="0.45">
      <c r="A318">
        <v>9</v>
      </c>
      <c r="B318" t="s">
        <v>1022</v>
      </c>
      <c r="C318" t="s">
        <v>536</v>
      </c>
      <c r="D318" t="s">
        <v>909</v>
      </c>
      <c r="E318">
        <v>-72.284382316972113</v>
      </c>
      <c r="F318">
        <v>-35.613519214587527</v>
      </c>
      <c r="K318">
        <v>1</v>
      </c>
      <c r="P318" t="s">
        <v>584</v>
      </c>
      <c r="Q318" t="s">
        <v>989</v>
      </c>
      <c r="R318" t="s">
        <v>993</v>
      </c>
      <c r="S318" t="s">
        <v>530</v>
      </c>
      <c r="V318" t="str">
        <f>condiciones_comuna[[#This Row],[Zona Térmica]]&amp;" - "&amp;condiciones_comuna[[#This Row],[Comuna / localidad]]</f>
        <v>Zona C - Paredones</v>
      </c>
      <c r="W318" t="s">
        <v>1740</v>
      </c>
      <c r="X318" t="s">
        <v>1007</v>
      </c>
      <c r="Y318" t="s">
        <v>1248</v>
      </c>
      <c r="Z318" t="s">
        <v>1248</v>
      </c>
      <c r="AA318" s="49" t="s">
        <v>558</v>
      </c>
      <c r="AB318">
        <v>3.9</v>
      </c>
      <c r="AC318">
        <v>0.95</v>
      </c>
    </row>
    <row r="319" spans="1:29" x14ac:dyDescent="0.45">
      <c r="A319">
        <v>9</v>
      </c>
      <c r="B319" t="s">
        <v>1022</v>
      </c>
      <c r="C319" t="s">
        <v>536</v>
      </c>
      <c r="D319" t="s">
        <v>1022</v>
      </c>
      <c r="E319">
        <v>-71.712060598379225</v>
      </c>
      <c r="F319">
        <v>-35.508303273239321</v>
      </c>
      <c r="J319">
        <v>1</v>
      </c>
      <c r="P319" t="s">
        <v>581</v>
      </c>
      <c r="Q319" t="s">
        <v>771</v>
      </c>
      <c r="R319" t="s">
        <v>994</v>
      </c>
      <c r="S319" t="s">
        <v>909</v>
      </c>
      <c r="V319" t="str">
        <f>condiciones_comuna[[#This Row],[Zona Térmica]]&amp;" - "&amp;condiciones_comuna[[#This Row],[Comuna / localidad]]</f>
        <v>Zona C - Pichilemu</v>
      </c>
      <c r="W319" t="s">
        <v>1740</v>
      </c>
      <c r="X319" t="s">
        <v>1009</v>
      </c>
      <c r="Y319" t="s">
        <v>1248</v>
      </c>
      <c r="Z319" t="s">
        <v>1248</v>
      </c>
      <c r="AA319" s="49" t="s">
        <v>558</v>
      </c>
      <c r="AB319">
        <v>3.9</v>
      </c>
      <c r="AC319">
        <v>0.95</v>
      </c>
    </row>
    <row r="320" spans="1:29" x14ac:dyDescent="0.45">
      <c r="A320">
        <v>9</v>
      </c>
      <c r="B320" t="s">
        <v>1022</v>
      </c>
      <c r="C320" t="s">
        <v>536</v>
      </c>
      <c r="D320" t="s">
        <v>1050</v>
      </c>
      <c r="E320">
        <v>-71.350010200028876</v>
      </c>
      <c r="F320">
        <v>-35.383078976106724</v>
      </c>
      <c r="J320">
        <v>1</v>
      </c>
      <c r="P320" t="s">
        <v>581</v>
      </c>
      <c r="Q320" t="s">
        <v>843</v>
      </c>
      <c r="R320" t="s">
        <v>996</v>
      </c>
      <c r="S320" t="s">
        <v>935</v>
      </c>
      <c r="V320" t="str">
        <f>condiciones_comuna[[#This Row],[Zona Térmica]]&amp;" - "&amp;condiciones_comuna[[#This Row],[Comuna / localidad]]</f>
        <v>Zona C - Puchuncaví</v>
      </c>
      <c r="W320" t="s">
        <v>1740</v>
      </c>
      <c r="X320" t="s">
        <v>891</v>
      </c>
      <c r="Y320" t="s">
        <v>1248</v>
      </c>
      <c r="Z320" t="s">
        <v>1248</v>
      </c>
      <c r="AA320" t="s">
        <v>516</v>
      </c>
      <c r="AB320">
        <v>4.7</v>
      </c>
      <c r="AC320">
        <v>0.9</v>
      </c>
    </row>
    <row r="321" spans="1:29" x14ac:dyDescent="0.45">
      <c r="A321">
        <v>9</v>
      </c>
      <c r="B321" t="s">
        <v>1022</v>
      </c>
      <c r="C321" t="s">
        <v>536</v>
      </c>
      <c r="D321" t="s">
        <v>1051</v>
      </c>
      <c r="E321">
        <v>-71.816144028507253</v>
      </c>
      <c r="F321">
        <v>-35.327545197150748</v>
      </c>
      <c r="J321">
        <v>1</v>
      </c>
      <c r="P321" t="s">
        <v>581</v>
      </c>
      <c r="Q321" t="s">
        <v>561</v>
      </c>
      <c r="R321" t="s">
        <v>998</v>
      </c>
      <c r="S321" t="s">
        <v>984</v>
      </c>
      <c r="V321" t="str">
        <f>condiciones_comuna[[#This Row],[Zona Térmica]]&amp;" - "&amp;condiciones_comuna[[#This Row],[Comuna / localidad]]</f>
        <v>Zona C - Quintero</v>
      </c>
      <c r="W321" t="s">
        <v>1740</v>
      </c>
      <c r="X321" t="s">
        <v>472</v>
      </c>
      <c r="Y321" t="s">
        <v>1248</v>
      </c>
      <c r="Z321" t="s">
        <v>1248</v>
      </c>
      <c r="AA321" t="s">
        <v>516</v>
      </c>
      <c r="AB321">
        <v>4.7</v>
      </c>
      <c r="AC321">
        <v>0.9</v>
      </c>
    </row>
    <row r="322" spans="1:29" x14ac:dyDescent="0.45">
      <c r="A322">
        <v>9</v>
      </c>
      <c r="B322" t="s">
        <v>1022</v>
      </c>
      <c r="C322" t="s">
        <v>536</v>
      </c>
      <c r="D322" t="s">
        <v>1052</v>
      </c>
      <c r="E322">
        <v>-71.268862600050866</v>
      </c>
      <c r="F322">
        <v>-35.260626067921123</v>
      </c>
      <c r="J322">
        <v>1</v>
      </c>
      <c r="P322" t="s">
        <v>581</v>
      </c>
      <c r="Q322" t="s">
        <v>459</v>
      </c>
      <c r="R322" t="s">
        <v>1000</v>
      </c>
      <c r="S322" t="s">
        <v>544</v>
      </c>
      <c r="V322" t="str">
        <f>condiciones_comuna[[#This Row],[Zona Térmica]]&amp;" - "&amp;condiciones_comuna[[#This Row],[Comuna / localidad]]</f>
        <v>Zona C - San Antonio</v>
      </c>
      <c r="W322" t="s">
        <v>1740</v>
      </c>
      <c r="X322" t="s">
        <v>865</v>
      </c>
      <c r="Y322" t="s">
        <v>1248</v>
      </c>
      <c r="Z322" t="s">
        <v>1248</v>
      </c>
      <c r="AA322" t="s">
        <v>516</v>
      </c>
      <c r="AB322">
        <v>4.7</v>
      </c>
      <c r="AC322">
        <v>0.9</v>
      </c>
    </row>
    <row r="323" spans="1:29" x14ac:dyDescent="0.45">
      <c r="A323">
        <v>9</v>
      </c>
      <c r="B323" t="s">
        <v>1022</v>
      </c>
      <c r="C323" t="s">
        <v>536</v>
      </c>
      <c r="D323" t="s">
        <v>1053</v>
      </c>
      <c r="E323">
        <v>-70.849229255991517</v>
      </c>
      <c r="F323">
        <v>-35.711929328885667</v>
      </c>
      <c r="J323">
        <v>5</v>
      </c>
      <c r="N323">
        <v>6</v>
      </c>
      <c r="P323" t="s">
        <v>1821</v>
      </c>
      <c r="Q323" t="s">
        <v>974</v>
      </c>
      <c r="R323" s="193" t="s">
        <v>1054</v>
      </c>
      <c r="S323" t="s">
        <v>999</v>
      </c>
      <c r="V323" t="str">
        <f>condiciones_comuna[[#This Row],[Zona Térmica]]&amp;" - "&amp;condiciones_comuna[[#This Row],[Comuna / localidad]]</f>
        <v>Zona C - Santo Domingo</v>
      </c>
      <c r="W323" t="s">
        <v>1740</v>
      </c>
      <c r="X323" t="s">
        <v>873</v>
      </c>
      <c r="Y323" t="s">
        <v>1248</v>
      </c>
      <c r="Z323" t="s">
        <v>1248</v>
      </c>
      <c r="AA323" t="s">
        <v>516</v>
      </c>
      <c r="AB323">
        <v>4.7</v>
      </c>
      <c r="AC323">
        <v>0.9</v>
      </c>
    </row>
    <row r="324" spans="1:29" x14ac:dyDescent="0.45">
      <c r="A324">
        <v>9</v>
      </c>
      <c r="B324" t="s">
        <v>1022</v>
      </c>
      <c r="C324" t="s">
        <v>536</v>
      </c>
      <c r="D324" t="s">
        <v>1055</v>
      </c>
      <c r="E324">
        <v>-71.500469487527639</v>
      </c>
      <c r="F324">
        <v>-35.301517544200138</v>
      </c>
      <c r="J324">
        <v>1</v>
      </c>
      <c r="P324" t="s">
        <v>581</v>
      </c>
      <c r="Q324" t="s">
        <v>1056</v>
      </c>
      <c r="R324" t="s">
        <v>957</v>
      </c>
      <c r="S324" t="s">
        <v>1022</v>
      </c>
      <c r="V324" t="str">
        <f>condiciones_comuna[[#This Row],[Zona Térmica]]&amp;" - "&amp;condiciones_comuna[[#This Row],[Comuna / localidad]]</f>
        <v>Zona C - Valparaíso</v>
      </c>
      <c r="W324" t="s">
        <v>1740</v>
      </c>
      <c r="X324" t="s">
        <v>474</v>
      </c>
      <c r="Y324" t="s">
        <v>1248</v>
      </c>
      <c r="Z324" t="s">
        <v>1248</v>
      </c>
      <c r="AA324" t="s">
        <v>516</v>
      </c>
      <c r="AB324">
        <v>4.7</v>
      </c>
      <c r="AC324">
        <v>0.9</v>
      </c>
    </row>
    <row r="325" spans="1:29" x14ac:dyDescent="0.45">
      <c r="A325">
        <v>9</v>
      </c>
      <c r="B325" t="s">
        <v>1022</v>
      </c>
      <c r="C325" t="s">
        <v>536</v>
      </c>
      <c r="D325" t="s">
        <v>536</v>
      </c>
      <c r="E325">
        <v>-71.602252436234224</v>
      </c>
      <c r="F325">
        <v>-35.427869812359162</v>
      </c>
      <c r="J325">
        <v>1</v>
      </c>
      <c r="P325" t="s">
        <v>581</v>
      </c>
      <c r="Q325" t="s">
        <v>818</v>
      </c>
      <c r="R325" t="s">
        <v>987</v>
      </c>
      <c r="S325" t="s">
        <v>1028</v>
      </c>
      <c r="V325" t="str">
        <f>condiciones_comuna[[#This Row],[Zona Térmica]]&amp;" - "&amp;condiciones_comuna[[#This Row],[Comuna / localidad]]</f>
        <v>Zona C - Vichuquén</v>
      </c>
      <c r="W325" t="s">
        <v>1740</v>
      </c>
      <c r="X325" t="s">
        <v>1037</v>
      </c>
      <c r="Y325" t="s">
        <v>1248</v>
      </c>
      <c r="Z325" t="s">
        <v>1248</v>
      </c>
      <c r="AA325" s="49" t="s">
        <v>558</v>
      </c>
      <c r="AB325">
        <v>3.9</v>
      </c>
      <c r="AC325">
        <v>0.95</v>
      </c>
    </row>
    <row r="326" spans="1:29" x14ac:dyDescent="0.45">
      <c r="A326">
        <v>10</v>
      </c>
      <c r="B326" t="s">
        <v>1057</v>
      </c>
      <c r="C326" t="s">
        <v>1058</v>
      </c>
      <c r="D326" t="s">
        <v>770</v>
      </c>
      <c r="E326">
        <v>-72.29002493991274</v>
      </c>
      <c r="F326">
        <v>-36.790405730301025</v>
      </c>
      <c r="L326">
        <v>1</v>
      </c>
      <c r="P326" t="s">
        <v>586</v>
      </c>
      <c r="Q326" t="s">
        <v>1059</v>
      </c>
      <c r="R326" t="s">
        <v>1004</v>
      </c>
      <c r="S326" t="s">
        <v>1040</v>
      </c>
      <c r="V326" t="str">
        <f>condiciones_comuna[[#This Row],[Zona Térmica]]&amp;" - "&amp;condiciones_comuna[[#This Row],[Comuna / localidad]]</f>
        <v>Zona C - Viña del Mar</v>
      </c>
      <c r="W326" t="s">
        <v>1740</v>
      </c>
      <c r="X326" t="s">
        <v>469</v>
      </c>
      <c r="Y326" t="s">
        <v>1248</v>
      </c>
      <c r="Z326" t="s">
        <v>1248</v>
      </c>
      <c r="AA326" t="s">
        <v>516</v>
      </c>
      <c r="AB326">
        <v>4.7</v>
      </c>
      <c r="AC326">
        <v>0.9</v>
      </c>
    </row>
    <row r="327" spans="1:29" x14ac:dyDescent="0.45">
      <c r="A327">
        <v>10</v>
      </c>
      <c r="B327" t="s">
        <v>1057</v>
      </c>
      <c r="C327" t="s">
        <v>1058</v>
      </c>
      <c r="D327" t="s">
        <v>550</v>
      </c>
      <c r="E327">
        <v>-72.128721019228649</v>
      </c>
      <c r="F327">
        <v>-36.617488949385134</v>
      </c>
      <c r="L327">
        <v>1</v>
      </c>
      <c r="P327" t="s">
        <v>586</v>
      </c>
      <c r="Q327" t="s">
        <v>911</v>
      </c>
      <c r="R327" t="s">
        <v>1005</v>
      </c>
      <c r="S327" t="s">
        <v>1050</v>
      </c>
      <c r="V327" t="str">
        <f>condiciones_comuna[[#This Row],[Zona Térmica]]&amp;" - "&amp;condiciones_comuna[[#This Row],[Comuna / localidad]]</f>
        <v>Zona C - Zapallar</v>
      </c>
      <c r="W327" t="s">
        <v>1740</v>
      </c>
      <c r="X327" t="s">
        <v>856</v>
      </c>
      <c r="Y327" t="s">
        <v>1248</v>
      </c>
      <c r="Z327" t="s">
        <v>1248</v>
      </c>
      <c r="AA327" t="s">
        <v>516</v>
      </c>
      <c r="AB327">
        <v>4.7</v>
      </c>
      <c r="AC327">
        <v>0.9</v>
      </c>
    </row>
    <row r="328" spans="1:29" ht="15.75" customHeight="1" x14ac:dyDescent="0.45">
      <c r="A328">
        <v>10</v>
      </c>
      <c r="B328" t="s">
        <v>1057</v>
      </c>
      <c r="C328" t="s">
        <v>1058</v>
      </c>
      <c r="D328" t="s">
        <v>831</v>
      </c>
      <c r="E328">
        <v>-72.198805656433649</v>
      </c>
      <c r="F328">
        <v>-36.680351563383709</v>
      </c>
      <c r="L328">
        <v>1</v>
      </c>
      <c r="P328" t="s">
        <v>586</v>
      </c>
      <c r="Q328" t="s">
        <v>1060</v>
      </c>
      <c r="R328" t="s">
        <v>1007</v>
      </c>
      <c r="S328" t="s">
        <v>1025</v>
      </c>
      <c r="V328" t="str">
        <f>condiciones_comuna[[#This Row],[Zona Térmica]]&amp;" - "&amp;condiciones_comuna[[#This Row],[Comuna / localidad]]</f>
        <v>Zona D - Todas las comunas excepto San José de Maipo</v>
      </c>
      <c r="W328" t="s">
        <v>1741</v>
      </c>
      <c r="X328" t="s">
        <v>1684</v>
      </c>
      <c r="Y328" t="s">
        <v>1248</v>
      </c>
      <c r="Z328" t="s">
        <v>1248</v>
      </c>
      <c r="AA328" s="49" t="s">
        <v>537</v>
      </c>
      <c r="AB328">
        <v>2.2000000000000002</v>
      </c>
      <c r="AC328">
        <v>0.92</v>
      </c>
    </row>
    <row r="329" spans="1:29" x14ac:dyDescent="0.45">
      <c r="A329">
        <v>10</v>
      </c>
      <c r="B329" t="s">
        <v>1057</v>
      </c>
      <c r="C329" t="s">
        <v>1058</v>
      </c>
      <c r="D329" t="s">
        <v>901</v>
      </c>
      <c r="E329">
        <v>-71.847108154404125</v>
      </c>
      <c r="F329">
        <v>-36.92511170757367</v>
      </c>
      <c r="L329">
        <v>1</v>
      </c>
      <c r="P329" t="s">
        <v>586</v>
      </c>
      <c r="Q329" t="s">
        <v>1015</v>
      </c>
      <c r="R329" t="s">
        <v>1009</v>
      </c>
      <c r="S329" t="s">
        <v>1051</v>
      </c>
      <c r="V329" t="str">
        <f>condiciones_comuna[[#This Row],[Zona Térmica]]&amp;" - "&amp;condiciones_comuna[[#This Row],[Comuna / localidad]]</f>
        <v>Zona D - Alhué</v>
      </c>
      <c r="W329" t="s">
        <v>1741</v>
      </c>
      <c r="X329" t="s">
        <v>733</v>
      </c>
      <c r="Y329" t="s">
        <v>1248</v>
      </c>
      <c r="Z329" t="s">
        <v>1248</v>
      </c>
      <c r="AA329" s="49" t="s">
        <v>537</v>
      </c>
      <c r="AB329">
        <v>2.2000000000000002</v>
      </c>
      <c r="AC329">
        <v>0.92</v>
      </c>
    </row>
    <row r="330" spans="1:29" x14ac:dyDescent="0.45">
      <c r="A330">
        <v>10</v>
      </c>
      <c r="B330" t="s">
        <v>1057</v>
      </c>
      <c r="C330" t="s">
        <v>1058</v>
      </c>
      <c r="D330" t="s">
        <v>1061</v>
      </c>
      <c r="E330">
        <v>-72.067848786548481</v>
      </c>
      <c r="F330">
        <v>-36.983065836977865</v>
      </c>
      <c r="L330">
        <v>1</v>
      </c>
      <c r="P330" t="s">
        <v>586</v>
      </c>
      <c r="Q330" t="s">
        <v>1062</v>
      </c>
      <c r="R330" s="193" t="s">
        <v>1063</v>
      </c>
      <c r="S330" t="s">
        <v>1029</v>
      </c>
      <c r="V330" t="str">
        <f>condiciones_comuna[[#This Row],[Zona Térmica]]&amp;" - "&amp;condiciones_comuna[[#This Row],[Comuna / localidad]]</f>
        <v>Zona D - Buin</v>
      </c>
      <c r="W330" t="s">
        <v>1741</v>
      </c>
      <c r="X330" t="s">
        <v>768</v>
      </c>
      <c r="Y330" t="s">
        <v>1248</v>
      </c>
      <c r="Z330" t="s">
        <v>1248</v>
      </c>
      <c r="AA330" s="49" t="s">
        <v>537</v>
      </c>
      <c r="AB330">
        <v>2.2000000000000002</v>
      </c>
      <c r="AC330">
        <v>0.92</v>
      </c>
    </row>
    <row r="331" spans="1:29" x14ac:dyDescent="0.45">
      <c r="A331">
        <v>10</v>
      </c>
      <c r="B331" t="s">
        <v>1057</v>
      </c>
      <c r="C331" t="s">
        <v>1058</v>
      </c>
      <c r="D331" t="s">
        <v>1064</v>
      </c>
      <c r="E331">
        <v>-71.500459387433608</v>
      </c>
      <c r="F331">
        <v>-36.921294766924149</v>
      </c>
      <c r="L331">
        <v>5</v>
      </c>
      <c r="N331">
        <v>6</v>
      </c>
      <c r="P331" t="s">
        <v>1823</v>
      </c>
      <c r="Q331" t="s">
        <v>880</v>
      </c>
      <c r="R331" t="s">
        <v>824</v>
      </c>
      <c r="S331" t="s">
        <v>1042</v>
      </c>
      <c r="V331" t="str">
        <f>condiciones_comuna[[#This Row],[Zona Térmica]]&amp;" - "&amp;condiciones_comuna[[#This Row],[Comuna / localidad]]</f>
        <v>Zona D - Cabildo</v>
      </c>
      <c r="W331" t="s">
        <v>1741</v>
      </c>
      <c r="X331" t="s">
        <v>772</v>
      </c>
      <c r="Y331" t="s">
        <v>1248</v>
      </c>
      <c r="Z331" t="s">
        <v>1674</v>
      </c>
      <c r="AA331" s="139" t="s">
        <v>516</v>
      </c>
      <c r="AB331">
        <v>4.7</v>
      </c>
      <c r="AC331">
        <v>0.9</v>
      </c>
    </row>
    <row r="332" spans="1:29" x14ac:dyDescent="0.45">
      <c r="A332">
        <v>10</v>
      </c>
      <c r="B332" t="s">
        <v>1057</v>
      </c>
      <c r="C332" t="s">
        <v>1058</v>
      </c>
      <c r="D332" t="s">
        <v>1065</v>
      </c>
      <c r="E332">
        <v>-72.501801904567699</v>
      </c>
      <c r="F332">
        <v>-36.818455354649039</v>
      </c>
      <c r="L332">
        <v>1</v>
      </c>
      <c r="P332" t="s">
        <v>586</v>
      </c>
      <c r="Q332" t="s">
        <v>853</v>
      </c>
      <c r="R332" t="s">
        <v>832</v>
      </c>
      <c r="S332" t="s">
        <v>1052</v>
      </c>
      <c r="V332" t="str">
        <f>condiciones_comuna[[#This Row],[Zona Térmica]]&amp;" - "&amp;condiciones_comuna[[#This Row],[Comuna / localidad]]</f>
        <v>Zona D - Calera</v>
      </c>
      <c r="W332" t="s">
        <v>1741</v>
      </c>
      <c r="X332" t="s">
        <v>790</v>
      </c>
      <c r="Y332" t="s">
        <v>1248</v>
      </c>
      <c r="Z332" t="s">
        <v>1248</v>
      </c>
      <c r="AA332" s="139" t="s">
        <v>516</v>
      </c>
      <c r="AB332">
        <v>4.7</v>
      </c>
      <c r="AC332">
        <v>0.9</v>
      </c>
    </row>
    <row r="333" spans="1:29" x14ac:dyDescent="0.45">
      <c r="A333">
        <v>10</v>
      </c>
      <c r="B333" t="s">
        <v>1057</v>
      </c>
      <c r="C333" t="s">
        <v>1058</v>
      </c>
      <c r="D333" t="s">
        <v>1066</v>
      </c>
      <c r="E333">
        <v>-72.029396747309661</v>
      </c>
      <c r="F333">
        <v>-36.822450288388325</v>
      </c>
      <c r="L333">
        <v>1</v>
      </c>
      <c r="P333" t="s">
        <v>586</v>
      </c>
      <c r="Q333" t="s">
        <v>1007</v>
      </c>
      <c r="R333" t="s">
        <v>995</v>
      </c>
      <c r="S333" t="s">
        <v>1031</v>
      </c>
      <c r="V333" t="str">
        <f>condiciones_comuna[[#This Row],[Zona Térmica]]&amp;" - "&amp;condiciones_comuna[[#This Row],[Comuna / localidad]]</f>
        <v>Zona D - Calera de Tango</v>
      </c>
      <c r="W333" t="s">
        <v>1741</v>
      </c>
      <c r="X333" t="s">
        <v>792</v>
      </c>
      <c r="Y333" t="s">
        <v>1248</v>
      </c>
      <c r="Z333" t="s">
        <v>1248</v>
      </c>
      <c r="AA333" s="49" t="s">
        <v>537</v>
      </c>
      <c r="AB333">
        <v>2.2000000000000002</v>
      </c>
      <c r="AC333">
        <v>0.92</v>
      </c>
    </row>
    <row r="334" spans="1:29" x14ac:dyDescent="0.45">
      <c r="A334">
        <v>10</v>
      </c>
      <c r="B334" t="s">
        <v>1057</v>
      </c>
      <c r="C334" t="s">
        <v>1058</v>
      </c>
      <c r="D334" t="s">
        <v>1067</v>
      </c>
      <c r="E334">
        <v>-71.930582262887299</v>
      </c>
      <c r="F334">
        <v>-37.104672412386165</v>
      </c>
      <c r="L334">
        <v>5</v>
      </c>
      <c r="N334">
        <v>6</v>
      </c>
      <c r="P334" t="s">
        <v>1823</v>
      </c>
      <c r="Q334" t="s">
        <v>1040</v>
      </c>
      <c r="R334" t="s">
        <v>1014</v>
      </c>
      <c r="S334" t="s">
        <v>1033</v>
      </c>
      <c r="V334" t="str">
        <f>condiciones_comuna[[#This Row],[Zona Térmica]]&amp;" - "&amp;condiciones_comuna[[#This Row],[Comuna / localidad]]</f>
        <v>Zona D - Calle Larga</v>
      </c>
      <c r="W334" t="s">
        <v>1741</v>
      </c>
      <c r="X334" t="s">
        <v>794</v>
      </c>
      <c r="Y334" t="s">
        <v>1248</v>
      </c>
      <c r="Z334" t="s">
        <v>1248</v>
      </c>
      <c r="AA334" s="139" t="s">
        <v>516</v>
      </c>
      <c r="AB334">
        <v>4.7</v>
      </c>
      <c r="AC334">
        <v>0.9</v>
      </c>
    </row>
    <row r="335" spans="1:29" x14ac:dyDescent="0.45">
      <c r="A335">
        <v>10</v>
      </c>
      <c r="B335" t="s">
        <v>1057</v>
      </c>
      <c r="C335" t="s">
        <v>1068</v>
      </c>
      <c r="D335" t="s">
        <v>842</v>
      </c>
      <c r="E335">
        <v>-72.720597284054136</v>
      </c>
      <c r="F335">
        <v>-36.180878277382263</v>
      </c>
      <c r="K335">
        <v>1</v>
      </c>
      <c r="P335" t="s">
        <v>584</v>
      </c>
      <c r="Q335" t="s">
        <v>952</v>
      </c>
      <c r="R335" t="s">
        <v>1015</v>
      </c>
      <c r="S335" t="s">
        <v>1053</v>
      </c>
      <c r="V335" t="str">
        <f>condiciones_comuna[[#This Row],[Zona Térmica]]&amp;" - "&amp;condiciones_comuna[[#This Row],[Comuna / localidad]]</f>
        <v>Zona D - Catemu</v>
      </c>
      <c r="W335" t="s">
        <v>1741</v>
      </c>
      <c r="X335" t="s">
        <v>813</v>
      </c>
      <c r="Y335" t="s">
        <v>1248</v>
      </c>
      <c r="Z335" t="s">
        <v>1248</v>
      </c>
      <c r="AA335" s="139" t="s">
        <v>516</v>
      </c>
      <c r="AB335">
        <v>4.7</v>
      </c>
      <c r="AC335">
        <v>0.9</v>
      </c>
    </row>
    <row r="336" spans="1:29" x14ac:dyDescent="0.45">
      <c r="A336">
        <v>10</v>
      </c>
      <c r="B336" t="s">
        <v>1057</v>
      </c>
      <c r="C336" t="s">
        <v>1068</v>
      </c>
      <c r="D336" t="s">
        <v>849</v>
      </c>
      <c r="E336">
        <v>-72.750419842079197</v>
      </c>
      <c r="F336">
        <v>-36.504978232066598</v>
      </c>
      <c r="K336">
        <v>1</v>
      </c>
      <c r="P336" t="s">
        <v>584</v>
      </c>
      <c r="Q336" t="s">
        <v>1050</v>
      </c>
      <c r="R336" t="s">
        <v>1016</v>
      </c>
      <c r="S336" t="s">
        <v>1044</v>
      </c>
      <c r="V336" t="str">
        <f>condiciones_comuna[[#This Row],[Zona Térmica]]&amp;" - "&amp;condiciones_comuna[[#This Row],[Comuna / localidad]]</f>
        <v>Zona D - Cerrillos</v>
      </c>
      <c r="W336" t="s">
        <v>1741</v>
      </c>
      <c r="X336" t="s">
        <v>816</v>
      </c>
      <c r="Y336" t="s">
        <v>1248</v>
      </c>
      <c r="Z336" t="s">
        <v>1248</v>
      </c>
      <c r="AA336" s="49" t="s">
        <v>537</v>
      </c>
      <c r="AB336">
        <v>2.2000000000000002</v>
      </c>
      <c r="AC336">
        <v>0.92</v>
      </c>
    </row>
    <row r="337" spans="1:29" x14ac:dyDescent="0.45">
      <c r="A337">
        <v>10</v>
      </c>
      <c r="B337" t="s">
        <v>1057</v>
      </c>
      <c r="C337" t="s">
        <v>1068</v>
      </c>
      <c r="D337" t="s">
        <v>1043</v>
      </c>
      <c r="E337">
        <v>-72.409709090863004</v>
      </c>
      <c r="F337">
        <v>-36.356756877444312</v>
      </c>
      <c r="L337">
        <v>1</v>
      </c>
      <c r="P337" t="s">
        <v>586</v>
      </c>
      <c r="Q337" t="s">
        <v>1025</v>
      </c>
      <c r="R337" t="s">
        <v>1018</v>
      </c>
      <c r="S337" t="s">
        <v>1055</v>
      </c>
      <c r="V337" t="str">
        <f>condiciones_comuna[[#This Row],[Zona Térmica]]&amp;" - "&amp;condiciones_comuna[[#This Row],[Comuna / localidad]]</f>
        <v>Zona D - Cerro Navia</v>
      </c>
      <c r="W337" t="s">
        <v>1741</v>
      </c>
      <c r="X337" t="s">
        <v>817</v>
      </c>
      <c r="Y337" t="s">
        <v>1248</v>
      </c>
      <c r="Z337" t="s">
        <v>1248</v>
      </c>
      <c r="AA337" s="49" t="s">
        <v>537</v>
      </c>
      <c r="AB337">
        <v>2.2000000000000002</v>
      </c>
      <c r="AC337">
        <v>0.92</v>
      </c>
    </row>
    <row r="338" spans="1:29" x14ac:dyDescent="0.45">
      <c r="A338">
        <v>10</v>
      </c>
      <c r="B338" t="s">
        <v>1057</v>
      </c>
      <c r="C338" t="s">
        <v>1068</v>
      </c>
      <c r="D338" t="s">
        <v>1069</v>
      </c>
      <c r="E338">
        <v>-72.466634123524344</v>
      </c>
      <c r="F338">
        <v>-36.546281144823894</v>
      </c>
      <c r="L338">
        <v>1</v>
      </c>
      <c r="P338" t="s">
        <v>586</v>
      </c>
      <c r="Q338" t="s">
        <v>1061</v>
      </c>
      <c r="R338" t="s">
        <v>1019</v>
      </c>
      <c r="S338" t="s">
        <v>536</v>
      </c>
      <c r="V338" t="str">
        <f>condiciones_comuna[[#This Row],[Zona Térmica]]&amp;" - "&amp;condiciones_comuna[[#This Row],[Comuna / localidad]]</f>
        <v>Zona D - Chépica</v>
      </c>
      <c r="W338" t="s">
        <v>1741</v>
      </c>
      <c r="X338" t="s">
        <v>824</v>
      </c>
      <c r="Y338" t="s">
        <v>1248</v>
      </c>
      <c r="Z338" t="s">
        <v>1248</v>
      </c>
      <c r="AA338" s="49" t="s">
        <v>555</v>
      </c>
      <c r="AB338">
        <v>4.4000000000000004</v>
      </c>
      <c r="AC338">
        <v>0.9</v>
      </c>
    </row>
    <row r="339" spans="1:29" x14ac:dyDescent="0.45">
      <c r="A339">
        <v>10</v>
      </c>
      <c r="B339" t="s">
        <v>1057</v>
      </c>
      <c r="C339" t="s">
        <v>1068</v>
      </c>
      <c r="D339" t="s">
        <v>1070</v>
      </c>
      <c r="E339">
        <v>-72.543653199576696</v>
      </c>
      <c r="F339">
        <v>-36.235603814146963</v>
      </c>
      <c r="K339">
        <v>1</v>
      </c>
      <c r="P339" t="s">
        <v>584</v>
      </c>
      <c r="Q339" t="s">
        <v>1051</v>
      </c>
      <c r="R339" t="s">
        <v>1020</v>
      </c>
      <c r="S339" t="s">
        <v>1035</v>
      </c>
      <c r="V339" t="str">
        <f>condiciones_comuna[[#This Row],[Zona Térmica]]&amp;" - "&amp;condiciones_comuna[[#This Row],[Comuna / localidad]]</f>
        <v>Zona D - Chimbarongo</v>
      </c>
      <c r="W339" t="s">
        <v>1741</v>
      </c>
      <c r="X339" t="s">
        <v>832</v>
      </c>
      <c r="Y339" t="s">
        <v>1248</v>
      </c>
      <c r="Z339" t="s">
        <v>1248</v>
      </c>
      <c r="AA339" s="49" t="s">
        <v>555</v>
      </c>
      <c r="AB339">
        <v>4.4000000000000004</v>
      </c>
      <c r="AC339">
        <v>0.9</v>
      </c>
    </row>
    <row r="340" spans="1:29" x14ac:dyDescent="0.45">
      <c r="A340">
        <v>10</v>
      </c>
      <c r="B340" t="s">
        <v>1057</v>
      </c>
      <c r="C340" t="s">
        <v>1068</v>
      </c>
      <c r="D340" t="s">
        <v>1071</v>
      </c>
      <c r="E340">
        <v>-72.587957874930026</v>
      </c>
      <c r="F340">
        <v>-36.640463453374238</v>
      </c>
      <c r="L340">
        <v>1</v>
      </c>
      <c r="P340" t="s">
        <v>586</v>
      </c>
      <c r="Q340" t="s">
        <v>1072</v>
      </c>
      <c r="R340" t="s">
        <v>1021</v>
      </c>
      <c r="S340" t="s">
        <v>1037</v>
      </c>
      <c r="V340" t="str">
        <f>condiciones_comuna[[#This Row],[Zona Térmica]]&amp;" - "&amp;condiciones_comuna[[#This Row],[Comuna / localidad]]</f>
        <v>Zona D - Codegua</v>
      </c>
      <c r="W340" t="s">
        <v>1741</v>
      </c>
      <c r="X340" t="s">
        <v>847</v>
      </c>
      <c r="Y340" t="s">
        <v>1248</v>
      </c>
      <c r="Z340" t="s">
        <v>1683</v>
      </c>
      <c r="AA340" s="7" t="s">
        <v>551</v>
      </c>
      <c r="AB340">
        <v>2.4</v>
      </c>
      <c r="AC340">
        <v>0.97</v>
      </c>
    </row>
    <row r="341" spans="1:29" x14ac:dyDescent="0.45">
      <c r="A341">
        <v>10</v>
      </c>
      <c r="B341" t="s">
        <v>1057</v>
      </c>
      <c r="C341" t="s">
        <v>1068</v>
      </c>
      <c r="D341" t="s">
        <v>1073</v>
      </c>
      <c r="E341">
        <v>-72.659790811832721</v>
      </c>
      <c r="F341">
        <v>-36.428006026964603</v>
      </c>
      <c r="K341">
        <v>1</v>
      </c>
      <c r="P341" t="s">
        <v>584</v>
      </c>
      <c r="Q341" t="s">
        <v>976</v>
      </c>
      <c r="R341" s="194" t="s">
        <v>1074</v>
      </c>
      <c r="S341" t="s">
        <v>1045</v>
      </c>
      <c r="V341" t="str">
        <f>condiciones_comuna[[#This Row],[Zona Térmica]]&amp;" - "&amp;condiciones_comuna[[#This Row],[Comuna / localidad]]</f>
        <v>Zona D - Coinco</v>
      </c>
      <c r="W341" t="s">
        <v>1741</v>
      </c>
      <c r="X341" t="s">
        <v>854</v>
      </c>
      <c r="Y341" t="s">
        <v>1248</v>
      </c>
      <c r="Z341" t="s">
        <v>1248</v>
      </c>
      <c r="AA341" s="7" t="s">
        <v>551</v>
      </c>
      <c r="AB341">
        <v>2.4</v>
      </c>
      <c r="AC341">
        <v>0.97</v>
      </c>
    </row>
    <row r="342" spans="1:29" x14ac:dyDescent="0.45">
      <c r="A342">
        <v>10</v>
      </c>
      <c r="B342" t="s">
        <v>1057</v>
      </c>
      <c r="C342" t="s">
        <v>1075</v>
      </c>
      <c r="D342" t="s">
        <v>852</v>
      </c>
      <c r="E342">
        <v>-71.581738427152473</v>
      </c>
      <c r="F342">
        <v>-36.701921410765436</v>
      </c>
      <c r="L342">
        <v>5</v>
      </c>
      <c r="N342">
        <v>6</v>
      </c>
      <c r="P342" t="s">
        <v>1823</v>
      </c>
      <c r="Q342" t="s">
        <v>954</v>
      </c>
      <c r="R342" s="1" t="s">
        <v>1076</v>
      </c>
      <c r="S342" t="s">
        <v>1047</v>
      </c>
      <c r="V342" t="str">
        <f>condiciones_comuna[[#This Row],[Zona Térmica]]&amp;" - "&amp;condiciones_comuna[[#This Row],[Comuna / localidad]]</f>
        <v>Zona D - Colbún</v>
      </c>
      <c r="W342" t="s">
        <v>1741</v>
      </c>
      <c r="X342" t="s">
        <v>855</v>
      </c>
      <c r="Y342" t="s">
        <v>1248</v>
      </c>
      <c r="Z342" t="s">
        <v>1683</v>
      </c>
      <c r="AA342" s="49" t="s">
        <v>563</v>
      </c>
      <c r="AB342">
        <v>2.6</v>
      </c>
      <c r="AC342">
        <v>0.92</v>
      </c>
    </row>
    <row r="343" spans="1:29" x14ac:dyDescent="0.45">
      <c r="A343">
        <v>10</v>
      </c>
      <c r="B343" t="s">
        <v>1057</v>
      </c>
      <c r="C343" t="s">
        <v>1075</v>
      </c>
      <c r="D343" t="s">
        <v>1048</v>
      </c>
      <c r="E343">
        <v>-71.897901364399004</v>
      </c>
      <c r="F343">
        <v>-36.302293907070116</v>
      </c>
      <c r="L343">
        <v>1</v>
      </c>
      <c r="P343" t="s">
        <v>586</v>
      </c>
      <c r="Q343" t="s">
        <v>1016</v>
      </c>
      <c r="R343" s="193" t="s">
        <v>1077</v>
      </c>
      <c r="S343" s="194" t="s">
        <v>1108</v>
      </c>
      <c r="V343" t="str">
        <f>condiciones_comuna[[#This Row],[Zona Térmica]]&amp;" - "&amp;condiciones_comuna[[#This Row],[Comuna / localidad]]</f>
        <v>Zona D - Colina</v>
      </c>
      <c r="W343" t="s">
        <v>1741</v>
      </c>
      <c r="X343" t="s">
        <v>858</v>
      </c>
      <c r="Y343" t="s">
        <v>1248</v>
      </c>
      <c r="Z343" t="s">
        <v>1674</v>
      </c>
      <c r="AA343" s="49" t="s">
        <v>537</v>
      </c>
      <c r="AB343">
        <v>2.2000000000000002</v>
      </c>
      <c r="AC343">
        <v>0.92</v>
      </c>
    </row>
    <row r="344" spans="1:29" x14ac:dyDescent="0.45">
      <c r="A344">
        <v>10</v>
      </c>
      <c r="B344" t="s">
        <v>1057</v>
      </c>
      <c r="C344" t="s">
        <v>1075</v>
      </c>
      <c r="D344" t="s">
        <v>1078</v>
      </c>
      <c r="E344">
        <v>-72.019061682485187</v>
      </c>
      <c r="F344">
        <v>-36.385742190721466</v>
      </c>
      <c r="L344">
        <v>1</v>
      </c>
      <c r="P344" t="s">
        <v>586</v>
      </c>
      <c r="Q344" t="s">
        <v>1079</v>
      </c>
      <c r="R344" t="s">
        <v>547</v>
      </c>
      <c r="S344" s="1" t="s">
        <v>1110</v>
      </c>
      <c r="V344" t="str">
        <f>condiciones_comuna[[#This Row],[Zona Térmica]]&amp;" - "&amp;condiciones_comuna[[#This Row],[Comuna / localidad]]</f>
        <v>Zona D - Coltauco</v>
      </c>
      <c r="W344" t="s">
        <v>1741</v>
      </c>
      <c r="X344" t="s">
        <v>862</v>
      </c>
      <c r="Y344" t="s">
        <v>1248</v>
      </c>
      <c r="Z344" t="s">
        <v>1248</v>
      </c>
      <c r="AA344" s="7" t="s">
        <v>551</v>
      </c>
      <c r="AB344">
        <v>2.4</v>
      </c>
      <c r="AC344">
        <v>0.97</v>
      </c>
    </row>
    <row r="345" spans="1:29" x14ac:dyDescent="0.45">
      <c r="A345">
        <v>10</v>
      </c>
      <c r="B345" t="s">
        <v>1057</v>
      </c>
      <c r="C345" t="s">
        <v>1075</v>
      </c>
      <c r="D345" t="s">
        <v>1080</v>
      </c>
      <c r="E345">
        <v>-71.287640189999536</v>
      </c>
      <c r="F345">
        <v>-36.579686113017161</v>
      </c>
      <c r="L345">
        <v>5</v>
      </c>
      <c r="N345">
        <v>6</v>
      </c>
      <c r="P345" t="s">
        <v>1823</v>
      </c>
      <c r="Q345" t="s">
        <v>848</v>
      </c>
      <c r="R345" t="s">
        <v>541</v>
      </c>
      <c r="S345" t="s">
        <v>770</v>
      </c>
      <c r="V345" t="str">
        <f>condiciones_comuna[[#This Row],[Zona Térmica]]&amp;" - "&amp;condiciones_comuna[[#This Row],[Comuna / localidad]]</f>
        <v>Zona D - Conchalí</v>
      </c>
      <c r="W345" t="s">
        <v>1741</v>
      </c>
      <c r="X345" t="s">
        <v>866</v>
      </c>
      <c r="Y345" t="s">
        <v>1248</v>
      </c>
      <c r="Z345" t="s">
        <v>1248</v>
      </c>
      <c r="AA345" s="49" t="s">
        <v>537</v>
      </c>
      <c r="AB345">
        <v>2.2000000000000002</v>
      </c>
      <c r="AC345">
        <v>0.92</v>
      </c>
    </row>
    <row r="346" spans="1:29" x14ac:dyDescent="0.45">
      <c r="A346">
        <v>10</v>
      </c>
      <c r="B346" t="s">
        <v>1057</v>
      </c>
      <c r="C346" t="s">
        <v>1075</v>
      </c>
      <c r="D346" t="s">
        <v>1081</v>
      </c>
      <c r="E346">
        <v>-72.228386207691628</v>
      </c>
      <c r="F346">
        <v>-36.479609789140326</v>
      </c>
      <c r="L346">
        <v>1</v>
      </c>
      <c r="P346" t="s">
        <v>586</v>
      </c>
      <c r="Q346" t="s">
        <v>991</v>
      </c>
      <c r="R346" t="s">
        <v>1025</v>
      </c>
      <c r="S346" t="s">
        <v>550</v>
      </c>
      <c r="V346" t="str">
        <f>condiciones_comuna[[#This Row],[Zona Térmica]]&amp;" - "&amp;condiciones_comuna[[#This Row],[Comuna / localidad]]</f>
        <v>Zona D - Curacaví</v>
      </c>
      <c r="W346" t="s">
        <v>1741</v>
      </c>
      <c r="X346" t="s">
        <v>885</v>
      </c>
      <c r="Y346" t="s">
        <v>1248</v>
      </c>
      <c r="Z346" t="s">
        <v>1248</v>
      </c>
      <c r="AA346" s="49" t="s">
        <v>537</v>
      </c>
      <c r="AB346">
        <v>2.2000000000000002</v>
      </c>
      <c r="AC346">
        <v>0.92</v>
      </c>
    </row>
    <row r="347" spans="1:29" x14ac:dyDescent="0.45">
      <c r="A347">
        <v>11</v>
      </c>
      <c r="B347" t="s">
        <v>1082</v>
      </c>
      <c r="C347" t="s">
        <v>762</v>
      </c>
      <c r="D347" t="s">
        <v>762</v>
      </c>
      <c r="E347">
        <v>-73.399809650337446</v>
      </c>
      <c r="F347">
        <v>-37.288593339024537</v>
      </c>
      <c r="K347">
        <v>1</v>
      </c>
      <c r="P347" t="s">
        <v>584</v>
      </c>
      <c r="Q347" t="s">
        <v>758</v>
      </c>
      <c r="R347" s="193" t="s">
        <v>1083</v>
      </c>
      <c r="S347" t="s">
        <v>831</v>
      </c>
      <c r="V347" t="str">
        <f>condiciones_comuna[[#This Row],[Zona Térmica]]&amp;" - "&amp;condiciones_comuna[[#This Row],[Comuna / localidad]]</f>
        <v>Zona D - Curicó</v>
      </c>
      <c r="W347" t="s">
        <v>1741</v>
      </c>
      <c r="X347" t="s">
        <v>530</v>
      </c>
      <c r="Y347" t="s">
        <v>1248</v>
      </c>
      <c r="Z347" t="s">
        <v>1683</v>
      </c>
      <c r="AA347" s="49" t="s">
        <v>560</v>
      </c>
      <c r="AB347">
        <v>3.4</v>
      </c>
      <c r="AC347">
        <v>0.99</v>
      </c>
    </row>
    <row r="348" spans="1:29" x14ac:dyDescent="0.45">
      <c r="A348">
        <v>11</v>
      </c>
      <c r="B348" t="s">
        <v>1082</v>
      </c>
      <c r="C348" t="s">
        <v>762</v>
      </c>
      <c r="D348" t="s">
        <v>800</v>
      </c>
      <c r="E348">
        <v>-73.317300870799698</v>
      </c>
      <c r="F348">
        <v>-37.87366663542511</v>
      </c>
      <c r="K348">
        <v>1</v>
      </c>
      <c r="P348" t="s">
        <v>584</v>
      </c>
      <c r="Q348" t="s">
        <v>992</v>
      </c>
      <c r="R348" t="s">
        <v>530</v>
      </c>
      <c r="S348" t="s">
        <v>842</v>
      </c>
      <c r="V348" t="str">
        <f>condiciones_comuna[[#This Row],[Zona Térmica]]&amp;" - "&amp;condiciones_comuna[[#This Row],[Comuna / localidad]]</f>
        <v>Zona D - Doñihue</v>
      </c>
      <c r="W348" t="s">
        <v>1741</v>
      </c>
      <c r="X348" t="s">
        <v>897</v>
      </c>
      <c r="Y348" t="s">
        <v>1248</v>
      </c>
      <c r="Z348" t="s">
        <v>1248</v>
      </c>
      <c r="AA348" s="7" t="s">
        <v>551</v>
      </c>
      <c r="AB348">
        <v>2.4</v>
      </c>
      <c r="AC348">
        <v>0.97</v>
      </c>
    </row>
    <row r="349" spans="1:29" x14ac:dyDescent="0.45">
      <c r="A349">
        <v>11</v>
      </c>
      <c r="B349" t="s">
        <v>1082</v>
      </c>
      <c r="C349" t="s">
        <v>762</v>
      </c>
      <c r="D349" t="s">
        <v>871</v>
      </c>
      <c r="E349">
        <v>-73.211961699820961</v>
      </c>
      <c r="F349">
        <v>-38.052459315578055</v>
      </c>
      <c r="K349">
        <v>1</v>
      </c>
      <c r="P349" t="s">
        <v>584</v>
      </c>
      <c r="Q349" t="s">
        <v>1009</v>
      </c>
      <c r="R349" t="s">
        <v>935</v>
      </c>
      <c r="S349" t="s">
        <v>849</v>
      </c>
      <c r="V349" t="str">
        <f>condiciones_comuna[[#This Row],[Zona Térmica]]&amp;" - "&amp;condiciones_comuna[[#This Row],[Comuna / localidad]]</f>
        <v>Zona D - El Bosque</v>
      </c>
      <c r="W349" t="s">
        <v>1741</v>
      </c>
      <c r="X349" t="s">
        <v>899</v>
      </c>
      <c r="Y349" t="s">
        <v>1248</v>
      </c>
      <c r="Z349" t="s">
        <v>1248</v>
      </c>
      <c r="AA349" s="49" t="s">
        <v>537</v>
      </c>
      <c r="AB349">
        <v>2.2000000000000002</v>
      </c>
      <c r="AC349">
        <v>0.92</v>
      </c>
    </row>
    <row r="350" spans="1:29" x14ac:dyDescent="0.45">
      <c r="A350">
        <v>11</v>
      </c>
      <c r="B350" t="s">
        <v>1082</v>
      </c>
      <c r="C350" t="s">
        <v>762</v>
      </c>
      <c r="D350" t="s">
        <v>888</v>
      </c>
      <c r="E350">
        <v>-73.2356502851394</v>
      </c>
      <c r="F350">
        <v>-37.482900304278033</v>
      </c>
      <c r="K350">
        <v>1</v>
      </c>
      <c r="P350" t="s">
        <v>584</v>
      </c>
      <c r="Q350" t="s">
        <v>1064</v>
      </c>
      <c r="R350" t="s">
        <v>984</v>
      </c>
      <c r="S350" t="s">
        <v>852</v>
      </c>
      <c r="V350" t="str">
        <f>condiciones_comuna[[#This Row],[Zona Térmica]]&amp;" - "&amp;condiciones_comuna[[#This Row],[Comuna / localidad]]</f>
        <v>Zona D - El Monte</v>
      </c>
      <c r="W350" t="s">
        <v>1741</v>
      </c>
      <c r="X350" t="s">
        <v>904</v>
      </c>
      <c r="Y350" t="s">
        <v>1248</v>
      </c>
      <c r="Z350" t="s">
        <v>1248</v>
      </c>
      <c r="AA350" s="49" t="s">
        <v>537</v>
      </c>
      <c r="AB350">
        <v>2.2000000000000002</v>
      </c>
      <c r="AC350">
        <v>0.92</v>
      </c>
    </row>
    <row r="351" spans="1:29" x14ac:dyDescent="0.45">
      <c r="A351">
        <v>11</v>
      </c>
      <c r="B351" t="s">
        <v>1082</v>
      </c>
      <c r="C351" t="s">
        <v>762</v>
      </c>
      <c r="D351" t="s">
        <v>983</v>
      </c>
      <c r="E351">
        <v>-73.589871027073144</v>
      </c>
      <c r="F351">
        <v>-37.676776555679673</v>
      </c>
      <c r="K351">
        <v>1</v>
      </c>
      <c r="P351" t="s">
        <v>584</v>
      </c>
      <c r="Q351" t="s">
        <v>903</v>
      </c>
      <c r="R351" t="s">
        <v>1028</v>
      </c>
      <c r="S351" t="s">
        <v>901</v>
      </c>
      <c r="V351" t="str">
        <f>condiciones_comuna[[#This Row],[Zona Térmica]]&amp;" - "&amp;condiciones_comuna[[#This Row],[Comuna / localidad]]</f>
        <v>Zona D - Estación Central</v>
      </c>
      <c r="W351" t="s">
        <v>1741</v>
      </c>
      <c r="X351" t="s">
        <v>912</v>
      </c>
      <c r="Y351" t="s">
        <v>1248</v>
      </c>
      <c r="Z351" t="s">
        <v>1248</v>
      </c>
      <c r="AA351" s="49" t="s">
        <v>537</v>
      </c>
      <c r="AB351">
        <v>2.2000000000000002</v>
      </c>
      <c r="AC351">
        <v>0.92</v>
      </c>
    </row>
    <row r="352" spans="1:29" x14ac:dyDescent="0.45">
      <c r="A352">
        <v>11</v>
      </c>
      <c r="B352" t="s">
        <v>1082</v>
      </c>
      <c r="C352" t="s">
        <v>762</v>
      </c>
      <c r="D352" t="s">
        <v>1003</v>
      </c>
      <c r="E352">
        <v>-73.356946254334787</v>
      </c>
      <c r="F352">
        <v>-37.673578479452395</v>
      </c>
      <c r="K352">
        <v>1</v>
      </c>
      <c r="P352" t="s">
        <v>584</v>
      </c>
      <c r="Q352" t="s">
        <v>1084</v>
      </c>
      <c r="R352" t="s">
        <v>1029</v>
      </c>
      <c r="S352" t="s">
        <v>1043</v>
      </c>
      <c r="V352" t="str">
        <f>condiciones_comuna[[#This Row],[Zona Térmica]]&amp;" - "&amp;condiciones_comuna[[#This Row],[Comuna / localidad]]</f>
        <v>Zona D - Graneros</v>
      </c>
      <c r="W352" t="s">
        <v>1741</v>
      </c>
      <c r="X352" t="s">
        <v>928</v>
      </c>
      <c r="Y352" t="s">
        <v>1248</v>
      </c>
      <c r="Z352" t="s">
        <v>1248</v>
      </c>
      <c r="AA352" s="7" t="s">
        <v>551</v>
      </c>
      <c r="AB352">
        <v>2.4</v>
      </c>
      <c r="AC352">
        <v>0.97</v>
      </c>
    </row>
    <row r="353" spans="1:29" x14ac:dyDescent="0.45">
      <c r="A353">
        <v>11</v>
      </c>
      <c r="B353" t="s">
        <v>1082</v>
      </c>
      <c r="C353" t="s">
        <v>762</v>
      </c>
      <c r="D353" t="s">
        <v>1085</v>
      </c>
      <c r="E353">
        <v>-73.394406899640174</v>
      </c>
      <c r="F353">
        <v>-38.29719838054082</v>
      </c>
      <c r="K353">
        <v>1</v>
      </c>
      <c r="P353" t="s">
        <v>584</v>
      </c>
      <c r="Q353" t="s">
        <v>1018</v>
      </c>
      <c r="R353" t="s">
        <v>1031</v>
      </c>
      <c r="S353" t="s">
        <v>1048</v>
      </c>
      <c r="V353" t="str">
        <f>condiciones_comuna[[#This Row],[Zona Térmica]]&amp;" - "&amp;condiciones_comuna[[#This Row],[Comuna / localidad]]</f>
        <v>Zona D - Hijuelas</v>
      </c>
      <c r="W353" t="s">
        <v>1741</v>
      </c>
      <c r="X353" t="s">
        <v>859</v>
      </c>
      <c r="Y353" t="s">
        <v>1248</v>
      </c>
      <c r="Z353" t="s">
        <v>1248</v>
      </c>
      <c r="AA353" s="139" t="s">
        <v>516</v>
      </c>
      <c r="AB353">
        <v>4.7</v>
      </c>
      <c r="AC353">
        <v>0.9</v>
      </c>
    </row>
    <row r="354" spans="1:29" x14ac:dyDescent="0.45">
      <c r="A354">
        <v>11</v>
      </c>
      <c r="B354" t="s">
        <v>1082</v>
      </c>
      <c r="C354" t="s">
        <v>1082</v>
      </c>
      <c r="D354" t="s">
        <v>743</v>
      </c>
      <c r="E354">
        <v>-71.347445958289754</v>
      </c>
      <c r="F354">
        <v>-37.865397586917851</v>
      </c>
      <c r="L354">
        <v>5</v>
      </c>
      <c r="N354">
        <v>6</v>
      </c>
      <c r="P354" t="s">
        <v>1823</v>
      </c>
      <c r="Q354" t="s">
        <v>1069</v>
      </c>
      <c r="R354" t="s">
        <v>1033</v>
      </c>
      <c r="S354" t="s">
        <v>1061</v>
      </c>
      <c r="V354" t="str">
        <f>condiciones_comuna[[#This Row],[Zona Térmica]]&amp;" - "&amp;condiciones_comuna[[#This Row],[Comuna / localidad]]</f>
        <v>Zona D - Hualañé</v>
      </c>
      <c r="W354" t="s">
        <v>1741</v>
      </c>
      <c r="X354" t="s">
        <v>935</v>
      </c>
      <c r="Y354" t="s">
        <v>1248</v>
      </c>
      <c r="Z354" t="s">
        <v>1248</v>
      </c>
      <c r="AA354" s="49" t="s">
        <v>560</v>
      </c>
      <c r="AB354">
        <v>3.4</v>
      </c>
      <c r="AC354">
        <v>0.99</v>
      </c>
    </row>
    <row r="355" spans="1:29" x14ac:dyDescent="0.45">
      <c r="A355">
        <v>11</v>
      </c>
      <c r="B355" t="s">
        <v>1082</v>
      </c>
      <c r="C355" t="s">
        <v>1082</v>
      </c>
      <c r="D355" t="s">
        <v>761</v>
      </c>
      <c r="E355">
        <v>-71.367048215271623</v>
      </c>
      <c r="F355">
        <v>-37.3274487946032</v>
      </c>
      <c r="L355">
        <v>5</v>
      </c>
      <c r="N355">
        <v>6</v>
      </c>
      <c r="P355" t="s">
        <v>1823</v>
      </c>
      <c r="Q355" t="s">
        <v>1086</v>
      </c>
      <c r="R355" t="s">
        <v>1035</v>
      </c>
      <c r="S355" t="s">
        <v>1064</v>
      </c>
      <c r="V355" t="str">
        <f>condiciones_comuna[[#This Row],[Zona Térmica]]&amp;" - "&amp;condiciones_comuna[[#This Row],[Comuna / localidad]]</f>
        <v>Zona D - Huechuraba</v>
      </c>
      <c r="W355" t="s">
        <v>1741</v>
      </c>
      <c r="X355" t="s">
        <v>929</v>
      </c>
      <c r="Y355" t="s">
        <v>1248</v>
      </c>
      <c r="Z355" t="s">
        <v>1248</v>
      </c>
      <c r="AA355" s="49" t="s">
        <v>537</v>
      </c>
      <c r="AB355">
        <v>2.2000000000000002</v>
      </c>
      <c r="AC355">
        <v>0.92</v>
      </c>
    </row>
    <row r="356" spans="1:29" x14ac:dyDescent="0.45">
      <c r="A356">
        <v>11</v>
      </c>
      <c r="B356" t="s">
        <v>1082</v>
      </c>
      <c r="C356" t="s">
        <v>1082</v>
      </c>
      <c r="D356" t="s">
        <v>778</v>
      </c>
      <c r="E356">
        <v>-72.381359373212149</v>
      </c>
      <c r="F356">
        <v>-37.061939199822575</v>
      </c>
      <c r="L356">
        <v>1</v>
      </c>
      <c r="P356" t="s">
        <v>586</v>
      </c>
      <c r="Q356" t="s">
        <v>760</v>
      </c>
      <c r="R356" t="s">
        <v>1037</v>
      </c>
      <c r="S356" t="s">
        <v>1069</v>
      </c>
      <c r="V356" t="str">
        <f>condiciones_comuna[[#This Row],[Zona Térmica]]&amp;" - "&amp;condiciones_comuna[[#This Row],[Comuna / localidad]]</f>
        <v>Zona D - Independencia</v>
      </c>
      <c r="W356" t="s">
        <v>1741</v>
      </c>
      <c r="X356" t="s">
        <v>931</v>
      </c>
      <c r="Y356" t="s">
        <v>1248</v>
      </c>
      <c r="Z356" t="s">
        <v>1248</v>
      </c>
      <c r="AA356" s="49" t="s">
        <v>537</v>
      </c>
      <c r="AB356">
        <v>2.2000000000000002</v>
      </c>
      <c r="AC356">
        <v>0.92</v>
      </c>
    </row>
    <row r="357" spans="1:29" x14ac:dyDescent="0.45">
      <c r="A357">
        <v>11</v>
      </c>
      <c r="B357" t="s">
        <v>1082</v>
      </c>
      <c r="C357" t="s">
        <v>1082</v>
      </c>
      <c r="D357" t="s">
        <v>975</v>
      </c>
      <c r="E357">
        <v>-72.582529664528408</v>
      </c>
      <c r="F357">
        <v>-37.312614074568309</v>
      </c>
      <c r="L357">
        <v>1</v>
      </c>
      <c r="P357" t="s">
        <v>586</v>
      </c>
      <c r="Q357" t="s">
        <v>1087</v>
      </c>
      <c r="R357" s="193" t="s">
        <v>1088</v>
      </c>
      <c r="S357" t="s">
        <v>1065</v>
      </c>
      <c r="V357" t="str">
        <f>condiciones_comuna[[#This Row],[Zona Térmica]]&amp;" - "&amp;condiciones_comuna[[#This Row],[Comuna / localidad]]</f>
        <v>Zona D - Isla de Maipo</v>
      </c>
      <c r="W357" t="s">
        <v>1741</v>
      </c>
      <c r="X357" t="s">
        <v>948</v>
      </c>
      <c r="Y357" t="s">
        <v>1248</v>
      </c>
      <c r="Z357" t="s">
        <v>1248</v>
      </c>
      <c r="AA357" s="49" t="s">
        <v>537</v>
      </c>
      <c r="AB357">
        <v>2.2000000000000002</v>
      </c>
      <c r="AC357">
        <v>0.92</v>
      </c>
    </row>
    <row r="358" spans="1:29" x14ac:dyDescent="0.45">
      <c r="A358">
        <v>11</v>
      </c>
      <c r="B358" t="s">
        <v>1082</v>
      </c>
      <c r="C358" t="s">
        <v>1082</v>
      </c>
      <c r="D358" t="s">
        <v>795</v>
      </c>
      <c r="E358">
        <v>-72.32743024787294</v>
      </c>
      <c r="F358">
        <v>-37.407493620666671</v>
      </c>
      <c r="L358">
        <v>1</v>
      </c>
      <c r="P358" t="s">
        <v>586</v>
      </c>
      <c r="Q358" t="s">
        <v>955</v>
      </c>
      <c r="R358" t="s">
        <v>855</v>
      </c>
      <c r="S358" t="s">
        <v>1070</v>
      </c>
      <c r="V358" t="str">
        <f>condiciones_comuna[[#This Row],[Zona Térmica]]&amp;" - "&amp;condiciones_comuna[[#This Row],[Comuna / localidad]]</f>
        <v>Zona D - La Cisterna</v>
      </c>
      <c r="W358" t="s">
        <v>1741</v>
      </c>
      <c r="X358" t="s">
        <v>932</v>
      </c>
      <c r="Y358" t="s">
        <v>1248</v>
      </c>
      <c r="Z358" t="s">
        <v>1248</v>
      </c>
      <c r="AA358" s="49" t="s">
        <v>537</v>
      </c>
      <c r="AB358">
        <v>2.2000000000000002</v>
      </c>
      <c r="AC358">
        <v>0.92</v>
      </c>
    </row>
    <row r="359" spans="1:29" x14ac:dyDescent="0.45">
      <c r="A359">
        <v>11</v>
      </c>
      <c r="B359" t="s">
        <v>1082</v>
      </c>
      <c r="C359" t="s">
        <v>1082</v>
      </c>
      <c r="D359" t="s">
        <v>1036</v>
      </c>
      <c r="E359">
        <v>-72.097790301517861</v>
      </c>
      <c r="F359">
        <v>-37.838295645190932</v>
      </c>
      <c r="L359">
        <v>1</v>
      </c>
      <c r="P359" t="s">
        <v>586</v>
      </c>
      <c r="Q359" t="s">
        <v>891</v>
      </c>
      <c r="R359" t="s">
        <v>544</v>
      </c>
      <c r="S359" t="s">
        <v>1071</v>
      </c>
      <c r="V359" t="str">
        <f>condiciones_comuna[[#This Row],[Zona Térmica]]&amp;" - "&amp;condiciones_comuna[[#This Row],[Comuna / localidad]]</f>
        <v>Zona D - La Cruz</v>
      </c>
      <c r="W359" t="s">
        <v>1741</v>
      </c>
      <c r="X359" t="s">
        <v>861</v>
      </c>
      <c r="Y359" t="s">
        <v>1248</v>
      </c>
      <c r="Z359" t="s">
        <v>1248</v>
      </c>
      <c r="AA359" s="139" t="s">
        <v>516</v>
      </c>
      <c r="AB359">
        <v>4.7</v>
      </c>
      <c r="AC359">
        <v>0.9</v>
      </c>
    </row>
    <row r="360" spans="1:29" x14ac:dyDescent="0.45">
      <c r="A360">
        <v>11</v>
      </c>
      <c r="B360" t="s">
        <v>1082</v>
      </c>
      <c r="C360" t="s">
        <v>1082</v>
      </c>
      <c r="D360" t="s">
        <v>1038</v>
      </c>
      <c r="E360">
        <v>-72.823551175711543</v>
      </c>
      <c r="F360">
        <v>-37.485484614360381</v>
      </c>
      <c r="L360">
        <v>1</v>
      </c>
      <c r="P360" t="s">
        <v>586</v>
      </c>
      <c r="Q360" t="s">
        <v>1089</v>
      </c>
      <c r="R360" t="s">
        <v>999</v>
      </c>
      <c r="S360" t="s">
        <v>1078</v>
      </c>
      <c r="V360" t="str">
        <f>condiciones_comuna[[#This Row],[Zona Térmica]]&amp;" - "&amp;condiciones_comuna[[#This Row],[Comuna / localidad]]</f>
        <v>Zona D - La Estrella</v>
      </c>
      <c r="W360" t="s">
        <v>1741</v>
      </c>
      <c r="X360" t="s">
        <v>957</v>
      </c>
      <c r="Y360" t="s">
        <v>1248</v>
      </c>
      <c r="Z360" t="s">
        <v>1248</v>
      </c>
      <c r="AA360" s="49" t="s">
        <v>558</v>
      </c>
      <c r="AB360">
        <v>3.9</v>
      </c>
      <c r="AC360">
        <v>0.95</v>
      </c>
    </row>
    <row r="361" spans="1:29" x14ac:dyDescent="0.45">
      <c r="A361">
        <v>11</v>
      </c>
      <c r="B361" t="s">
        <v>1082</v>
      </c>
      <c r="C361" t="s">
        <v>1082</v>
      </c>
      <c r="D361" t="s">
        <v>1041</v>
      </c>
      <c r="E361">
        <v>-72.576356764455781</v>
      </c>
      <c r="F361">
        <v>-37.608084158609799</v>
      </c>
      <c r="L361">
        <v>1</v>
      </c>
      <c r="P361" t="s">
        <v>586</v>
      </c>
      <c r="Q361" t="s">
        <v>956</v>
      </c>
      <c r="R361" t="s">
        <v>1040</v>
      </c>
      <c r="S361" t="s">
        <v>1080</v>
      </c>
      <c r="V361" t="str">
        <f>condiciones_comuna[[#This Row],[Zona Térmica]]&amp;" - "&amp;condiciones_comuna[[#This Row],[Comuna / localidad]]</f>
        <v>Zona D - La Florida</v>
      </c>
      <c r="W361" t="s">
        <v>1741</v>
      </c>
      <c r="X361" t="s">
        <v>934</v>
      </c>
      <c r="Y361" t="s">
        <v>1248</v>
      </c>
      <c r="Z361" t="s">
        <v>1248</v>
      </c>
      <c r="AA361" s="49" t="s">
        <v>537</v>
      </c>
      <c r="AB361">
        <v>2.2000000000000002</v>
      </c>
      <c r="AC361">
        <v>0.92</v>
      </c>
    </row>
    <row r="362" spans="1:29" x14ac:dyDescent="0.45">
      <c r="A362">
        <v>11</v>
      </c>
      <c r="B362" t="s">
        <v>1082</v>
      </c>
      <c r="C362" t="s">
        <v>1082</v>
      </c>
      <c r="D362" t="s">
        <v>1090</v>
      </c>
      <c r="E362">
        <v>-71.7056815709267</v>
      </c>
      <c r="F362">
        <v>-37.960399120634506</v>
      </c>
      <c r="L362">
        <v>1</v>
      </c>
      <c r="P362" t="s">
        <v>586</v>
      </c>
      <c r="Q362" t="s">
        <v>905</v>
      </c>
      <c r="R362" t="s">
        <v>1042</v>
      </c>
      <c r="S362" t="s">
        <v>1066</v>
      </c>
      <c r="V362" t="str">
        <f>condiciones_comuna[[#This Row],[Zona Térmica]]&amp;" - "&amp;condiciones_comuna[[#This Row],[Comuna / localidad]]</f>
        <v>Zona D - La Granja</v>
      </c>
      <c r="W362" t="s">
        <v>1741</v>
      </c>
      <c r="X362" t="s">
        <v>936</v>
      </c>
      <c r="Y362" t="s">
        <v>1248</v>
      </c>
      <c r="Z362" t="s">
        <v>1248</v>
      </c>
      <c r="AA362" s="49" t="s">
        <v>537</v>
      </c>
      <c r="AB362">
        <v>2.2000000000000002</v>
      </c>
      <c r="AC362">
        <v>0.92</v>
      </c>
    </row>
    <row r="363" spans="1:29" x14ac:dyDescent="0.45">
      <c r="A363">
        <v>11</v>
      </c>
      <c r="B363" t="s">
        <v>1082</v>
      </c>
      <c r="C363" t="s">
        <v>1082</v>
      </c>
      <c r="D363" t="s">
        <v>1091</v>
      </c>
      <c r="E363">
        <v>-71.861542242362773</v>
      </c>
      <c r="F363">
        <v>-37.436703144048735</v>
      </c>
      <c r="L363">
        <v>5</v>
      </c>
      <c r="N363">
        <v>6</v>
      </c>
      <c r="P363" t="s">
        <v>1823</v>
      </c>
      <c r="Q363" t="s">
        <v>566</v>
      </c>
      <c r="R363" t="s">
        <v>1044</v>
      </c>
      <c r="S363" t="s">
        <v>1081</v>
      </c>
      <c r="V363" t="str">
        <f>condiciones_comuna[[#This Row],[Zona Térmica]]&amp;" - "&amp;condiciones_comuna[[#This Row],[Comuna / localidad]]</f>
        <v>Zona D - La Ligua</v>
      </c>
      <c r="W363" t="s">
        <v>1741</v>
      </c>
      <c r="X363" t="s">
        <v>851</v>
      </c>
      <c r="Y363" t="s">
        <v>1677</v>
      </c>
      <c r="Z363" t="s">
        <v>1248</v>
      </c>
      <c r="AA363" s="139" t="s">
        <v>516</v>
      </c>
      <c r="AB363">
        <v>4.7</v>
      </c>
      <c r="AC363">
        <v>0.9</v>
      </c>
    </row>
    <row r="364" spans="1:29" x14ac:dyDescent="0.45">
      <c r="A364">
        <v>11</v>
      </c>
      <c r="B364" t="s">
        <v>1082</v>
      </c>
      <c r="C364" t="s">
        <v>1082</v>
      </c>
      <c r="D364" t="s">
        <v>1092</v>
      </c>
      <c r="E364">
        <v>-72.72125920998019</v>
      </c>
      <c r="F364">
        <v>-37.213229036089892</v>
      </c>
      <c r="L364">
        <v>1</v>
      </c>
      <c r="P364" t="s">
        <v>586</v>
      </c>
      <c r="Q364" t="s">
        <v>1093</v>
      </c>
      <c r="R364" t="s">
        <v>1045</v>
      </c>
      <c r="S364" t="s">
        <v>1073</v>
      </c>
      <c r="V364" t="str">
        <f>condiciones_comuna[[#This Row],[Zona Térmica]]&amp;" - "&amp;condiciones_comuna[[#This Row],[Comuna / localidad]]</f>
        <v>Zona D - La Pintana</v>
      </c>
      <c r="W364" t="s">
        <v>1741</v>
      </c>
      <c r="X364" t="s">
        <v>939</v>
      </c>
      <c r="Y364" t="s">
        <v>1248</v>
      </c>
      <c r="Z364" t="s">
        <v>1248</v>
      </c>
      <c r="AA364" s="49" t="s">
        <v>537</v>
      </c>
      <c r="AB364">
        <v>2.2000000000000002</v>
      </c>
      <c r="AC364">
        <v>0.92</v>
      </c>
    </row>
    <row r="365" spans="1:29" x14ac:dyDescent="0.45">
      <c r="A365">
        <v>11</v>
      </c>
      <c r="B365" t="s">
        <v>1082</v>
      </c>
      <c r="C365" t="s">
        <v>1082</v>
      </c>
      <c r="D365" t="s">
        <v>1094</v>
      </c>
      <c r="E365">
        <v>-71.74820205478612</v>
      </c>
      <c r="F365">
        <v>-37.623208666299469</v>
      </c>
      <c r="L365">
        <v>5</v>
      </c>
      <c r="N365">
        <v>6</v>
      </c>
      <c r="P365" t="s">
        <v>1823</v>
      </c>
      <c r="Q365" t="s">
        <v>1095</v>
      </c>
      <c r="R365" t="s">
        <v>1047</v>
      </c>
      <c r="S365" t="s">
        <v>1067</v>
      </c>
      <c r="V365" t="str">
        <f>condiciones_comuna[[#This Row],[Zona Térmica]]&amp;" - "&amp;condiciones_comuna[[#This Row],[Comuna / localidad]]</f>
        <v>Zona D - La Reina</v>
      </c>
      <c r="W365" t="s">
        <v>1741</v>
      </c>
      <c r="X365" t="s">
        <v>941</v>
      </c>
      <c r="Y365" t="s">
        <v>1248</v>
      </c>
      <c r="Z365" t="s">
        <v>1248</v>
      </c>
      <c r="AA365" s="49" t="s">
        <v>537</v>
      </c>
      <c r="AB365">
        <v>2.2000000000000002</v>
      </c>
      <c r="AC365">
        <v>0.92</v>
      </c>
    </row>
    <row r="366" spans="1:29" x14ac:dyDescent="0.45">
      <c r="A366">
        <v>11</v>
      </c>
      <c r="B366" t="s">
        <v>1082</v>
      </c>
      <c r="C366" t="s">
        <v>1082</v>
      </c>
      <c r="D366" t="s">
        <v>1096</v>
      </c>
      <c r="E366">
        <v>-71.744351563706118</v>
      </c>
      <c r="F366">
        <v>-37.225442158739995</v>
      </c>
      <c r="L366">
        <v>5</v>
      </c>
      <c r="N366">
        <v>6</v>
      </c>
      <c r="P366" t="s">
        <v>1823</v>
      </c>
      <c r="Q366" t="s">
        <v>1019</v>
      </c>
      <c r="R366" s="193" t="s">
        <v>1097</v>
      </c>
      <c r="S366" s="194" t="s">
        <v>1128</v>
      </c>
      <c r="V366" t="str">
        <f>condiciones_comuna[[#This Row],[Zona Térmica]]&amp;" - "&amp;condiciones_comuna[[#This Row],[Comuna / localidad]]</f>
        <v>Zona D - Lampa</v>
      </c>
      <c r="W366" t="s">
        <v>1741</v>
      </c>
      <c r="X366" t="s">
        <v>898</v>
      </c>
      <c r="Y366" t="s">
        <v>1248</v>
      </c>
      <c r="Z366" t="s">
        <v>1248</v>
      </c>
      <c r="AA366" s="49" t="s">
        <v>537</v>
      </c>
      <c r="AB366">
        <v>2.2000000000000002</v>
      </c>
      <c r="AC366">
        <v>0.92</v>
      </c>
    </row>
    <row r="367" spans="1:29" x14ac:dyDescent="0.45">
      <c r="A367">
        <v>11</v>
      </c>
      <c r="B367" t="s">
        <v>1082</v>
      </c>
      <c r="C367" t="s">
        <v>1082</v>
      </c>
      <c r="D367" t="s">
        <v>1098</v>
      </c>
      <c r="E367">
        <v>-72.616050365466307</v>
      </c>
      <c r="F367">
        <v>-37.088343657548151</v>
      </c>
      <c r="L367">
        <v>1</v>
      </c>
      <c r="P367" t="s">
        <v>586</v>
      </c>
      <c r="Q367" t="s">
        <v>827</v>
      </c>
      <c r="R367" t="s">
        <v>869</v>
      </c>
      <c r="S367" s="1" t="s">
        <v>1130</v>
      </c>
      <c r="V367" t="str">
        <f>condiciones_comuna[[#This Row],[Zona Térmica]]&amp;" - "&amp;condiciones_comuna[[#This Row],[Comuna / localidad]]</f>
        <v>Zona D - Las Cabras</v>
      </c>
      <c r="W367" t="s">
        <v>1741</v>
      </c>
      <c r="X367" t="s">
        <v>980</v>
      </c>
      <c r="Y367" t="s">
        <v>1248</v>
      </c>
      <c r="Z367" t="s">
        <v>1248</v>
      </c>
      <c r="AA367" s="7" t="s">
        <v>551</v>
      </c>
      <c r="AB367">
        <v>2.4</v>
      </c>
      <c r="AC367">
        <v>0.97</v>
      </c>
    </row>
    <row r="368" spans="1:29" x14ac:dyDescent="0.45">
      <c r="A368">
        <v>11</v>
      </c>
      <c r="B368" t="s">
        <v>1082</v>
      </c>
      <c r="C368" t="s">
        <v>554</v>
      </c>
      <c r="D368" t="s">
        <v>825</v>
      </c>
      <c r="E368">
        <v>-73.005186720808865</v>
      </c>
      <c r="F368">
        <v>-36.900781615708325</v>
      </c>
      <c r="K368">
        <v>1</v>
      </c>
      <c r="P368" t="s">
        <v>584</v>
      </c>
      <c r="Q368" t="s">
        <v>587</v>
      </c>
      <c r="R368" t="s">
        <v>892</v>
      </c>
      <c r="S368" t="s">
        <v>743</v>
      </c>
      <c r="V368" t="str">
        <f>condiciones_comuna[[#This Row],[Zona Térmica]]&amp;" - "&amp;condiciones_comuna[[#This Row],[Comuna / localidad]]</f>
        <v>Zona D - Las Condes</v>
      </c>
      <c r="W368" t="s">
        <v>1741</v>
      </c>
      <c r="X368" t="s">
        <v>942</v>
      </c>
      <c r="Y368" t="s">
        <v>1248</v>
      </c>
      <c r="Z368" t="s">
        <v>1248</v>
      </c>
      <c r="AA368" s="49" t="s">
        <v>537</v>
      </c>
      <c r="AB368">
        <v>2.2000000000000002</v>
      </c>
      <c r="AC368">
        <v>0.92</v>
      </c>
    </row>
    <row r="369" spans="1:29" x14ac:dyDescent="0.45">
      <c r="A369">
        <v>11</v>
      </c>
      <c r="B369" t="s">
        <v>1082</v>
      </c>
      <c r="C369" t="s">
        <v>554</v>
      </c>
      <c r="D369" t="s">
        <v>554</v>
      </c>
      <c r="E369">
        <v>-72.950832379115411</v>
      </c>
      <c r="F369">
        <v>-36.83430124140046</v>
      </c>
      <c r="K369">
        <v>1</v>
      </c>
      <c r="P369" t="s">
        <v>584</v>
      </c>
      <c r="Q369" t="s">
        <v>1099</v>
      </c>
      <c r="R369" t="s">
        <v>909</v>
      </c>
      <c r="S369" t="s">
        <v>761</v>
      </c>
      <c r="V369" t="str">
        <f>condiciones_comuna[[#This Row],[Zona Térmica]]&amp;" - "&amp;condiciones_comuna[[#This Row],[Comuna / localidad]]</f>
        <v>Zona D - Limache</v>
      </c>
      <c r="W369" t="s">
        <v>1741</v>
      </c>
      <c r="X369" t="s">
        <v>841</v>
      </c>
      <c r="Y369" t="s">
        <v>1248</v>
      </c>
      <c r="Z369" t="s">
        <v>1248</v>
      </c>
      <c r="AA369" s="139" t="s">
        <v>516</v>
      </c>
      <c r="AB369">
        <v>4.7</v>
      </c>
      <c r="AC369">
        <v>0.9</v>
      </c>
    </row>
    <row r="370" spans="1:29" x14ac:dyDescent="0.45">
      <c r="A370">
        <v>11</v>
      </c>
      <c r="B370" t="s">
        <v>1082</v>
      </c>
      <c r="C370" t="s">
        <v>554</v>
      </c>
      <c r="D370" t="s">
        <v>876</v>
      </c>
      <c r="E370">
        <v>-73.12558812024669</v>
      </c>
      <c r="F370">
        <v>-37.00721013008728</v>
      </c>
      <c r="K370">
        <v>1</v>
      </c>
      <c r="P370" t="s">
        <v>584</v>
      </c>
      <c r="Q370" t="s">
        <v>1100</v>
      </c>
      <c r="R370" t="s">
        <v>1022</v>
      </c>
      <c r="S370" t="s">
        <v>762</v>
      </c>
      <c r="V370" t="str">
        <f>condiciones_comuna[[#This Row],[Zona Térmica]]&amp;" - "&amp;condiciones_comuna[[#This Row],[Comuna / localidad]]</f>
        <v>Zona D - Linares</v>
      </c>
      <c r="W370" t="s">
        <v>1741</v>
      </c>
      <c r="X370" t="s">
        <v>544</v>
      </c>
      <c r="Y370" t="s">
        <v>1248</v>
      </c>
      <c r="Z370" t="s">
        <v>1683</v>
      </c>
      <c r="AA370" s="49" t="s">
        <v>563</v>
      </c>
      <c r="AB370">
        <v>2.6</v>
      </c>
      <c r="AC370">
        <v>0.92</v>
      </c>
    </row>
    <row r="371" spans="1:29" x14ac:dyDescent="0.45">
      <c r="A371">
        <v>11</v>
      </c>
      <c r="B371" t="s">
        <v>1082</v>
      </c>
      <c r="C371" t="s">
        <v>554</v>
      </c>
      <c r="D371" t="s">
        <v>914</v>
      </c>
      <c r="E371">
        <v>-72.717794715825136</v>
      </c>
      <c r="F371">
        <v>-36.822304933395003</v>
      </c>
      <c r="K371">
        <v>1</v>
      </c>
      <c r="P371" t="s">
        <v>584</v>
      </c>
      <c r="Q371" t="s">
        <v>1101</v>
      </c>
      <c r="R371" t="s">
        <v>1050</v>
      </c>
      <c r="S371" t="s">
        <v>778</v>
      </c>
      <c r="V371" t="str">
        <f>condiciones_comuna[[#This Row],[Zona Térmica]]&amp;" - "&amp;condiciones_comuna[[#This Row],[Comuna / localidad]]</f>
        <v>Zona D - Llaillay</v>
      </c>
      <c r="W371" t="s">
        <v>1741</v>
      </c>
      <c r="X371" t="s">
        <v>877</v>
      </c>
      <c r="Y371" t="s">
        <v>1248</v>
      </c>
      <c r="Z371" t="s">
        <v>1248</v>
      </c>
      <c r="AA371" s="139" t="s">
        <v>516</v>
      </c>
      <c r="AB371">
        <v>4.7</v>
      </c>
      <c r="AC371">
        <v>0.9</v>
      </c>
    </row>
    <row r="372" spans="1:29" x14ac:dyDescent="0.45">
      <c r="A372">
        <v>11</v>
      </c>
      <c r="B372" t="s">
        <v>1082</v>
      </c>
      <c r="C372" t="s">
        <v>554</v>
      </c>
      <c r="D372" t="s">
        <v>937</v>
      </c>
      <c r="E372">
        <v>-73.141188580482464</v>
      </c>
      <c r="F372">
        <v>-36.788790011105149</v>
      </c>
      <c r="K372">
        <v>1</v>
      </c>
      <c r="P372" t="s">
        <v>584</v>
      </c>
      <c r="Q372" t="s">
        <v>881</v>
      </c>
      <c r="R372" t="s">
        <v>1051</v>
      </c>
      <c r="S372" t="s">
        <v>800</v>
      </c>
      <c r="V372" t="str">
        <f>condiciones_comuna[[#This Row],[Zona Térmica]]&amp;" - "&amp;condiciones_comuna[[#This Row],[Comuna / localidad]]</f>
        <v>Zona D - Lo Barnechea</v>
      </c>
      <c r="W372" t="s">
        <v>1741</v>
      </c>
      <c r="X372" t="s">
        <v>943</v>
      </c>
      <c r="Y372" t="s">
        <v>1248</v>
      </c>
      <c r="Z372" t="s">
        <v>1674</v>
      </c>
      <c r="AA372" s="49" t="s">
        <v>537</v>
      </c>
      <c r="AB372">
        <v>2.2000000000000002</v>
      </c>
      <c r="AC372">
        <v>0.92</v>
      </c>
    </row>
    <row r="373" spans="1:29" x14ac:dyDescent="0.45">
      <c r="A373">
        <v>11</v>
      </c>
      <c r="B373" t="s">
        <v>1082</v>
      </c>
      <c r="C373" t="s">
        <v>554</v>
      </c>
      <c r="D373" t="s">
        <v>940</v>
      </c>
      <c r="E373">
        <v>-72.87103710426895</v>
      </c>
      <c r="F373">
        <v>-37.044771488001523</v>
      </c>
      <c r="K373">
        <v>1</v>
      </c>
      <c r="P373" t="s">
        <v>584</v>
      </c>
      <c r="Q373" t="s">
        <v>744</v>
      </c>
      <c r="R373" t="s">
        <v>1052</v>
      </c>
      <c r="S373" t="s">
        <v>825</v>
      </c>
      <c r="V373" t="str">
        <f>condiciones_comuna[[#This Row],[Zona Térmica]]&amp;" - "&amp;condiciones_comuna[[#This Row],[Comuna / localidad]]</f>
        <v>Zona D - Lo Espejo</v>
      </c>
      <c r="W373" t="s">
        <v>1741</v>
      </c>
      <c r="X373" t="s">
        <v>944</v>
      </c>
      <c r="Y373" t="s">
        <v>1248</v>
      </c>
      <c r="Z373" t="s">
        <v>1248</v>
      </c>
      <c r="AA373" s="49" t="s">
        <v>537</v>
      </c>
      <c r="AB373">
        <v>2.2000000000000002</v>
      </c>
      <c r="AC373">
        <v>0.92</v>
      </c>
    </row>
    <row r="374" spans="1:29" x14ac:dyDescent="0.45">
      <c r="A374">
        <v>11</v>
      </c>
      <c r="B374" t="s">
        <v>1082</v>
      </c>
      <c r="C374" t="s">
        <v>554</v>
      </c>
      <c r="D374" t="s">
        <v>1012</v>
      </c>
      <c r="E374">
        <v>-73.104961508225301</v>
      </c>
      <c r="F374">
        <v>-37.119580286866842</v>
      </c>
      <c r="K374">
        <v>1</v>
      </c>
      <c r="P374" t="s">
        <v>584</v>
      </c>
      <c r="Q374" t="s">
        <v>1102</v>
      </c>
      <c r="R374" t="s">
        <v>1053</v>
      </c>
      <c r="S374" t="s">
        <v>554</v>
      </c>
      <c r="V374" t="str">
        <f>condiciones_comuna[[#This Row],[Zona Térmica]]&amp;" - "&amp;condiciones_comuna[[#This Row],[Comuna / localidad]]</f>
        <v>Zona D - Lo Prado</v>
      </c>
      <c r="W374" t="s">
        <v>1741</v>
      </c>
      <c r="X374" t="s">
        <v>945</v>
      </c>
      <c r="Y374" t="s">
        <v>1248</v>
      </c>
      <c r="Z374" t="s">
        <v>1248</v>
      </c>
      <c r="AA374" s="49" t="s">
        <v>537</v>
      </c>
      <c r="AB374">
        <v>2.2000000000000002</v>
      </c>
      <c r="AC374">
        <v>0.92</v>
      </c>
    </row>
    <row r="375" spans="1:29" x14ac:dyDescent="0.45">
      <c r="A375">
        <v>11</v>
      </c>
      <c r="B375" t="s">
        <v>1082</v>
      </c>
      <c r="C375" t="s">
        <v>554</v>
      </c>
      <c r="D375" t="s">
        <v>1072</v>
      </c>
      <c r="E375">
        <v>-72.943748585341524</v>
      </c>
      <c r="F375">
        <v>-36.747882365927161</v>
      </c>
      <c r="K375">
        <v>1</v>
      </c>
      <c r="P375" t="s">
        <v>584</v>
      </c>
      <c r="Q375" t="s">
        <v>1103</v>
      </c>
      <c r="R375" t="s">
        <v>1055</v>
      </c>
      <c r="S375" t="s">
        <v>871</v>
      </c>
      <c r="V375" t="str">
        <f>condiciones_comuna[[#This Row],[Zona Térmica]]&amp;" - "&amp;condiciones_comuna[[#This Row],[Comuna / localidad]]</f>
        <v>Zona D - Lolol</v>
      </c>
      <c r="W375" t="s">
        <v>1741</v>
      </c>
      <c r="X375" t="s">
        <v>995</v>
      </c>
      <c r="Y375" t="s">
        <v>1248</v>
      </c>
      <c r="Z375" t="s">
        <v>1248</v>
      </c>
      <c r="AA375" s="49" t="s">
        <v>555</v>
      </c>
      <c r="AB375">
        <v>4.4000000000000004</v>
      </c>
      <c r="AC375">
        <v>0.9</v>
      </c>
    </row>
    <row r="376" spans="1:29" x14ac:dyDescent="0.45">
      <c r="A376">
        <v>11</v>
      </c>
      <c r="B376" t="s">
        <v>1082</v>
      </c>
      <c r="C376" t="s">
        <v>554</v>
      </c>
      <c r="D376" t="s">
        <v>1104</v>
      </c>
      <c r="E376">
        <v>-73.098475978102201</v>
      </c>
      <c r="F376">
        <v>-36.880911991356548</v>
      </c>
      <c r="K376">
        <v>1</v>
      </c>
      <c r="P376" t="s">
        <v>584</v>
      </c>
      <c r="Q376" t="s">
        <v>1105</v>
      </c>
      <c r="R376" t="s">
        <v>536</v>
      </c>
      <c r="S376" t="s">
        <v>876</v>
      </c>
      <c r="V376" t="str">
        <f>condiciones_comuna[[#This Row],[Zona Térmica]]&amp;" - "&amp;condiciones_comuna[[#This Row],[Comuna / localidad]]</f>
        <v>Zona D - Longaví</v>
      </c>
      <c r="W376" t="s">
        <v>1741</v>
      </c>
      <c r="X376" t="s">
        <v>999</v>
      </c>
      <c r="Y376" t="s">
        <v>1248</v>
      </c>
      <c r="Z376" t="s">
        <v>1683</v>
      </c>
      <c r="AA376" s="49" t="s">
        <v>563</v>
      </c>
      <c r="AB376">
        <v>2.6</v>
      </c>
      <c r="AC376">
        <v>0.92</v>
      </c>
    </row>
    <row r="377" spans="1:29" x14ac:dyDescent="0.45">
      <c r="A377">
        <v>11</v>
      </c>
      <c r="B377" t="s">
        <v>1082</v>
      </c>
      <c r="C377" t="s">
        <v>554</v>
      </c>
      <c r="D377" t="s">
        <v>1106</v>
      </c>
      <c r="E377">
        <v>-72.960050830747534</v>
      </c>
      <c r="F377">
        <v>-37.276685513066262</v>
      </c>
      <c r="K377">
        <v>1</v>
      </c>
      <c r="P377" t="s">
        <v>584</v>
      </c>
      <c r="Q377" t="s">
        <v>1107</v>
      </c>
      <c r="R377" s="194" t="s">
        <v>1108</v>
      </c>
      <c r="S377" t="s">
        <v>888</v>
      </c>
      <c r="V377" t="str">
        <f>condiciones_comuna[[#This Row],[Zona Térmica]]&amp;" - "&amp;condiciones_comuna[[#This Row],[Comuna / localidad]]</f>
        <v>Zona D - Los Andes</v>
      </c>
      <c r="W377" t="s">
        <v>1741</v>
      </c>
      <c r="X377" t="s">
        <v>465</v>
      </c>
      <c r="Y377" t="s">
        <v>1248</v>
      </c>
      <c r="Z377" t="s">
        <v>1674</v>
      </c>
      <c r="AA377" s="139" t="s">
        <v>516</v>
      </c>
      <c r="AB377">
        <v>4.7</v>
      </c>
      <c r="AC377">
        <v>0.9</v>
      </c>
    </row>
    <row r="378" spans="1:29" x14ac:dyDescent="0.45">
      <c r="A378">
        <v>11</v>
      </c>
      <c r="B378" t="s">
        <v>1082</v>
      </c>
      <c r="C378" t="s">
        <v>554</v>
      </c>
      <c r="D378" t="s">
        <v>1109</v>
      </c>
      <c r="E378">
        <v>-73.099288498649173</v>
      </c>
      <c r="F378">
        <v>-36.715448668331838</v>
      </c>
      <c r="K378">
        <v>1</v>
      </c>
      <c r="P378" t="s">
        <v>584</v>
      </c>
      <c r="Q378" t="s">
        <v>1090</v>
      </c>
      <c r="R378" s="1" t="s">
        <v>1110</v>
      </c>
      <c r="S378" t="s">
        <v>914</v>
      </c>
      <c r="V378" t="str">
        <f>condiciones_comuna[[#This Row],[Zona Térmica]]&amp;" - "&amp;condiciones_comuna[[#This Row],[Comuna / localidad]]</f>
        <v>Zona D - Machalí</v>
      </c>
      <c r="W378" t="s">
        <v>1741</v>
      </c>
      <c r="X378" t="s">
        <v>985</v>
      </c>
      <c r="Y378" t="s">
        <v>1248</v>
      </c>
      <c r="Z378" t="s">
        <v>1683</v>
      </c>
      <c r="AA378" s="7" t="s">
        <v>551</v>
      </c>
      <c r="AB378">
        <v>2.4</v>
      </c>
      <c r="AC378">
        <v>0.97</v>
      </c>
    </row>
    <row r="379" spans="1:29" x14ac:dyDescent="0.45">
      <c r="A379">
        <v>11</v>
      </c>
      <c r="B379" t="s">
        <v>1082</v>
      </c>
      <c r="C379" t="s">
        <v>554</v>
      </c>
      <c r="D379" t="s">
        <v>1111</v>
      </c>
      <c r="E379">
        <v>-72.858054252320116</v>
      </c>
      <c r="F379">
        <v>-36.616632605240106</v>
      </c>
      <c r="K379">
        <v>1</v>
      </c>
      <c r="P379" t="s">
        <v>584</v>
      </c>
      <c r="Q379" t="s">
        <v>958</v>
      </c>
      <c r="R379" s="193" t="s">
        <v>1112</v>
      </c>
      <c r="S379" t="s">
        <v>937</v>
      </c>
      <c r="V379" t="str">
        <f>condiciones_comuna[[#This Row],[Zona Térmica]]&amp;" - "&amp;condiciones_comuna[[#This Row],[Comuna / localidad]]</f>
        <v>Zona D - Macul</v>
      </c>
      <c r="W379" t="s">
        <v>1741</v>
      </c>
      <c r="X379" t="s">
        <v>946</v>
      </c>
      <c r="Y379" t="s">
        <v>1248</v>
      </c>
      <c r="Z379" t="s">
        <v>1248</v>
      </c>
      <c r="AA379" s="49" t="s">
        <v>537</v>
      </c>
      <c r="AB379">
        <v>2.2000000000000002</v>
      </c>
      <c r="AC379">
        <v>0.92</v>
      </c>
    </row>
    <row r="380" spans="1:29" x14ac:dyDescent="0.45">
      <c r="A380">
        <v>12</v>
      </c>
      <c r="B380" t="s">
        <v>1113</v>
      </c>
      <c r="C380" t="s">
        <v>1114</v>
      </c>
      <c r="D380" t="s">
        <v>803</v>
      </c>
      <c r="E380">
        <v>-73.269558181395894</v>
      </c>
      <c r="F380">
        <v>-38.611208732154104</v>
      </c>
      <c r="K380">
        <v>1</v>
      </c>
      <c r="P380" t="s">
        <v>584</v>
      </c>
      <c r="Q380" t="s">
        <v>1091</v>
      </c>
      <c r="R380" t="s">
        <v>770</v>
      </c>
      <c r="S380" t="s">
        <v>940</v>
      </c>
      <c r="V380" t="str">
        <f>condiciones_comuna[[#This Row],[Zona Térmica]]&amp;" - "&amp;condiciones_comuna[[#This Row],[Comuna / localidad]]</f>
        <v>Zona D - Maipú</v>
      </c>
      <c r="W380" t="s">
        <v>1741</v>
      </c>
      <c r="X380" t="s">
        <v>947</v>
      </c>
      <c r="Y380" t="s">
        <v>1248</v>
      </c>
      <c r="Z380" t="s">
        <v>1248</v>
      </c>
      <c r="AA380" s="49" t="s">
        <v>537</v>
      </c>
      <c r="AB380">
        <v>2.2000000000000002</v>
      </c>
      <c r="AC380">
        <v>0.92</v>
      </c>
    </row>
    <row r="381" spans="1:29" x14ac:dyDescent="0.45">
      <c r="A381">
        <v>12</v>
      </c>
      <c r="B381" t="s">
        <v>1113</v>
      </c>
      <c r="C381" t="s">
        <v>1114</v>
      </c>
      <c r="D381" t="s">
        <v>833</v>
      </c>
      <c r="E381">
        <v>-72.902388921265654</v>
      </c>
      <c r="F381">
        <v>-38.583437743227613</v>
      </c>
      <c r="L381">
        <v>1</v>
      </c>
      <c r="P381" t="s">
        <v>586</v>
      </c>
      <c r="Q381" t="s">
        <v>1065</v>
      </c>
      <c r="R381" t="s">
        <v>550</v>
      </c>
      <c r="S381" t="s">
        <v>975</v>
      </c>
      <c r="V381" t="str">
        <f>condiciones_comuna[[#This Row],[Zona Térmica]]&amp;" - "&amp;condiciones_comuna[[#This Row],[Comuna / localidad]]</f>
        <v>Zona D - Malloa</v>
      </c>
      <c r="W381" t="s">
        <v>1741</v>
      </c>
      <c r="X381" t="s">
        <v>986</v>
      </c>
      <c r="Y381" t="s">
        <v>1248</v>
      </c>
      <c r="Z381" t="s">
        <v>1683</v>
      </c>
      <c r="AA381" s="7" t="s">
        <v>551</v>
      </c>
      <c r="AB381">
        <v>2.4</v>
      </c>
      <c r="AC381">
        <v>0.97</v>
      </c>
    </row>
    <row r="382" spans="1:29" x14ac:dyDescent="0.45">
      <c r="A382">
        <v>12</v>
      </c>
      <c r="B382" t="s">
        <v>1113</v>
      </c>
      <c r="C382" t="s">
        <v>1114</v>
      </c>
      <c r="D382" t="s">
        <v>882</v>
      </c>
      <c r="E382">
        <v>-71.992296578591265</v>
      </c>
      <c r="F382">
        <v>-38.977251742763187</v>
      </c>
      <c r="L382">
        <v>1</v>
      </c>
      <c r="P382" t="s">
        <v>586</v>
      </c>
      <c r="Q382" t="s">
        <v>857</v>
      </c>
      <c r="R382" t="s">
        <v>831</v>
      </c>
      <c r="S382" t="s">
        <v>983</v>
      </c>
      <c r="V382" t="str">
        <f>condiciones_comuna[[#This Row],[Zona Térmica]]&amp;" - "&amp;condiciones_comuna[[#This Row],[Comuna / localidad]]</f>
        <v>Zona D - Marchihue</v>
      </c>
      <c r="W382" t="s">
        <v>1741</v>
      </c>
      <c r="X382" t="s">
        <v>1004</v>
      </c>
      <c r="Y382" t="s">
        <v>1248</v>
      </c>
      <c r="Z382" t="s">
        <v>1248</v>
      </c>
      <c r="AA382" s="49" t="s">
        <v>558</v>
      </c>
      <c r="AB382">
        <v>3.9</v>
      </c>
      <c r="AC382">
        <v>0.95</v>
      </c>
    </row>
    <row r="383" spans="1:29" x14ac:dyDescent="0.45">
      <c r="A383">
        <v>12</v>
      </c>
      <c r="B383" t="s">
        <v>1113</v>
      </c>
      <c r="C383" t="s">
        <v>1114</v>
      </c>
      <c r="D383" t="s">
        <v>890</v>
      </c>
      <c r="E383">
        <v>-71.53955216390024</v>
      </c>
      <c r="F383">
        <v>-39.336534180315667</v>
      </c>
      <c r="N383">
        <v>1</v>
      </c>
      <c r="P383" t="s">
        <v>591</v>
      </c>
      <c r="Q383" t="s">
        <v>845</v>
      </c>
      <c r="R383" t="s">
        <v>901</v>
      </c>
      <c r="S383" t="s">
        <v>1003</v>
      </c>
      <c r="V383" t="str">
        <f>condiciones_comuna[[#This Row],[Zona Térmica]]&amp;" - "&amp;condiciones_comuna[[#This Row],[Comuna / localidad]]</f>
        <v>Zona D - María Pinto</v>
      </c>
      <c r="W383" t="s">
        <v>1741</v>
      </c>
      <c r="X383" t="s">
        <v>918</v>
      </c>
      <c r="Y383" t="s">
        <v>1248</v>
      </c>
      <c r="Z383" t="s">
        <v>1248</v>
      </c>
      <c r="AA383" s="49" t="s">
        <v>537</v>
      </c>
      <c r="AB383">
        <v>2.2000000000000002</v>
      </c>
      <c r="AC383">
        <v>0.92</v>
      </c>
    </row>
    <row r="384" spans="1:29" x14ac:dyDescent="0.45">
      <c r="A384">
        <v>12</v>
      </c>
      <c r="B384" t="s">
        <v>1113</v>
      </c>
      <c r="C384" t="s">
        <v>1114</v>
      </c>
      <c r="D384" t="s">
        <v>916</v>
      </c>
      <c r="E384">
        <v>-72.576305014796688</v>
      </c>
      <c r="F384">
        <v>-38.94952947906593</v>
      </c>
      <c r="L384">
        <v>1</v>
      </c>
      <c r="P384" t="s">
        <v>586</v>
      </c>
      <c r="Q384" t="s">
        <v>1115</v>
      </c>
      <c r="R384" t="s">
        <v>1061</v>
      </c>
      <c r="S384" t="s">
        <v>795</v>
      </c>
      <c r="V384" t="str">
        <f>condiciones_comuna[[#This Row],[Zona Térmica]]&amp;" - "&amp;condiciones_comuna[[#This Row],[Comuna / localidad]]</f>
        <v>Zona D - Maule</v>
      </c>
      <c r="W384" t="s">
        <v>1741</v>
      </c>
      <c r="X384" t="s">
        <v>1022</v>
      </c>
      <c r="Y384" t="s">
        <v>1248</v>
      </c>
      <c r="Z384" t="s">
        <v>1248</v>
      </c>
      <c r="AA384" s="49" t="s">
        <v>563</v>
      </c>
      <c r="AB384">
        <v>2.6</v>
      </c>
      <c r="AC384">
        <v>0.92</v>
      </c>
    </row>
    <row r="385" spans="1:29" x14ac:dyDescent="0.45">
      <c r="A385">
        <v>12</v>
      </c>
      <c r="B385" t="s">
        <v>1113</v>
      </c>
      <c r="C385" t="s">
        <v>1114</v>
      </c>
      <c r="D385" t="s">
        <v>925</v>
      </c>
      <c r="E385">
        <v>-72.791722977986154</v>
      </c>
      <c r="F385">
        <v>-38.448218828275145</v>
      </c>
      <c r="L385">
        <v>1</v>
      </c>
      <c r="P385" t="s">
        <v>586</v>
      </c>
      <c r="Q385" t="s">
        <v>993</v>
      </c>
      <c r="R385" t="s">
        <v>1064</v>
      </c>
      <c r="S385" t="s">
        <v>1012</v>
      </c>
      <c r="V385" t="str">
        <f>condiciones_comuna[[#This Row],[Zona Térmica]]&amp;" - "&amp;condiciones_comuna[[#This Row],[Comuna / localidad]]</f>
        <v>Zona D - Melipilla</v>
      </c>
      <c r="W385" t="s">
        <v>1741</v>
      </c>
      <c r="X385" t="s">
        <v>915</v>
      </c>
      <c r="Y385" t="s">
        <v>1248</v>
      </c>
      <c r="Z385" t="s">
        <v>1248</v>
      </c>
      <c r="AA385" s="49" t="s">
        <v>537</v>
      </c>
      <c r="AB385">
        <v>2.2000000000000002</v>
      </c>
      <c r="AC385">
        <v>0.92</v>
      </c>
    </row>
    <row r="386" spans="1:29" x14ac:dyDescent="0.45">
      <c r="A386">
        <v>12</v>
      </c>
      <c r="B386" t="s">
        <v>1113</v>
      </c>
      <c r="C386" t="s">
        <v>1114</v>
      </c>
      <c r="D386" t="s">
        <v>927</v>
      </c>
      <c r="E386">
        <v>-72.669614137636373</v>
      </c>
      <c r="F386">
        <v>-39.171950232042477</v>
      </c>
      <c r="L386">
        <v>1</v>
      </c>
      <c r="P386" t="s">
        <v>586</v>
      </c>
      <c r="Q386" t="s">
        <v>960</v>
      </c>
      <c r="R386" t="s">
        <v>1065</v>
      </c>
      <c r="S386" t="s">
        <v>1036</v>
      </c>
      <c r="V386" t="str">
        <f>condiciones_comuna[[#This Row],[Zona Térmica]]&amp;" - "&amp;condiciones_comuna[[#This Row],[Comuna / localidad]]</f>
        <v>Zona D - Molina</v>
      </c>
      <c r="W386" t="s">
        <v>1741</v>
      </c>
      <c r="X386" t="s">
        <v>1028</v>
      </c>
      <c r="Y386" t="s">
        <v>1248</v>
      </c>
      <c r="Z386" t="s">
        <v>1683</v>
      </c>
      <c r="AA386" s="49" t="s">
        <v>560</v>
      </c>
      <c r="AB386">
        <v>3.4</v>
      </c>
      <c r="AC386">
        <v>0.99</v>
      </c>
    </row>
    <row r="387" spans="1:29" x14ac:dyDescent="0.45">
      <c r="A387">
        <v>12</v>
      </c>
      <c r="B387" t="s">
        <v>1113</v>
      </c>
      <c r="C387" t="s">
        <v>1114</v>
      </c>
      <c r="D387" t="s">
        <v>982</v>
      </c>
      <c r="E387">
        <v>-72.28909970490227</v>
      </c>
      <c r="F387">
        <v>-38.543361189750861</v>
      </c>
      <c r="L387">
        <v>1</v>
      </c>
      <c r="P387" t="s">
        <v>586</v>
      </c>
      <c r="Q387" t="s">
        <v>472</v>
      </c>
      <c r="R387" t="s">
        <v>1066</v>
      </c>
      <c r="S387" t="s">
        <v>1038</v>
      </c>
      <c r="V387" t="str">
        <f>condiciones_comuna[[#This Row],[Zona Térmica]]&amp;" - "&amp;condiciones_comuna[[#This Row],[Comuna / localidad]]</f>
        <v>Zona D - Mostazal</v>
      </c>
      <c r="W387" t="s">
        <v>1741</v>
      </c>
      <c r="X387" t="s">
        <v>988</v>
      </c>
      <c r="Y387" t="s">
        <v>1248</v>
      </c>
      <c r="Z387" t="s">
        <v>1683</v>
      </c>
      <c r="AA387" s="7" t="s">
        <v>551</v>
      </c>
      <c r="AB387">
        <v>2.4</v>
      </c>
      <c r="AC387">
        <v>0.97</v>
      </c>
    </row>
    <row r="388" spans="1:29" x14ac:dyDescent="0.45">
      <c r="A388">
        <v>12</v>
      </c>
      <c r="B388" t="s">
        <v>1113</v>
      </c>
      <c r="C388" t="s">
        <v>1114</v>
      </c>
      <c r="D388" t="s">
        <v>997</v>
      </c>
      <c r="E388">
        <v>-72.58291838766489</v>
      </c>
      <c r="F388">
        <v>-39.356286207361869</v>
      </c>
      <c r="L388">
        <v>1</v>
      </c>
      <c r="P388" t="s">
        <v>586</v>
      </c>
      <c r="Q388" t="s">
        <v>1070</v>
      </c>
      <c r="R388" t="s">
        <v>1067</v>
      </c>
      <c r="S388" t="s">
        <v>1041</v>
      </c>
      <c r="V388" t="str">
        <f>condiciones_comuna[[#This Row],[Zona Térmica]]&amp;" - "&amp;condiciones_comuna[[#This Row],[Comuna / localidad]]</f>
        <v>Zona D - Nancagua</v>
      </c>
      <c r="W388" t="s">
        <v>1741</v>
      </c>
      <c r="X388" t="s">
        <v>1014</v>
      </c>
      <c r="Y388" t="s">
        <v>1248</v>
      </c>
      <c r="Z388" t="s">
        <v>1248</v>
      </c>
      <c r="AA388" s="49" t="s">
        <v>555</v>
      </c>
      <c r="AB388">
        <v>4.4000000000000004</v>
      </c>
      <c r="AC388">
        <v>0.9</v>
      </c>
    </row>
    <row r="389" spans="1:29" x14ac:dyDescent="0.45">
      <c r="A389">
        <v>12</v>
      </c>
      <c r="B389" t="s">
        <v>1113</v>
      </c>
      <c r="C389" t="s">
        <v>1114</v>
      </c>
      <c r="D389" t="s">
        <v>1027</v>
      </c>
      <c r="E389">
        <v>-71.61088438906576</v>
      </c>
      <c r="F389">
        <v>-38.824641450966197</v>
      </c>
      <c r="N389">
        <v>1</v>
      </c>
      <c r="P389" t="s">
        <v>591</v>
      </c>
      <c r="Q389" t="s">
        <v>994</v>
      </c>
      <c r="R389" s="193" t="s">
        <v>1116</v>
      </c>
      <c r="S389" t="s">
        <v>1072</v>
      </c>
      <c r="V389" t="str">
        <f>condiciones_comuna[[#This Row],[Zona Térmica]]&amp;" - "&amp;condiciones_comuna[[#This Row],[Comuna / localidad]]</f>
        <v>Zona D - Nogales</v>
      </c>
      <c r="W389" t="s">
        <v>1741</v>
      </c>
      <c r="X389" t="s">
        <v>864</v>
      </c>
      <c r="Y389" t="s">
        <v>1248</v>
      </c>
      <c r="Z389" t="s">
        <v>1248</v>
      </c>
      <c r="AA389" s="139" t="s">
        <v>516</v>
      </c>
      <c r="AB389">
        <v>4.7</v>
      </c>
      <c r="AC389">
        <v>0.9</v>
      </c>
    </row>
    <row r="390" spans="1:29" x14ac:dyDescent="0.45">
      <c r="A390">
        <v>12</v>
      </c>
      <c r="B390" t="s">
        <v>1113</v>
      </c>
      <c r="C390" t="s">
        <v>1114</v>
      </c>
      <c r="D390" t="s">
        <v>1046</v>
      </c>
      <c r="E390">
        <v>-72.972055952537076</v>
      </c>
      <c r="F390">
        <v>-38.751603836950416</v>
      </c>
      <c r="L390">
        <v>1</v>
      </c>
      <c r="P390" t="s">
        <v>586</v>
      </c>
      <c r="Q390" t="s">
        <v>1071</v>
      </c>
      <c r="R390" t="s">
        <v>842</v>
      </c>
      <c r="S390" t="s">
        <v>1090</v>
      </c>
      <c r="V390" t="str">
        <f>condiciones_comuna[[#This Row],[Zona Térmica]]&amp;" - "&amp;condiciones_comuna[[#This Row],[Comuna / localidad]]</f>
        <v>Zona D - Ñuñoa</v>
      </c>
      <c r="W390" t="s">
        <v>1741</v>
      </c>
      <c r="X390" t="s">
        <v>950</v>
      </c>
      <c r="Y390" t="s">
        <v>1248</v>
      </c>
      <c r="Z390" t="s">
        <v>1248</v>
      </c>
      <c r="AA390" s="49" t="s">
        <v>537</v>
      </c>
      <c r="AB390">
        <v>2.2000000000000002</v>
      </c>
      <c r="AC390">
        <v>0.92</v>
      </c>
    </row>
    <row r="391" spans="1:29" x14ac:dyDescent="0.45">
      <c r="A391">
        <v>12</v>
      </c>
      <c r="B391" t="s">
        <v>1113</v>
      </c>
      <c r="C391" t="s">
        <v>1114</v>
      </c>
      <c r="D391" t="s">
        <v>1056</v>
      </c>
      <c r="E391">
        <v>-72.578846750121414</v>
      </c>
      <c r="F391">
        <v>-38.791715949210811</v>
      </c>
      <c r="L391">
        <v>1</v>
      </c>
      <c r="P391" t="s">
        <v>586</v>
      </c>
      <c r="Q391" t="s">
        <v>1029</v>
      </c>
      <c r="R391" t="s">
        <v>849</v>
      </c>
      <c r="S391" t="s">
        <v>1091</v>
      </c>
      <c r="V391" t="str">
        <f>condiciones_comuna[[#This Row],[Zona Térmica]]&amp;" - "&amp;condiciones_comuna[[#This Row],[Comuna / localidad]]</f>
        <v>Zona D - Olivar</v>
      </c>
      <c r="W391" t="s">
        <v>1741</v>
      </c>
      <c r="X391" t="s">
        <v>989</v>
      </c>
      <c r="Y391" t="s">
        <v>1248</v>
      </c>
      <c r="Z391" t="s">
        <v>1248</v>
      </c>
      <c r="AA391" s="7" t="s">
        <v>551</v>
      </c>
      <c r="AB391">
        <v>2.4</v>
      </c>
      <c r="AC391">
        <v>0.97</v>
      </c>
    </row>
    <row r="392" spans="1:29" x14ac:dyDescent="0.45">
      <c r="A392">
        <v>12</v>
      </c>
      <c r="B392" t="s">
        <v>1113</v>
      </c>
      <c r="C392" t="s">
        <v>1114</v>
      </c>
      <c r="D392" t="s">
        <v>1079</v>
      </c>
      <c r="E392">
        <v>-72.436641078779701</v>
      </c>
      <c r="F392">
        <v>-38.428278407142159</v>
      </c>
      <c r="L392">
        <v>1</v>
      </c>
      <c r="P392" t="s">
        <v>586</v>
      </c>
      <c r="Q392" t="s">
        <v>961</v>
      </c>
      <c r="R392" t="s">
        <v>1043</v>
      </c>
      <c r="S392" t="s">
        <v>1104</v>
      </c>
      <c r="V392" t="str">
        <f>condiciones_comuna[[#This Row],[Zona Térmica]]&amp;" - "&amp;condiciones_comuna[[#This Row],[Comuna / localidad]]</f>
        <v>Zona D - Olmué</v>
      </c>
      <c r="W392" t="s">
        <v>1741</v>
      </c>
      <c r="X392" t="s">
        <v>843</v>
      </c>
      <c r="Y392" t="s">
        <v>1248</v>
      </c>
      <c r="Z392" t="s">
        <v>1248</v>
      </c>
      <c r="AA392" s="139" t="s">
        <v>516</v>
      </c>
      <c r="AB392">
        <v>4.7</v>
      </c>
      <c r="AC392">
        <v>0.9</v>
      </c>
    </row>
    <row r="393" spans="1:29" x14ac:dyDescent="0.45">
      <c r="A393">
        <v>12</v>
      </c>
      <c r="B393" t="s">
        <v>1113</v>
      </c>
      <c r="C393" t="s">
        <v>1114</v>
      </c>
      <c r="D393" t="s">
        <v>1084</v>
      </c>
      <c r="E393">
        <v>-72.663813293493547</v>
      </c>
      <c r="F393">
        <v>-39.084058841364055</v>
      </c>
      <c r="L393">
        <v>1</v>
      </c>
      <c r="P393" t="s">
        <v>586</v>
      </c>
      <c r="Q393" t="s">
        <v>1117</v>
      </c>
      <c r="R393" t="s">
        <v>1069</v>
      </c>
      <c r="S393" t="s">
        <v>1092</v>
      </c>
      <c r="V393" t="str">
        <f>condiciones_comuna[[#This Row],[Zona Térmica]]&amp;" - "&amp;condiciones_comuna[[#This Row],[Comuna / localidad]]</f>
        <v>Zona D - Padre Hurtado</v>
      </c>
      <c r="W393" t="s">
        <v>1741</v>
      </c>
      <c r="X393" t="s">
        <v>974</v>
      </c>
      <c r="Y393" t="s">
        <v>1248</v>
      </c>
      <c r="Z393" t="s">
        <v>1248</v>
      </c>
      <c r="AA393" s="49" t="s">
        <v>537</v>
      </c>
      <c r="AB393">
        <v>2.2000000000000002</v>
      </c>
      <c r="AC393">
        <v>0.92</v>
      </c>
    </row>
    <row r="394" spans="1:29" x14ac:dyDescent="0.45">
      <c r="A394">
        <v>12</v>
      </c>
      <c r="B394" t="s">
        <v>1113</v>
      </c>
      <c r="C394" t="s">
        <v>1114</v>
      </c>
      <c r="D394" t="s">
        <v>1089</v>
      </c>
      <c r="E394">
        <v>-71.791243652297908</v>
      </c>
      <c r="F394">
        <v>-39.270155731701976</v>
      </c>
      <c r="N394">
        <v>1</v>
      </c>
      <c r="P394" t="s">
        <v>591</v>
      </c>
      <c r="Q394" t="s">
        <v>962</v>
      </c>
      <c r="R394" t="s">
        <v>1070</v>
      </c>
      <c r="S394" t="s">
        <v>1094</v>
      </c>
      <c r="V394" t="str">
        <f>condiciones_comuna[[#This Row],[Zona Térmica]]&amp;" - "&amp;condiciones_comuna[[#This Row],[Comuna / localidad]]</f>
        <v>Zona D - Paine</v>
      </c>
      <c r="W394" t="s">
        <v>1741</v>
      </c>
      <c r="X394" t="s">
        <v>911</v>
      </c>
      <c r="Y394" t="s">
        <v>1248</v>
      </c>
      <c r="Z394" t="s">
        <v>1248</v>
      </c>
      <c r="AA394" s="49" t="s">
        <v>537</v>
      </c>
      <c r="AB394">
        <v>2.2000000000000002</v>
      </c>
      <c r="AC394">
        <v>0.92</v>
      </c>
    </row>
    <row r="395" spans="1:29" x14ac:dyDescent="0.45">
      <c r="A395">
        <v>12</v>
      </c>
      <c r="B395" t="s">
        <v>1113</v>
      </c>
      <c r="C395" t="s">
        <v>1114</v>
      </c>
      <c r="D395" t="s">
        <v>1118</v>
      </c>
      <c r="E395">
        <v>-73.29553212771755</v>
      </c>
      <c r="F395">
        <v>-38.832557653187536</v>
      </c>
      <c r="K395">
        <v>1</v>
      </c>
      <c r="P395" t="s">
        <v>584</v>
      </c>
      <c r="Q395" t="s">
        <v>996</v>
      </c>
      <c r="R395" t="s">
        <v>1071</v>
      </c>
      <c r="S395" t="s">
        <v>1106</v>
      </c>
      <c r="V395" t="str">
        <f>condiciones_comuna[[#This Row],[Zona Térmica]]&amp;" - "&amp;condiciones_comuna[[#This Row],[Comuna / localidad]]</f>
        <v>Zona D - Palmilla</v>
      </c>
      <c r="W395" t="s">
        <v>1741</v>
      </c>
      <c r="X395" t="s">
        <v>1015</v>
      </c>
      <c r="Y395" t="s">
        <v>1248</v>
      </c>
      <c r="Z395" t="s">
        <v>1248</v>
      </c>
      <c r="AA395" s="49" t="s">
        <v>555</v>
      </c>
      <c r="AB395">
        <v>4.4000000000000004</v>
      </c>
      <c r="AC395">
        <v>0.9</v>
      </c>
    </row>
    <row r="396" spans="1:29" x14ac:dyDescent="0.45">
      <c r="A396">
        <v>12</v>
      </c>
      <c r="B396" t="s">
        <v>1113</v>
      </c>
      <c r="C396" t="s">
        <v>1114</v>
      </c>
      <c r="D396" t="s">
        <v>557</v>
      </c>
      <c r="E396">
        <v>-72.667766164034163</v>
      </c>
      <c r="F396">
        <v>-38.673259879467551</v>
      </c>
      <c r="L396">
        <v>1</v>
      </c>
      <c r="P396" t="s">
        <v>586</v>
      </c>
      <c r="Q396" t="s">
        <v>998</v>
      </c>
      <c r="R396" t="s">
        <v>1073</v>
      </c>
      <c r="S396" t="s">
        <v>1109</v>
      </c>
      <c r="V396" t="str">
        <f>condiciones_comuna[[#This Row],[Zona Térmica]]&amp;" - "&amp;condiciones_comuna[[#This Row],[Comuna / localidad]]</f>
        <v>Zona D - Panquehue</v>
      </c>
      <c r="W396" t="s">
        <v>1741</v>
      </c>
      <c r="X396" t="s">
        <v>880</v>
      </c>
      <c r="Y396" t="s">
        <v>1248</v>
      </c>
      <c r="Z396" t="s">
        <v>1248</v>
      </c>
      <c r="AA396" s="139" t="s">
        <v>516</v>
      </c>
      <c r="AB396">
        <v>4.7</v>
      </c>
      <c r="AC396">
        <v>0.9</v>
      </c>
    </row>
    <row r="397" spans="1:29" x14ac:dyDescent="0.45">
      <c r="A397">
        <v>12</v>
      </c>
      <c r="B397" t="s">
        <v>1113</v>
      </c>
      <c r="C397" t="s">
        <v>1114</v>
      </c>
      <c r="D397" t="s">
        <v>1119</v>
      </c>
      <c r="E397">
        <v>-73.127481272749122</v>
      </c>
      <c r="F397">
        <v>-39.005490983284332</v>
      </c>
      <c r="K397">
        <v>1</v>
      </c>
      <c r="P397" t="s">
        <v>584</v>
      </c>
      <c r="Q397" t="s">
        <v>1042</v>
      </c>
      <c r="R397" s="193" t="s">
        <v>1120</v>
      </c>
      <c r="S397" t="s">
        <v>1085</v>
      </c>
      <c r="V397" t="str">
        <f>condiciones_comuna[[#This Row],[Zona Térmica]]&amp;" - "&amp;condiciones_comuna[[#This Row],[Comuna / localidad]]</f>
        <v>Zona D - Parral</v>
      </c>
      <c r="W397" t="s">
        <v>1741</v>
      </c>
      <c r="X397" t="s">
        <v>1040</v>
      </c>
      <c r="Y397" t="s">
        <v>1248</v>
      </c>
      <c r="Z397" t="s">
        <v>1683</v>
      </c>
      <c r="AA397" s="49" t="s">
        <v>563</v>
      </c>
      <c r="AB397">
        <v>2.6</v>
      </c>
      <c r="AC397">
        <v>0.92</v>
      </c>
    </row>
    <row r="398" spans="1:29" x14ac:dyDescent="0.45">
      <c r="A398">
        <v>12</v>
      </c>
      <c r="B398" t="s">
        <v>1113</v>
      </c>
      <c r="C398" t="s">
        <v>1114</v>
      </c>
      <c r="D398" t="s">
        <v>1121</v>
      </c>
      <c r="E398">
        <v>-73.065769715675913</v>
      </c>
      <c r="F398">
        <v>-39.216964133756797</v>
      </c>
      <c r="K398">
        <v>1</v>
      </c>
      <c r="P398" t="s">
        <v>584</v>
      </c>
      <c r="Q398" t="s">
        <v>835</v>
      </c>
      <c r="R398" t="s">
        <v>852</v>
      </c>
      <c r="S398" t="s">
        <v>1111</v>
      </c>
      <c r="V398" t="str">
        <f>condiciones_comuna[[#This Row],[Zona Térmica]]&amp;" - "&amp;condiciones_comuna[[#This Row],[Comuna / localidad]]</f>
        <v>Zona D - Pedro Aguirre Cerda</v>
      </c>
      <c r="W398" t="s">
        <v>1741</v>
      </c>
      <c r="X398" t="s">
        <v>952</v>
      </c>
      <c r="Y398" t="s">
        <v>1248</v>
      </c>
      <c r="Z398" t="s">
        <v>1248</v>
      </c>
      <c r="AA398" s="49" t="s">
        <v>537</v>
      </c>
      <c r="AB398">
        <v>2.2000000000000002</v>
      </c>
      <c r="AC398">
        <v>0.92</v>
      </c>
    </row>
    <row r="399" spans="1:29" x14ac:dyDescent="0.45">
      <c r="A399">
        <v>12</v>
      </c>
      <c r="B399" t="s">
        <v>1113</v>
      </c>
      <c r="C399" t="s">
        <v>1114</v>
      </c>
      <c r="D399" t="s">
        <v>1122</v>
      </c>
      <c r="E399">
        <v>-72.116503639758406</v>
      </c>
      <c r="F399">
        <v>-38.704717546716438</v>
      </c>
      <c r="L399">
        <v>1</v>
      </c>
      <c r="P399" t="s">
        <v>586</v>
      </c>
      <c r="Q399" t="s">
        <v>1123</v>
      </c>
      <c r="R399" t="s">
        <v>1048</v>
      </c>
      <c r="S399" t="s">
        <v>1096</v>
      </c>
      <c r="V399" t="str">
        <f>condiciones_comuna[[#This Row],[Zona Térmica]]&amp;" - "&amp;condiciones_comuna[[#This Row],[Comuna / localidad]]</f>
        <v>Zona D - Pelarco</v>
      </c>
      <c r="W399" t="s">
        <v>1741</v>
      </c>
      <c r="X399" t="s">
        <v>1050</v>
      </c>
      <c r="Y399" t="s">
        <v>1248</v>
      </c>
      <c r="Z399" t="s">
        <v>1248</v>
      </c>
      <c r="AA399" s="49" t="s">
        <v>563</v>
      </c>
      <c r="AB399">
        <v>2.6</v>
      </c>
      <c r="AC399">
        <v>0.92</v>
      </c>
    </row>
    <row r="400" spans="1:29" x14ac:dyDescent="0.45">
      <c r="A400">
        <v>12</v>
      </c>
      <c r="B400" t="s">
        <v>1113</v>
      </c>
      <c r="C400" t="s">
        <v>1114</v>
      </c>
      <c r="D400" t="s">
        <v>1124</v>
      </c>
      <c r="E400">
        <v>-72.182829830953025</v>
      </c>
      <c r="F400">
        <v>-39.300864412718475</v>
      </c>
      <c r="L400">
        <v>1</v>
      </c>
      <c r="P400" t="s">
        <v>586</v>
      </c>
      <c r="Q400" t="s">
        <v>1052</v>
      </c>
      <c r="R400" t="s">
        <v>1078</v>
      </c>
      <c r="S400" t="s">
        <v>1098</v>
      </c>
      <c r="V400" t="str">
        <f>condiciones_comuna[[#This Row],[Zona Térmica]]&amp;" - "&amp;condiciones_comuna[[#This Row],[Comuna / localidad]]</f>
        <v>Zona D - Pencahue</v>
      </c>
      <c r="W400" t="s">
        <v>1741</v>
      </c>
      <c r="X400" t="s">
        <v>1051</v>
      </c>
      <c r="Y400" t="s">
        <v>1248</v>
      </c>
      <c r="Z400" t="s">
        <v>1248</v>
      </c>
      <c r="AA400" s="49" t="s">
        <v>563</v>
      </c>
      <c r="AB400">
        <v>2.6</v>
      </c>
      <c r="AC400">
        <v>0.92</v>
      </c>
    </row>
    <row r="401" spans="1:29" x14ac:dyDescent="0.45">
      <c r="A401">
        <v>12</v>
      </c>
      <c r="B401" t="s">
        <v>1113</v>
      </c>
      <c r="C401" t="s">
        <v>1125</v>
      </c>
      <c r="D401" t="s">
        <v>754</v>
      </c>
      <c r="E401">
        <v>-72.795713366163142</v>
      </c>
      <c r="F401">
        <v>-37.768715928117373</v>
      </c>
      <c r="L401">
        <v>1</v>
      </c>
      <c r="P401" t="s">
        <v>586</v>
      </c>
      <c r="Q401" t="s">
        <v>828</v>
      </c>
      <c r="R401" t="s">
        <v>1080</v>
      </c>
      <c r="S401" s="194" t="s">
        <v>1142</v>
      </c>
      <c r="V401" t="str">
        <f>condiciones_comuna[[#This Row],[Zona Térmica]]&amp;" - "&amp;condiciones_comuna[[#This Row],[Comuna / localidad]]</f>
        <v>Zona D - Peñaflor</v>
      </c>
      <c r="W401" t="s">
        <v>1741</v>
      </c>
      <c r="X401" t="s">
        <v>976</v>
      </c>
      <c r="Y401" t="s">
        <v>1248</v>
      </c>
      <c r="Z401" t="s">
        <v>1248</v>
      </c>
      <c r="AA401" s="49" t="s">
        <v>537</v>
      </c>
      <c r="AB401">
        <v>2.2000000000000002</v>
      </c>
      <c r="AC401">
        <v>0.92</v>
      </c>
    </row>
    <row r="402" spans="1:29" x14ac:dyDescent="0.45">
      <c r="A402">
        <v>12</v>
      </c>
      <c r="B402" t="s">
        <v>1113</v>
      </c>
      <c r="C402" t="s">
        <v>1125</v>
      </c>
      <c r="D402" t="s">
        <v>860</v>
      </c>
      <c r="E402">
        <v>-72.124781431200887</v>
      </c>
      <c r="F402">
        <v>-38.026443325735045</v>
      </c>
      <c r="L402">
        <v>1</v>
      </c>
      <c r="P402" t="s">
        <v>586</v>
      </c>
      <c r="Q402" t="s">
        <v>1126</v>
      </c>
      <c r="R402" t="s">
        <v>1081</v>
      </c>
      <c r="S402" s="1" t="s">
        <v>1143</v>
      </c>
      <c r="V402" t="str">
        <f>condiciones_comuna[[#This Row],[Zona Térmica]]&amp;" - "&amp;condiciones_comuna[[#This Row],[Comuna / localidad]]</f>
        <v>Zona D - Peñalolén</v>
      </c>
      <c r="W402" t="s">
        <v>1741</v>
      </c>
      <c r="X402" t="s">
        <v>954</v>
      </c>
      <c r="Y402" t="s">
        <v>1248</v>
      </c>
      <c r="Z402" t="s">
        <v>1248</v>
      </c>
      <c r="AA402" s="49" t="s">
        <v>537</v>
      </c>
      <c r="AB402">
        <v>2.2000000000000002</v>
      </c>
      <c r="AC402">
        <v>0.92</v>
      </c>
    </row>
    <row r="403" spans="1:29" x14ac:dyDescent="0.45">
      <c r="A403">
        <v>12</v>
      </c>
      <c r="B403" t="s">
        <v>1113</v>
      </c>
      <c r="C403" t="s">
        <v>1125</v>
      </c>
      <c r="D403" t="s">
        <v>883</v>
      </c>
      <c r="E403">
        <v>-71.772075098344217</v>
      </c>
      <c r="F403">
        <v>-38.427152153197845</v>
      </c>
      <c r="L403">
        <v>1</v>
      </c>
      <c r="P403" t="s">
        <v>586</v>
      </c>
      <c r="Q403" t="s">
        <v>1127</v>
      </c>
      <c r="R403" s="194" t="s">
        <v>1128</v>
      </c>
      <c r="S403" t="s">
        <v>754</v>
      </c>
      <c r="V403" t="str">
        <f>condiciones_comuna[[#This Row],[Zona Térmica]]&amp;" - "&amp;condiciones_comuna[[#This Row],[Comuna / localidad]]</f>
        <v>Zona D - Peralillo</v>
      </c>
      <c r="W403" t="s">
        <v>1741</v>
      </c>
      <c r="X403" t="s">
        <v>1016</v>
      </c>
      <c r="Y403" t="s">
        <v>1248</v>
      </c>
      <c r="Z403" t="s">
        <v>1248</v>
      </c>
      <c r="AA403" s="49" t="s">
        <v>555</v>
      </c>
      <c r="AB403">
        <v>4.4000000000000004</v>
      </c>
      <c r="AC403">
        <v>0.9</v>
      </c>
    </row>
    <row r="404" spans="1:29" x14ac:dyDescent="0.45">
      <c r="A404">
        <v>12</v>
      </c>
      <c r="B404" t="s">
        <v>1113</v>
      </c>
      <c r="C404" t="s">
        <v>1125</v>
      </c>
      <c r="D404" t="s">
        <v>910</v>
      </c>
      <c r="E404">
        <v>-72.353142621202139</v>
      </c>
      <c r="F404">
        <v>-38.08284037894677</v>
      </c>
      <c r="L404">
        <v>1</v>
      </c>
      <c r="P404" t="s">
        <v>586</v>
      </c>
      <c r="Q404" t="s">
        <v>1129</v>
      </c>
      <c r="R404" s="1" t="s">
        <v>1130</v>
      </c>
      <c r="S404" t="s">
        <v>803</v>
      </c>
      <c r="V404" t="str">
        <f>condiciones_comuna[[#This Row],[Zona Térmica]]&amp;" - "&amp;condiciones_comuna[[#This Row],[Comuna / localidad]]</f>
        <v>Zona D - Petorca</v>
      </c>
      <c r="W404" t="s">
        <v>1741</v>
      </c>
      <c r="X404" t="s">
        <v>848</v>
      </c>
      <c r="Y404" t="s">
        <v>1248</v>
      </c>
      <c r="Z404" t="s">
        <v>1674</v>
      </c>
      <c r="AA404" s="139" t="s">
        <v>516</v>
      </c>
      <c r="AB404">
        <v>4.7</v>
      </c>
      <c r="AC404">
        <v>0.9</v>
      </c>
    </row>
    <row r="405" spans="1:29" x14ac:dyDescent="0.45">
      <c r="A405">
        <v>12</v>
      </c>
      <c r="B405" t="s">
        <v>1113</v>
      </c>
      <c r="C405" t="s">
        <v>1125</v>
      </c>
      <c r="D405" t="s">
        <v>1001</v>
      </c>
      <c r="E405">
        <v>-71.239147002021724</v>
      </c>
      <c r="F405">
        <v>-38.474137365200555</v>
      </c>
      <c r="N405">
        <v>1</v>
      </c>
      <c r="P405" t="s">
        <v>591</v>
      </c>
      <c r="Q405" t="s">
        <v>1031</v>
      </c>
      <c r="R405" s="193" t="s">
        <v>1131</v>
      </c>
      <c r="S405" t="s">
        <v>833</v>
      </c>
      <c r="V405" t="str">
        <f>condiciones_comuna[[#This Row],[Zona Térmica]]&amp;" - "&amp;condiciones_comuna[[#This Row],[Comuna / localidad]]</f>
        <v>Zona D - Peumo</v>
      </c>
      <c r="W405" t="s">
        <v>1741</v>
      </c>
      <c r="X405" t="s">
        <v>991</v>
      </c>
      <c r="Y405" t="s">
        <v>1248</v>
      </c>
      <c r="Z405" t="s">
        <v>1248</v>
      </c>
      <c r="AA405" s="7" t="s">
        <v>551</v>
      </c>
      <c r="AB405">
        <v>2.4</v>
      </c>
      <c r="AC405">
        <v>0.97</v>
      </c>
    </row>
    <row r="406" spans="1:29" x14ac:dyDescent="0.45">
      <c r="A406">
        <v>12</v>
      </c>
      <c r="B406" t="s">
        <v>1113</v>
      </c>
      <c r="C406" t="s">
        <v>1125</v>
      </c>
      <c r="D406" t="s">
        <v>1010</v>
      </c>
      <c r="E406">
        <v>-72.796911696747202</v>
      </c>
      <c r="F406">
        <v>-37.982855911307652</v>
      </c>
      <c r="L406">
        <v>1</v>
      </c>
      <c r="P406" t="s">
        <v>586</v>
      </c>
      <c r="Q406" t="s">
        <v>1118</v>
      </c>
      <c r="R406" t="s">
        <v>762</v>
      </c>
      <c r="S406" t="s">
        <v>860</v>
      </c>
      <c r="V406" t="str">
        <f>condiciones_comuna[[#This Row],[Zona Térmica]]&amp;" - "&amp;condiciones_comuna[[#This Row],[Comuna / localidad]]</f>
        <v>Zona D - Pichidegua</v>
      </c>
      <c r="W406" t="s">
        <v>1741</v>
      </c>
      <c r="X406" t="s">
        <v>992</v>
      </c>
      <c r="Y406" t="s">
        <v>1248</v>
      </c>
      <c r="Z406" t="s">
        <v>1248</v>
      </c>
      <c r="AA406" s="7" t="s">
        <v>551</v>
      </c>
      <c r="AB406">
        <v>2.4</v>
      </c>
      <c r="AC406">
        <v>0.97</v>
      </c>
    </row>
    <row r="407" spans="1:29" x14ac:dyDescent="0.45">
      <c r="A407">
        <v>12</v>
      </c>
      <c r="B407" t="s">
        <v>1113</v>
      </c>
      <c r="C407" t="s">
        <v>1125</v>
      </c>
      <c r="D407" t="s">
        <v>1013</v>
      </c>
      <c r="E407">
        <v>-73.045699246987184</v>
      </c>
      <c r="F407">
        <v>-38.287139583095886</v>
      </c>
      <c r="L407">
        <v>1</v>
      </c>
      <c r="P407" t="s">
        <v>586</v>
      </c>
      <c r="Q407" t="s">
        <v>1033</v>
      </c>
      <c r="R407" t="s">
        <v>800</v>
      </c>
      <c r="S407" t="s">
        <v>882</v>
      </c>
      <c r="V407" t="str">
        <f>condiciones_comuna[[#This Row],[Zona Térmica]]&amp;" - "&amp;condiciones_comuna[[#This Row],[Comuna / localidad]]</f>
        <v>Zona D - Pirque</v>
      </c>
      <c r="W407" t="s">
        <v>1741</v>
      </c>
      <c r="X407" t="s">
        <v>903</v>
      </c>
      <c r="Y407" t="s">
        <v>1248</v>
      </c>
      <c r="Z407" t="s">
        <v>1248</v>
      </c>
      <c r="AA407" s="49" t="s">
        <v>537</v>
      </c>
      <c r="AB407">
        <v>2.2000000000000002</v>
      </c>
      <c r="AC407">
        <v>0.92</v>
      </c>
    </row>
    <row r="408" spans="1:29" x14ac:dyDescent="0.45">
      <c r="A408">
        <v>12</v>
      </c>
      <c r="B408" t="s">
        <v>1113</v>
      </c>
      <c r="C408" t="s">
        <v>1125</v>
      </c>
      <c r="D408" t="s">
        <v>1100</v>
      </c>
      <c r="E408">
        <v>-73.050425319757267</v>
      </c>
      <c r="F408">
        <v>-38.012145443995927</v>
      </c>
      <c r="L408">
        <v>1</v>
      </c>
      <c r="P408" t="s">
        <v>586</v>
      </c>
      <c r="Q408" t="s">
        <v>809</v>
      </c>
      <c r="R408" t="s">
        <v>871</v>
      </c>
      <c r="S408" t="s">
        <v>883</v>
      </c>
      <c r="V408" t="str">
        <f>condiciones_comuna[[#This Row],[Zona Térmica]]&amp;" - "&amp;condiciones_comuna[[#This Row],[Comuna / localidad]]</f>
        <v>Zona D - Placilla</v>
      </c>
      <c r="W408" t="s">
        <v>1741</v>
      </c>
      <c r="X408" t="s">
        <v>1018</v>
      </c>
      <c r="Y408" t="s">
        <v>1248</v>
      </c>
      <c r="Z408" t="s">
        <v>1248</v>
      </c>
      <c r="AA408" s="49" t="s">
        <v>555</v>
      </c>
      <c r="AB408">
        <v>4.4000000000000004</v>
      </c>
      <c r="AC408">
        <v>0.9</v>
      </c>
    </row>
    <row r="409" spans="1:29" x14ac:dyDescent="0.45">
      <c r="A409">
        <v>12</v>
      </c>
      <c r="B409" t="s">
        <v>1113</v>
      </c>
      <c r="C409" t="s">
        <v>1125</v>
      </c>
      <c r="D409" t="s">
        <v>1117</v>
      </c>
      <c r="E409">
        <v>-72.575587529381195</v>
      </c>
      <c r="F409">
        <v>-37.717584126908818</v>
      </c>
      <c r="L409">
        <v>1</v>
      </c>
      <c r="P409" t="s">
        <v>586</v>
      </c>
      <c r="Q409" t="s">
        <v>865</v>
      </c>
      <c r="R409" t="s">
        <v>888</v>
      </c>
      <c r="S409" t="s">
        <v>890</v>
      </c>
      <c r="V409" t="str">
        <f>condiciones_comuna[[#This Row],[Zona Térmica]]&amp;" - "&amp;condiciones_comuna[[#This Row],[Comuna / localidad]]</f>
        <v>Zona D - Providencia</v>
      </c>
      <c r="W409" t="s">
        <v>1741</v>
      </c>
      <c r="X409" t="s">
        <v>955</v>
      </c>
      <c r="Y409" t="s">
        <v>1248</v>
      </c>
      <c r="Z409" t="s">
        <v>1248</v>
      </c>
      <c r="AA409" s="49" t="s">
        <v>537</v>
      </c>
      <c r="AB409">
        <v>2.2000000000000002</v>
      </c>
      <c r="AC409">
        <v>0.92</v>
      </c>
    </row>
    <row r="410" spans="1:29" x14ac:dyDescent="0.45">
      <c r="A410">
        <v>12</v>
      </c>
      <c r="B410" t="s">
        <v>1113</v>
      </c>
      <c r="C410" t="s">
        <v>1125</v>
      </c>
      <c r="D410" t="s">
        <v>1132</v>
      </c>
      <c r="E410">
        <v>-72.6549837047545</v>
      </c>
      <c r="F410">
        <v>-38.246915033340883</v>
      </c>
      <c r="L410">
        <v>1</v>
      </c>
      <c r="P410" t="s">
        <v>586</v>
      </c>
      <c r="Q410" t="s">
        <v>913</v>
      </c>
      <c r="R410" t="s">
        <v>983</v>
      </c>
      <c r="S410" t="s">
        <v>910</v>
      </c>
      <c r="V410" t="str">
        <f>condiciones_comuna[[#This Row],[Zona Térmica]]&amp;" - "&amp;condiciones_comuna[[#This Row],[Comuna / localidad]]</f>
        <v>Zona D - Pudahuel</v>
      </c>
      <c r="W410" t="s">
        <v>1741</v>
      </c>
      <c r="X410" t="s">
        <v>956</v>
      </c>
      <c r="Y410" t="s">
        <v>1248</v>
      </c>
      <c r="Z410" t="s">
        <v>1248</v>
      </c>
      <c r="AA410" s="49" t="s">
        <v>537</v>
      </c>
      <c r="AB410">
        <v>2.2000000000000002</v>
      </c>
      <c r="AC410">
        <v>0.92</v>
      </c>
    </row>
    <row r="411" spans="1:29" x14ac:dyDescent="0.45">
      <c r="A411">
        <v>12</v>
      </c>
      <c r="B411" t="s">
        <v>1113</v>
      </c>
      <c r="C411" t="s">
        <v>1125</v>
      </c>
      <c r="D411" t="s">
        <v>1133</v>
      </c>
      <c r="E411">
        <v>-72.233594845802429</v>
      </c>
      <c r="F411">
        <v>-38.280612914045314</v>
      </c>
      <c r="L411">
        <v>1</v>
      </c>
      <c r="P411" t="s">
        <v>586</v>
      </c>
      <c r="Q411" t="s">
        <v>1078</v>
      </c>
      <c r="R411" t="s">
        <v>1003</v>
      </c>
      <c r="S411" t="s">
        <v>916</v>
      </c>
      <c r="V411" t="str">
        <f>condiciones_comuna[[#This Row],[Zona Térmica]]&amp;" - "&amp;condiciones_comuna[[#This Row],[Comuna / localidad]]</f>
        <v>Zona D - Puente Alto</v>
      </c>
      <c r="W411" t="s">
        <v>1741</v>
      </c>
      <c r="X411" t="s">
        <v>905</v>
      </c>
      <c r="Y411" t="s">
        <v>1248</v>
      </c>
      <c r="Z411" t="s">
        <v>1248</v>
      </c>
      <c r="AA411" s="49" t="s">
        <v>537</v>
      </c>
      <c r="AB411">
        <v>2.2000000000000002</v>
      </c>
      <c r="AC411">
        <v>0.92</v>
      </c>
    </row>
    <row r="412" spans="1:29" x14ac:dyDescent="0.45">
      <c r="A412">
        <v>13</v>
      </c>
      <c r="B412" t="s">
        <v>1134</v>
      </c>
      <c r="C412" t="s">
        <v>1135</v>
      </c>
      <c r="D412" t="s">
        <v>924</v>
      </c>
      <c r="E412">
        <v>-72.115737890062036</v>
      </c>
      <c r="F412">
        <v>-40.118651262301462</v>
      </c>
      <c r="L412">
        <v>1</v>
      </c>
      <c r="P412" t="s">
        <v>586</v>
      </c>
      <c r="Q412" t="s">
        <v>1053</v>
      </c>
      <c r="R412" t="s">
        <v>1085</v>
      </c>
      <c r="S412" t="s">
        <v>925</v>
      </c>
      <c r="V412" t="str">
        <f>condiciones_comuna[[#This Row],[Zona Térmica]]&amp;" - "&amp;condiciones_comuna[[#This Row],[Comuna / localidad]]</f>
        <v>Zona D - Pumanque</v>
      </c>
      <c r="W412" t="s">
        <v>1741</v>
      </c>
      <c r="X412" t="s">
        <v>1019</v>
      </c>
      <c r="Y412" t="s">
        <v>1248</v>
      </c>
      <c r="Z412" t="s">
        <v>1248</v>
      </c>
      <c r="AA412" s="49" t="s">
        <v>555</v>
      </c>
      <c r="AB412">
        <v>4.4000000000000004</v>
      </c>
      <c r="AC412">
        <v>0.9</v>
      </c>
    </row>
    <row r="413" spans="1:29" x14ac:dyDescent="0.45">
      <c r="A413">
        <v>13</v>
      </c>
      <c r="B413" t="s">
        <v>1134</v>
      </c>
      <c r="C413" t="s">
        <v>1135</v>
      </c>
      <c r="D413" t="s">
        <v>967</v>
      </c>
      <c r="E413">
        <v>-73.222325234004799</v>
      </c>
      <c r="F413">
        <v>-40.201791264137846</v>
      </c>
      <c r="L413">
        <v>19</v>
      </c>
      <c r="M413">
        <v>18</v>
      </c>
      <c r="P413" t="s">
        <v>1824</v>
      </c>
      <c r="Q413" t="s">
        <v>837</v>
      </c>
      <c r="R413" s="193" t="s">
        <v>1136</v>
      </c>
      <c r="S413" t="s">
        <v>927</v>
      </c>
      <c r="V413" t="str">
        <f>condiciones_comuna[[#This Row],[Zona Térmica]]&amp;" - "&amp;condiciones_comuna[[#This Row],[Comuna / localidad]]</f>
        <v>Zona D - Putaendo</v>
      </c>
      <c r="W413" t="s">
        <v>1741</v>
      </c>
      <c r="X413" t="s">
        <v>881</v>
      </c>
      <c r="Y413" t="s">
        <v>1248</v>
      </c>
      <c r="Z413" t="s">
        <v>1674</v>
      </c>
      <c r="AA413" s="139" t="s">
        <v>516</v>
      </c>
      <c r="AB413">
        <v>4.7</v>
      </c>
      <c r="AC413">
        <v>0.9</v>
      </c>
    </row>
    <row r="414" spans="1:29" x14ac:dyDescent="0.45">
      <c r="A414">
        <v>13</v>
      </c>
      <c r="B414" t="s">
        <v>1134</v>
      </c>
      <c r="C414" t="s">
        <v>1135</v>
      </c>
      <c r="D414" t="s">
        <v>969</v>
      </c>
      <c r="E414">
        <v>-72.165978689637541</v>
      </c>
      <c r="F414">
        <v>-40.372765556308217</v>
      </c>
      <c r="L414">
        <v>1</v>
      </c>
      <c r="P414" t="s">
        <v>586</v>
      </c>
      <c r="Q414" t="s">
        <v>1080</v>
      </c>
      <c r="R414" t="s">
        <v>743</v>
      </c>
      <c r="S414" t="s">
        <v>982</v>
      </c>
      <c r="V414" t="str">
        <f>condiciones_comuna[[#This Row],[Zona Térmica]]&amp;" - "&amp;condiciones_comuna[[#This Row],[Comuna / localidad]]</f>
        <v>Zona D - Quilicura</v>
      </c>
      <c r="W414" t="s">
        <v>1741</v>
      </c>
      <c r="X414" t="s">
        <v>958</v>
      </c>
      <c r="Y414" t="s">
        <v>1248</v>
      </c>
      <c r="Z414" t="s">
        <v>1248</v>
      </c>
      <c r="AA414" s="49" t="s">
        <v>537</v>
      </c>
      <c r="AB414">
        <v>2.2000000000000002</v>
      </c>
      <c r="AC414">
        <v>0.92</v>
      </c>
    </row>
    <row r="415" spans="1:29" x14ac:dyDescent="0.45">
      <c r="A415">
        <v>13</v>
      </c>
      <c r="B415" t="s">
        <v>1134</v>
      </c>
      <c r="C415" t="s">
        <v>1135</v>
      </c>
      <c r="D415" t="s">
        <v>1123</v>
      </c>
      <c r="E415">
        <v>-72.535081972589893</v>
      </c>
      <c r="F415">
        <v>-40.496228335484915</v>
      </c>
      <c r="L415">
        <v>1</v>
      </c>
      <c r="P415" t="s">
        <v>586</v>
      </c>
      <c r="Q415" t="s">
        <v>462</v>
      </c>
      <c r="R415" t="s">
        <v>761</v>
      </c>
      <c r="S415" t="s">
        <v>997</v>
      </c>
      <c r="V415" t="str">
        <f>condiciones_comuna[[#This Row],[Zona Térmica]]&amp;" - "&amp;condiciones_comuna[[#This Row],[Comuna / localidad]]</f>
        <v>Zona D - Quillota</v>
      </c>
      <c r="W415" t="s">
        <v>1741</v>
      </c>
      <c r="X415" t="s">
        <v>857</v>
      </c>
      <c r="Y415" t="s">
        <v>1248</v>
      </c>
      <c r="Z415" t="s">
        <v>1248</v>
      </c>
      <c r="AA415" s="139" t="s">
        <v>516</v>
      </c>
      <c r="AB415">
        <v>4.7</v>
      </c>
      <c r="AC415">
        <v>0.9</v>
      </c>
    </row>
    <row r="416" spans="1:29" x14ac:dyDescent="0.45">
      <c r="A416">
        <v>13</v>
      </c>
      <c r="B416" t="s">
        <v>1134</v>
      </c>
      <c r="C416" t="s">
        <v>559</v>
      </c>
      <c r="D416" t="s">
        <v>878</v>
      </c>
      <c r="E416">
        <v>-73.372165642271597</v>
      </c>
      <c r="F416">
        <v>-39.989045887036397</v>
      </c>
      <c r="M416">
        <v>1</v>
      </c>
      <c r="P416" t="s">
        <v>588</v>
      </c>
      <c r="Q416" t="s">
        <v>1020</v>
      </c>
      <c r="R416" t="s">
        <v>778</v>
      </c>
      <c r="S416" t="s">
        <v>1001</v>
      </c>
      <c r="V416" t="str">
        <f>condiciones_comuna[[#This Row],[Zona Térmica]]&amp;" - "&amp;condiciones_comuna[[#This Row],[Comuna / localidad]]</f>
        <v>Zona D - Quilpué</v>
      </c>
      <c r="W416" t="s">
        <v>1741</v>
      </c>
      <c r="X416" t="s">
        <v>845</v>
      </c>
      <c r="Y416" t="s">
        <v>1248</v>
      </c>
      <c r="Z416" t="s">
        <v>1248</v>
      </c>
      <c r="AA416" s="139" t="s">
        <v>516</v>
      </c>
      <c r="AB416">
        <v>4.7</v>
      </c>
      <c r="AC416">
        <v>0.9</v>
      </c>
    </row>
    <row r="417" spans="1:29" x14ac:dyDescent="0.45">
      <c r="A417">
        <v>13</v>
      </c>
      <c r="B417" t="s">
        <v>1134</v>
      </c>
      <c r="C417" t="s">
        <v>559</v>
      </c>
      <c r="D417" t="s">
        <v>977</v>
      </c>
      <c r="E417">
        <v>-72.621517526754928</v>
      </c>
      <c r="F417">
        <v>-39.512184188232403</v>
      </c>
      <c r="L417">
        <v>1</v>
      </c>
      <c r="P417" t="s">
        <v>586</v>
      </c>
      <c r="Q417" t="s">
        <v>1137</v>
      </c>
      <c r="R417" t="s">
        <v>975</v>
      </c>
      <c r="S417" t="s">
        <v>1010</v>
      </c>
      <c r="V417" t="str">
        <f>condiciones_comuna[[#This Row],[Zona Térmica]]&amp;" - "&amp;condiciones_comuna[[#This Row],[Comuna / localidad]]</f>
        <v>Zona D - Quinta de Tilcoco</v>
      </c>
      <c r="W417" t="s">
        <v>1741</v>
      </c>
      <c r="X417" t="s">
        <v>993</v>
      </c>
      <c r="Y417" t="s">
        <v>1248</v>
      </c>
      <c r="Z417" t="s">
        <v>1248</v>
      </c>
      <c r="AA417" s="7" t="s">
        <v>551</v>
      </c>
      <c r="AB417">
        <v>2.4</v>
      </c>
      <c r="AC417">
        <v>0.97</v>
      </c>
    </row>
    <row r="418" spans="1:29" x14ac:dyDescent="0.45">
      <c r="A418">
        <v>13</v>
      </c>
      <c r="B418" t="s">
        <v>1134</v>
      </c>
      <c r="C418" t="s">
        <v>559</v>
      </c>
      <c r="D418" t="s">
        <v>1006</v>
      </c>
      <c r="E418">
        <v>-72.554674190960398</v>
      </c>
      <c r="F418">
        <v>-39.878513304997611</v>
      </c>
      <c r="L418">
        <v>1</v>
      </c>
      <c r="P418" t="s">
        <v>586</v>
      </c>
      <c r="Q418" t="s">
        <v>1066</v>
      </c>
      <c r="R418" t="s">
        <v>795</v>
      </c>
      <c r="S418" t="s">
        <v>1013</v>
      </c>
      <c r="V418" t="str">
        <f>condiciones_comuna[[#This Row],[Zona Térmica]]&amp;" - "&amp;condiciones_comuna[[#This Row],[Comuna / localidad]]</f>
        <v>Zona D - Quinta Normal</v>
      </c>
      <c r="W418" t="s">
        <v>1741</v>
      </c>
      <c r="X418" t="s">
        <v>960</v>
      </c>
      <c r="Y418" t="s">
        <v>1248</v>
      </c>
      <c r="Z418" t="s">
        <v>1248</v>
      </c>
      <c r="AA418" s="49" t="s">
        <v>537</v>
      </c>
      <c r="AB418">
        <v>2.2000000000000002</v>
      </c>
      <c r="AC418">
        <v>0.92</v>
      </c>
    </row>
    <row r="419" spans="1:29" x14ac:dyDescent="0.45">
      <c r="A419">
        <v>13</v>
      </c>
      <c r="B419" t="s">
        <v>1134</v>
      </c>
      <c r="C419" t="s">
        <v>559</v>
      </c>
      <c r="D419" t="s">
        <v>1017</v>
      </c>
      <c r="E419">
        <v>-72.863693803693238</v>
      </c>
      <c r="F419">
        <v>-39.692091926235001</v>
      </c>
      <c r="M419">
        <v>1</v>
      </c>
      <c r="P419" t="s">
        <v>588</v>
      </c>
      <c r="Q419" t="s">
        <v>1044</v>
      </c>
      <c r="R419" t="s">
        <v>1036</v>
      </c>
      <c r="S419" t="s">
        <v>1027</v>
      </c>
      <c r="V419" t="str">
        <f>condiciones_comuna[[#This Row],[Zona Térmica]]&amp;" - "&amp;condiciones_comuna[[#This Row],[Comuna / localidad]]</f>
        <v>Zona D - Rancagua</v>
      </c>
      <c r="W419" t="s">
        <v>1741</v>
      </c>
      <c r="X419" t="s">
        <v>994</v>
      </c>
      <c r="Y419" t="s">
        <v>1248</v>
      </c>
      <c r="Z419" t="s">
        <v>1248</v>
      </c>
      <c r="AA419" s="7" t="s">
        <v>551</v>
      </c>
      <c r="AB419">
        <v>2.4</v>
      </c>
      <c r="AC419">
        <v>0.97</v>
      </c>
    </row>
    <row r="420" spans="1:29" x14ac:dyDescent="0.45">
      <c r="A420">
        <v>13</v>
      </c>
      <c r="B420" t="s">
        <v>1134</v>
      </c>
      <c r="C420" t="s">
        <v>559</v>
      </c>
      <c r="D420" t="s">
        <v>1023</v>
      </c>
      <c r="E420">
        <v>-73.016926101731755</v>
      </c>
      <c r="F420">
        <v>-39.510451864809376</v>
      </c>
      <c r="M420">
        <v>1</v>
      </c>
      <c r="P420" t="s">
        <v>588</v>
      </c>
      <c r="Q420" t="s">
        <v>963</v>
      </c>
      <c r="R420" t="s">
        <v>1038</v>
      </c>
      <c r="S420" t="s">
        <v>1046</v>
      </c>
      <c r="V420" t="str">
        <f>condiciones_comuna[[#This Row],[Zona Térmica]]&amp;" - "&amp;condiciones_comuna[[#This Row],[Comuna / localidad]]</f>
        <v>Zona D - Rauco</v>
      </c>
      <c r="W420" t="s">
        <v>1741</v>
      </c>
      <c r="X420" t="s">
        <v>1029</v>
      </c>
      <c r="Y420" t="s">
        <v>1248</v>
      </c>
      <c r="Z420" t="s">
        <v>1248</v>
      </c>
      <c r="AA420" s="49" t="s">
        <v>560</v>
      </c>
      <c r="AB420">
        <v>3.4</v>
      </c>
      <c r="AC420">
        <v>0.99</v>
      </c>
    </row>
    <row r="421" spans="1:29" x14ac:dyDescent="0.45">
      <c r="A421">
        <v>13</v>
      </c>
      <c r="B421" t="s">
        <v>1134</v>
      </c>
      <c r="C421" t="s">
        <v>559</v>
      </c>
      <c r="D421" t="s">
        <v>1059</v>
      </c>
      <c r="E421">
        <v>-72.843437125037624</v>
      </c>
      <c r="F421">
        <v>-40.074355470557386</v>
      </c>
      <c r="L421">
        <v>1</v>
      </c>
      <c r="P421" t="s">
        <v>586</v>
      </c>
      <c r="Q421" t="s">
        <v>907</v>
      </c>
      <c r="R421" t="s">
        <v>1041</v>
      </c>
      <c r="S421" t="s">
        <v>1056</v>
      </c>
      <c r="V421" t="str">
        <f>condiciones_comuna[[#This Row],[Zona Térmica]]&amp;" - "&amp;condiciones_comuna[[#This Row],[Comuna / localidad]]</f>
        <v>Zona D - Recoleta</v>
      </c>
      <c r="W421" t="s">
        <v>1741</v>
      </c>
      <c r="X421" t="s">
        <v>961</v>
      </c>
      <c r="Y421" t="s">
        <v>1248</v>
      </c>
      <c r="Z421" t="s">
        <v>1248</v>
      </c>
      <c r="AA421" s="49" t="s">
        <v>537</v>
      </c>
      <c r="AB421">
        <v>2.2000000000000002</v>
      </c>
      <c r="AC421">
        <v>0.92</v>
      </c>
    </row>
    <row r="422" spans="1:29" x14ac:dyDescent="0.45">
      <c r="A422">
        <v>13</v>
      </c>
      <c r="B422" t="s">
        <v>1134</v>
      </c>
      <c r="C422" t="s">
        <v>559</v>
      </c>
      <c r="D422" t="s">
        <v>1062</v>
      </c>
      <c r="E422">
        <v>-72.030740375065349</v>
      </c>
      <c r="F422">
        <v>-39.714166814540995</v>
      </c>
      <c r="L422">
        <v>1</v>
      </c>
      <c r="P422" t="s">
        <v>586</v>
      </c>
      <c r="Q422" t="s">
        <v>1138</v>
      </c>
      <c r="R422" t="s">
        <v>1090</v>
      </c>
      <c r="S422" t="s">
        <v>1079</v>
      </c>
      <c r="V422" t="str">
        <f>condiciones_comuna[[#This Row],[Zona Térmica]]&amp;" - "&amp;condiciones_comuna[[#This Row],[Comuna / localidad]]</f>
        <v>Zona D - Renca</v>
      </c>
      <c r="W422" t="s">
        <v>1741</v>
      </c>
      <c r="X422" t="s">
        <v>962</v>
      </c>
      <c r="Y422" t="s">
        <v>1248</v>
      </c>
      <c r="Z422" t="s">
        <v>1248</v>
      </c>
      <c r="AA422" s="49" t="s">
        <v>537</v>
      </c>
      <c r="AB422">
        <v>2.2000000000000002</v>
      </c>
      <c r="AC422">
        <v>0.92</v>
      </c>
    </row>
    <row r="423" spans="1:29" x14ac:dyDescent="0.45">
      <c r="A423">
        <v>13</v>
      </c>
      <c r="B423" t="s">
        <v>1134</v>
      </c>
      <c r="C423" t="s">
        <v>559</v>
      </c>
      <c r="D423" t="s">
        <v>559</v>
      </c>
      <c r="E423">
        <v>-73.169673150496081</v>
      </c>
      <c r="F423">
        <v>-39.818460547490112</v>
      </c>
      <c r="M423">
        <v>1</v>
      </c>
      <c r="P423" t="s">
        <v>588</v>
      </c>
      <c r="Q423" t="s">
        <v>965</v>
      </c>
      <c r="R423" t="s">
        <v>1091</v>
      </c>
      <c r="S423" t="s">
        <v>1084</v>
      </c>
      <c r="V423" t="str">
        <f>condiciones_comuna[[#This Row],[Zona Térmica]]&amp;" - "&amp;condiciones_comuna[[#This Row],[Comuna / localidad]]</f>
        <v>Zona D - Rengo</v>
      </c>
      <c r="W423" t="s">
        <v>1741</v>
      </c>
      <c r="X423" t="s">
        <v>996</v>
      </c>
      <c r="Y423" t="s">
        <v>1248</v>
      </c>
      <c r="Z423" t="s">
        <v>1683</v>
      </c>
      <c r="AA423" s="7" t="s">
        <v>551</v>
      </c>
      <c r="AB423">
        <v>2.4</v>
      </c>
      <c r="AC423">
        <v>0.97</v>
      </c>
    </row>
    <row r="424" spans="1:29" x14ac:dyDescent="0.45">
      <c r="A424">
        <v>14</v>
      </c>
      <c r="B424" t="s">
        <v>1006</v>
      </c>
      <c r="C424" t="s">
        <v>1139</v>
      </c>
      <c r="D424" t="s">
        <v>749</v>
      </c>
      <c r="E424">
        <v>-73.801867800236479</v>
      </c>
      <c r="F424">
        <v>-42.017366725555043</v>
      </c>
      <c r="M424">
        <v>1</v>
      </c>
      <c r="P424" t="s">
        <v>588</v>
      </c>
      <c r="Q424" t="s">
        <v>1081</v>
      </c>
      <c r="R424" t="s">
        <v>1092</v>
      </c>
      <c r="S424" t="s">
        <v>1089</v>
      </c>
      <c r="V424" t="str">
        <f>condiciones_comuna[[#This Row],[Zona Térmica]]&amp;" - "&amp;condiciones_comuna[[#This Row],[Comuna / localidad]]</f>
        <v>Zona D - Requínoa</v>
      </c>
      <c r="W424" t="s">
        <v>1741</v>
      </c>
      <c r="X424" t="s">
        <v>998</v>
      </c>
      <c r="Y424" t="s">
        <v>1248</v>
      </c>
      <c r="Z424" t="s">
        <v>1683</v>
      </c>
      <c r="AA424" s="7" t="s">
        <v>551</v>
      </c>
      <c r="AB424">
        <v>2.4</v>
      </c>
      <c r="AC424">
        <v>0.97</v>
      </c>
    </row>
    <row r="425" spans="1:29" x14ac:dyDescent="0.45">
      <c r="A425">
        <v>14</v>
      </c>
      <c r="B425" t="s">
        <v>1006</v>
      </c>
      <c r="C425" t="s">
        <v>1139</v>
      </c>
      <c r="D425" t="s">
        <v>810</v>
      </c>
      <c r="E425">
        <v>-73.804619069945758</v>
      </c>
      <c r="F425">
        <v>-42.473796104576635</v>
      </c>
      <c r="M425">
        <v>1</v>
      </c>
      <c r="P425" t="s">
        <v>588</v>
      </c>
      <c r="Q425" t="s">
        <v>1140</v>
      </c>
      <c r="R425" t="s">
        <v>1094</v>
      </c>
      <c r="S425" t="s">
        <v>1100</v>
      </c>
      <c r="V425" t="str">
        <f>condiciones_comuna[[#This Row],[Zona Térmica]]&amp;" - "&amp;condiciones_comuna[[#This Row],[Comuna / localidad]]</f>
        <v>Zona D - Retiro</v>
      </c>
      <c r="W425" t="s">
        <v>1741</v>
      </c>
      <c r="X425" t="s">
        <v>1042</v>
      </c>
      <c r="Y425" t="s">
        <v>1248</v>
      </c>
      <c r="Z425" t="s">
        <v>1248</v>
      </c>
      <c r="AA425" s="49" t="s">
        <v>563</v>
      </c>
      <c r="AB425">
        <v>2.6</v>
      </c>
      <c r="AC425">
        <v>0.92</v>
      </c>
    </row>
    <row r="426" spans="1:29" x14ac:dyDescent="0.45">
      <c r="A426">
        <v>14</v>
      </c>
      <c r="B426" t="s">
        <v>1006</v>
      </c>
      <c r="C426" t="s">
        <v>1139</v>
      </c>
      <c r="D426" t="s">
        <v>836</v>
      </c>
      <c r="E426">
        <v>-73.930630763215916</v>
      </c>
      <c r="F426">
        <v>-42.681792268839459</v>
      </c>
      <c r="M426">
        <v>1</v>
      </c>
      <c r="P426" t="s">
        <v>588</v>
      </c>
      <c r="Q426" t="s">
        <v>921</v>
      </c>
      <c r="R426" t="s">
        <v>1096</v>
      </c>
      <c r="S426" t="s">
        <v>1117</v>
      </c>
      <c r="V426" t="str">
        <f>condiciones_comuna[[#This Row],[Zona Térmica]]&amp;" - "&amp;condiciones_comuna[[#This Row],[Comuna / localidad]]</f>
        <v>Zona D - Rinconada</v>
      </c>
      <c r="W426" t="s">
        <v>1741</v>
      </c>
      <c r="X426" t="s">
        <v>835</v>
      </c>
      <c r="Y426" t="s">
        <v>1248</v>
      </c>
      <c r="Z426" t="s">
        <v>1248</v>
      </c>
      <c r="AA426" s="139" t="s">
        <v>516</v>
      </c>
      <c r="AB426">
        <v>4.7</v>
      </c>
      <c r="AC426">
        <v>0.9</v>
      </c>
    </row>
    <row r="427" spans="1:29" x14ac:dyDescent="0.45">
      <c r="A427">
        <v>14</v>
      </c>
      <c r="B427" t="s">
        <v>1006</v>
      </c>
      <c r="C427" t="s">
        <v>1139</v>
      </c>
      <c r="D427" t="s">
        <v>886</v>
      </c>
      <c r="E427">
        <v>-73.578681271767081</v>
      </c>
      <c r="F427">
        <v>-42.42654204807679</v>
      </c>
      <c r="M427">
        <v>1</v>
      </c>
      <c r="P427" t="s">
        <v>588</v>
      </c>
      <c r="Q427" t="s">
        <v>773</v>
      </c>
      <c r="R427" t="s">
        <v>1098</v>
      </c>
      <c r="S427" t="s">
        <v>1118</v>
      </c>
      <c r="V427" t="str">
        <f>condiciones_comuna[[#This Row],[Zona Térmica]]&amp;" - "&amp;condiciones_comuna[[#This Row],[Comuna / localidad]]</f>
        <v>Zona D - Río Claro</v>
      </c>
      <c r="W427" t="s">
        <v>1741</v>
      </c>
      <c r="X427" t="s">
        <v>1052</v>
      </c>
      <c r="Y427" t="s">
        <v>1248</v>
      </c>
      <c r="Z427" t="s">
        <v>1248</v>
      </c>
      <c r="AA427" s="49" t="s">
        <v>563</v>
      </c>
      <c r="AB427">
        <v>2.6</v>
      </c>
      <c r="AC427">
        <v>0.92</v>
      </c>
    </row>
    <row r="428" spans="1:29" x14ac:dyDescent="0.45">
      <c r="A428">
        <v>14</v>
      </c>
      <c r="B428" t="s">
        <v>1006</v>
      </c>
      <c r="C428" t="s">
        <v>1139</v>
      </c>
      <c r="D428" t="s">
        <v>893</v>
      </c>
      <c r="E428">
        <v>-73.833256188628368</v>
      </c>
      <c r="F428">
        <v>-42.308876378788845</v>
      </c>
      <c r="M428">
        <v>1</v>
      </c>
      <c r="P428" t="s">
        <v>588</v>
      </c>
      <c r="Q428" t="s">
        <v>1104</v>
      </c>
      <c r="R428" s="193" t="s">
        <v>1141</v>
      </c>
      <c r="S428" t="s">
        <v>557</v>
      </c>
      <c r="V428" t="str">
        <f>condiciones_comuna[[#This Row],[Zona Térmica]]&amp;" - "&amp;condiciones_comuna[[#This Row],[Comuna / localidad]]</f>
        <v>Zona D - Romeral</v>
      </c>
      <c r="W428" t="s">
        <v>1741</v>
      </c>
      <c r="X428" t="s">
        <v>1031</v>
      </c>
      <c r="Y428" t="s">
        <v>1248</v>
      </c>
      <c r="Z428" t="s">
        <v>1683</v>
      </c>
      <c r="AA428" s="49" t="s">
        <v>560</v>
      </c>
      <c r="AB428">
        <v>3.4</v>
      </c>
      <c r="AC428">
        <v>0.99</v>
      </c>
    </row>
    <row r="429" spans="1:29" x14ac:dyDescent="0.45">
      <c r="A429">
        <v>14</v>
      </c>
      <c r="B429" t="s">
        <v>1006</v>
      </c>
      <c r="C429" t="s">
        <v>1139</v>
      </c>
      <c r="D429" t="s">
        <v>1099</v>
      </c>
      <c r="E429">
        <v>-73.637016509246763</v>
      </c>
      <c r="F429">
        <v>-42.626756986067711</v>
      </c>
      <c r="M429">
        <v>1</v>
      </c>
      <c r="P429" t="s">
        <v>588</v>
      </c>
      <c r="Q429" t="s">
        <v>1055</v>
      </c>
      <c r="R429" t="s">
        <v>825</v>
      </c>
      <c r="S429" t="s">
        <v>1119</v>
      </c>
      <c r="V429" t="str">
        <f>condiciones_comuna[[#This Row],[Zona Térmica]]&amp;" - "&amp;condiciones_comuna[[#This Row],[Comuna / localidad]]</f>
        <v>Zona D - Sagrada Familia</v>
      </c>
      <c r="W429" t="s">
        <v>1741</v>
      </c>
      <c r="X429" t="s">
        <v>1033</v>
      </c>
      <c r="Y429" t="s">
        <v>1248</v>
      </c>
      <c r="Z429" t="s">
        <v>1248</v>
      </c>
      <c r="AA429" s="49" t="s">
        <v>560</v>
      </c>
      <c r="AB429">
        <v>3.4</v>
      </c>
      <c r="AC429">
        <v>0.99</v>
      </c>
    </row>
    <row r="430" spans="1:29" x14ac:dyDescent="0.45">
      <c r="A430">
        <v>14</v>
      </c>
      <c r="B430" t="s">
        <v>1006</v>
      </c>
      <c r="C430" t="s">
        <v>1139</v>
      </c>
      <c r="D430" t="s">
        <v>1103</v>
      </c>
      <c r="E430">
        <v>-73.564472303758421</v>
      </c>
      <c r="F430">
        <v>-42.855693689491034</v>
      </c>
      <c r="M430">
        <v>1</v>
      </c>
      <c r="P430" t="s">
        <v>588</v>
      </c>
      <c r="Q430" t="s">
        <v>966</v>
      </c>
      <c r="R430" t="s">
        <v>554</v>
      </c>
      <c r="S430" t="s">
        <v>1121</v>
      </c>
      <c r="V430" t="str">
        <f>condiciones_comuna[[#This Row],[Zona Térmica]]&amp;" - "&amp;condiciones_comuna[[#This Row],[Comuna / localidad]]</f>
        <v>Zona D - San Bernardo</v>
      </c>
      <c r="W430" t="s">
        <v>1741</v>
      </c>
      <c r="X430" t="s">
        <v>913</v>
      </c>
      <c r="Y430" t="s">
        <v>1248</v>
      </c>
      <c r="Z430" t="s">
        <v>1248</v>
      </c>
      <c r="AA430" s="49" t="s">
        <v>537</v>
      </c>
      <c r="AB430">
        <v>2.2000000000000002</v>
      </c>
      <c r="AC430">
        <v>0.92</v>
      </c>
    </row>
    <row r="431" spans="1:29" x14ac:dyDescent="0.45">
      <c r="A431">
        <v>14</v>
      </c>
      <c r="B431" t="s">
        <v>1006</v>
      </c>
      <c r="C431" t="s">
        <v>1139</v>
      </c>
      <c r="D431" t="s">
        <v>1105</v>
      </c>
      <c r="E431">
        <v>-73.993928917017655</v>
      </c>
      <c r="F431">
        <v>-43.151047663686313</v>
      </c>
      <c r="M431">
        <v>1</v>
      </c>
      <c r="P431" t="s">
        <v>588</v>
      </c>
      <c r="Q431" t="s">
        <v>1092</v>
      </c>
      <c r="R431" t="s">
        <v>876</v>
      </c>
      <c r="S431" t="s">
        <v>1132</v>
      </c>
      <c r="V431" t="str">
        <f>condiciones_comuna[[#This Row],[Zona Térmica]]&amp;" - "&amp;condiciones_comuna[[#This Row],[Comuna / localidad]]</f>
        <v>Zona D - San Clemente</v>
      </c>
      <c r="W431" t="s">
        <v>1741</v>
      </c>
      <c r="X431" t="s">
        <v>1053</v>
      </c>
      <c r="Y431" t="s">
        <v>1248</v>
      </c>
      <c r="Z431" t="s">
        <v>1683</v>
      </c>
      <c r="AA431" s="49" t="s">
        <v>563</v>
      </c>
      <c r="AB431">
        <v>2.6</v>
      </c>
      <c r="AC431">
        <v>0.92</v>
      </c>
    </row>
    <row r="432" spans="1:29" x14ac:dyDescent="0.45">
      <c r="A432">
        <v>14</v>
      </c>
      <c r="B432" t="s">
        <v>1006</v>
      </c>
      <c r="C432" t="s">
        <v>1139</v>
      </c>
      <c r="D432" t="s">
        <v>1107</v>
      </c>
      <c r="E432">
        <v>-73.411495541017146</v>
      </c>
      <c r="F432">
        <v>-42.178946993116462</v>
      </c>
      <c r="M432">
        <v>1</v>
      </c>
      <c r="P432" t="s">
        <v>588</v>
      </c>
      <c r="Q432" t="s">
        <v>1000</v>
      </c>
      <c r="R432" t="s">
        <v>914</v>
      </c>
      <c r="S432" t="s">
        <v>1133</v>
      </c>
      <c r="V432" t="str">
        <f>condiciones_comuna[[#This Row],[Zona Térmica]]&amp;" - "&amp;condiciones_comuna[[#This Row],[Comuna / localidad]]</f>
        <v>Zona D - San Esteban</v>
      </c>
      <c r="W432" t="s">
        <v>1741</v>
      </c>
      <c r="X432" t="s">
        <v>837</v>
      </c>
      <c r="Y432" t="s">
        <v>1248</v>
      </c>
      <c r="Z432" t="s">
        <v>1674</v>
      </c>
      <c r="AA432" s="139" t="s">
        <v>516</v>
      </c>
      <c r="AB432">
        <v>4.7</v>
      </c>
      <c r="AC432">
        <v>0.9</v>
      </c>
    </row>
    <row r="433" spans="1:29" x14ac:dyDescent="0.45">
      <c r="A433">
        <v>14</v>
      </c>
      <c r="B433" t="s">
        <v>1006</v>
      </c>
      <c r="C433" t="s">
        <v>1139</v>
      </c>
      <c r="D433" t="s">
        <v>1115</v>
      </c>
      <c r="E433">
        <v>-73.358924614976459</v>
      </c>
      <c r="F433">
        <v>-42.52158805647322</v>
      </c>
      <c r="M433">
        <v>1</v>
      </c>
      <c r="P433" t="s">
        <v>588</v>
      </c>
      <c r="Q433" t="s">
        <v>1094</v>
      </c>
      <c r="R433" t="s">
        <v>937</v>
      </c>
      <c r="S433" t="s">
        <v>1122</v>
      </c>
      <c r="V433" t="str">
        <f>condiciones_comuna[[#This Row],[Zona Térmica]]&amp;" - "&amp;condiciones_comuna[[#This Row],[Comuna / localidad]]</f>
        <v>Zona D - San Felipe</v>
      </c>
      <c r="W433" t="s">
        <v>1741</v>
      </c>
      <c r="X433" t="s">
        <v>462</v>
      </c>
      <c r="Y433" t="s">
        <v>1248</v>
      </c>
      <c r="Z433" t="s">
        <v>1248</v>
      </c>
      <c r="AA433" s="139" t="s">
        <v>516</v>
      </c>
      <c r="AB433">
        <v>4.7</v>
      </c>
      <c r="AC433">
        <v>0.9</v>
      </c>
    </row>
    <row r="434" spans="1:29" x14ac:dyDescent="0.45">
      <c r="A434">
        <v>14</v>
      </c>
      <c r="B434" t="s">
        <v>1006</v>
      </c>
      <c r="C434" t="s">
        <v>990</v>
      </c>
      <c r="D434" t="s">
        <v>784</v>
      </c>
      <c r="E434">
        <v>-73.194776916678208</v>
      </c>
      <c r="F434">
        <v>-41.722818817088495</v>
      </c>
      <c r="M434">
        <v>1</v>
      </c>
      <c r="P434" t="s">
        <v>588</v>
      </c>
      <c r="Q434" t="s">
        <v>1021</v>
      </c>
      <c r="R434" t="s">
        <v>940</v>
      </c>
      <c r="S434" t="s">
        <v>1124</v>
      </c>
      <c r="V434" t="str">
        <f>condiciones_comuna[[#This Row],[Zona Térmica]]&amp;" - "&amp;condiciones_comuna[[#This Row],[Comuna / localidad]]</f>
        <v>Zona D - San Fernando</v>
      </c>
      <c r="W434" t="s">
        <v>1741</v>
      </c>
      <c r="X434" t="s">
        <v>1020</v>
      </c>
      <c r="Y434" t="s">
        <v>1248</v>
      </c>
      <c r="Z434" t="s">
        <v>1683</v>
      </c>
      <c r="AA434" s="49" t="s">
        <v>555</v>
      </c>
      <c r="AB434">
        <v>4.4000000000000004</v>
      </c>
      <c r="AC434">
        <v>0.9</v>
      </c>
    </row>
    <row r="435" spans="1:29" x14ac:dyDescent="0.45">
      <c r="A435">
        <v>14</v>
      </c>
      <c r="B435" t="s">
        <v>1006</v>
      </c>
      <c r="C435" t="s">
        <v>990</v>
      </c>
      <c r="D435" t="s">
        <v>844</v>
      </c>
      <c r="E435">
        <v>-72.092618483736132</v>
      </c>
      <c r="F435">
        <v>-41.759690049180165</v>
      </c>
      <c r="M435">
        <v>1</v>
      </c>
      <c r="P435" t="s">
        <v>588</v>
      </c>
      <c r="Q435" t="s">
        <v>1106</v>
      </c>
      <c r="R435" t="s">
        <v>1012</v>
      </c>
      <c r="S435" s="194" t="s">
        <v>1157</v>
      </c>
      <c r="V435" t="str">
        <f>condiciones_comuna[[#This Row],[Zona Térmica]]&amp;" - "&amp;condiciones_comuna[[#This Row],[Comuna / localidad]]</f>
        <v>Zona D - San Javier</v>
      </c>
      <c r="W435" t="s">
        <v>1741</v>
      </c>
      <c r="X435" t="s">
        <v>1044</v>
      </c>
      <c r="Y435" t="s">
        <v>1248</v>
      </c>
      <c r="Z435" t="s">
        <v>1248</v>
      </c>
      <c r="AA435" s="49" t="s">
        <v>563</v>
      </c>
      <c r="AB435">
        <v>2.6</v>
      </c>
      <c r="AC435">
        <v>0.92</v>
      </c>
    </row>
    <row r="436" spans="1:29" x14ac:dyDescent="0.45">
      <c r="A436">
        <v>14</v>
      </c>
      <c r="B436" t="s">
        <v>1006</v>
      </c>
      <c r="C436" t="s">
        <v>990</v>
      </c>
      <c r="D436" t="s">
        <v>919</v>
      </c>
      <c r="E436">
        <v>-73.606718873500398</v>
      </c>
      <c r="F436">
        <v>-41.15454937692688</v>
      </c>
      <c r="M436">
        <v>1</v>
      </c>
      <c r="P436" t="s">
        <v>588</v>
      </c>
      <c r="Q436" t="s">
        <v>884</v>
      </c>
      <c r="R436" t="s">
        <v>1072</v>
      </c>
      <c r="S436" s="1" t="s">
        <v>1158</v>
      </c>
      <c r="V436" t="str">
        <f>condiciones_comuna[[#This Row],[Zona Térmica]]&amp;" - "&amp;condiciones_comuna[[#This Row],[Comuna / localidad]]</f>
        <v>Zona D - San Joaquín</v>
      </c>
      <c r="W436" t="s">
        <v>1741</v>
      </c>
      <c r="X436" t="s">
        <v>963</v>
      </c>
      <c r="Y436" t="s">
        <v>1248</v>
      </c>
      <c r="Z436" t="s">
        <v>1248</v>
      </c>
      <c r="AA436" s="49" t="s">
        <v>537</v>
      </c>
      <c r="AB436">
        <v>2.2000000000000002</v>
      </c>
      <c r="AC436">
        <v>0.92</v>
      </c>
    </row>
    <row r="437" spans="1:29" x14ac:dyDescent="0.45">
      <c r="A437">
        <v>14</v>
      </c>
      <c r="B437" t="s">
        <v>1006</v>
      </c>
      <c r="C437" t="s">
        <v>990</v>
      </c>
      <c r="D437" t="s">
        <v>920</v>
      </c>
      <c r="E437">
        <v>-73.095918867504608</v>
      </c>
      <c r="F437">
        <v>-41.087390761498156</v>
      </c>
      <c r="M437">
        <v>1</v>
      </c>
      <c r="P437" t="s">
        <v>588</v>
      </c>
      <c r="Q437" t="s">
        <v>923</v>
      </c>
      <c r="R437" t="s">
        <v>1104</v>
      </c>
      <c r="S437" t="s">
        <v>878</v>
      </c>
      <c r="V437" t="str">
        <f>condiciones_comuna[[#This Row],[Zona Térmica]]&amp;" - "&amp;condiciones_comuna[[#This Row],[Comuna / localidad]]</f>
        <v>Zona D - San José de Maipo</v>
      </c>
      <c r="W437" t="s">
        <v>1741</v>
      </c>
      <c r="X437" s="188" t="s">
        <v>907</v>
      </c>
      <c r="Y437" t="s">
        <v>1248</v>
      </c>
      <c r="Z437" t="s">
        <v>1674</v>
      </c>
      <c r="AA437" s="211" t="s">
        <v>526</v>
      </c>
      <c r="AB437">
        <v>1.8</v>
      </c>
      <c r="AC437">
        <v>0.9</v>
      </c>
    </row>
    <row r="438" spans="1:29" x14ac:dyDescent="0.45">
      <c r="A438">
        <v>14</v>
      </c>
      <c r="B438" t="s">
        <v>1006</v>
      </c>
      <c r="C438" t="s">
        <v>990</v>
      </c>
      <c r="D438" t="s">
        <v>990</v>
      </c>
      <c r="E438">
        <v>-73.139657274259065</v>
      </c>
      <c r="F438">
        <v>-41.237835421231857</v>
      </c>
      <c r="M438">
        <v>1</v>
      </c>
      <c r="P438" t="s">
        <v>588</v>
      </c>
      <c r="Q438" t="s">
        <v>873</v>
      </c>
      <c r="R438" t="s">
        <v>1106</v>
      </c>
      <c r="S438" t="s">
        <v>924</v>
      </c>
      <c r="V438" t="str">
        <f>condiciones_comuna[[#This Row],[Zona Térmica]]&amp;" - "&amp;condiciones_comuna[[#This Row],[Comuna / localidad]]</f>
        <v>Zona D - San Miguel</v>
      </c>
      <c r="W438" t="s">
        <v>1741</v>
      </c>
      <c r="X438" t="s">
        <v>965</v>
      </c>
      <c r="Y438" t="s">
        <v>1248</v>
      </c>
      <c r="Z438" t="s">
        <v>1248</v>
      </c>
      <c r="AA438" s="49" t="s">
        <v>537</v>
      </c>
      <c r="AB438">
        <v>2.2000000000000002</v>
      </c>
      <c r="AC438">
        <v>0.92</v>
      </c>
    </row>
    <row r="439" spans="1:29" x14ac:dyDescent="0.45">
      <c r="A439">
        <v>14</v>
      </c>
      <c r="B439" t="s">
        <v>1006</v>
      </c>
      <c r="C439" t="s">
        <v>990</v>
      </c>
      <c r="D439" t="s">
        <v>1008</v>
      </c>
      <c r="E439">
        <v>-73.582593460676975</v>
      </c>
      <c r="F439">
        <v>-41.396678275462975</v>
      </c>
      <c r="M439">
        <v>1</v>
      </c>
      <c r="P439" t="s">
        <v>588</v>
      </c>
      <c r="Q439" t="s">
        <v>765</v>
      </c>
      <c r="R439" t="s">
        <v>1109</v>
      </c>
      <c r="S439" t="s">
        <v>967</v>
      </c>
      <c r="V439" t="str">
        <f>condiciones_comuna[[#This Row],[Zona Térmica]]&amp;" - "&amp;condiciones_comuna[[#This Row],[Comuna / localidad]]</f>
        <v>Zona D - San Pedro</v>
      </c>
      <c r="W439" t="s">
        <v>1741</v>
      </c>
      <c r="X439" t="s">
        <v>921</v>
      </c>
      <c r="Y439" t="s">
        <v>1248</v>
      </c>
      <c r="Z439" t="s">
        <v>1248</v>
      </c>
      <c r="AA439" s="49" t="s">
        <v>537</v>
      </c>
      <c r="AB439">
        <v>2.2000000000000002</v>
      </c>
      <c r="AC439">
        <v>0.92</v>
      </c>
    </row>
    <row r="440" spans="1:29" x14ac:dyDescent="0.45">
      <c r="A440">
        <v>14</v>
      </c>
      <c r="B440" t="s">
        <v>1006</v>
      </c>
      <c r="C440" t="s">
        <v>990</v>
      </c>
      <c r="D440" t="s">
        <v>1026</v>
      </c>
      <c r="E440">
        <v>-73.504378153429258</v>
      </c>
      <c r="F440">
        <v>-41.636354110194326</v>
      </c>
      <c r="M440">
        <v>1</v>
      </c>
      <c r="P440" t="s">
        <v>588</v>
      </c>
      <c r="Q440" t="s">
        <v>970</v>
      </c>
      <c r="R440" t="s">
        <v>1111</v>
      </c>
      <c r="S440" t="s">
        <v>969</v>
      </c>
      <c r="V440" t="str">
        <f>condiciones_comuna[[#This Row],[Zona Térmica]]&amp;" - "&amp;condiciones_comuna[[#This Row],[Comuna / localidad]]</f>
        <v>Zona D - San Rafael</v>
      </c>
      <c r="W440" t="s">
        <v>1741</v>
      </c>
      <c r="X440" t="s">
        <v>1055</v>
      </c>
      <c r="Y440" t="s">
        <v>1248</v>
      </c>
      <c r="Z440" t="s">
        <v>1248</v>
      </c>
      <c r="AA440" s="49" t="s">
        <v>563</v>
      </c>
      <c r="AB440">
        <v>2.6</v>
      </c>
      <c r="AC440">
        <v>0.92</v>
      </c>
    </row>
    <row r="441" spans="1:29" x14ac:dyDescent="0.45">
      <c r="A441">
        <v>14</v>
      </c>
      <c r="B441" t="s">
        <v>1006</v>
      </c>
      <c r="C441" t="s">
        <v>990</v>
      </c>
      <c r="D441" t="s">
        <v>566</v>
      </c>
      <c r="E441">
        <v>-72.795505372699694</v>
      </c>
      <c r="F441">
        <v>-41.48893457528618</v>
      </c>
      <c r="M441">
        <v>1</v>
      </c>
      <c r="P441" t="s">
        <v>588</v>
      </c>
      <c r="Q441" t="s">
        <v>536</v>
      </c>
      <c r="R441" s="194" t="s">
        <v>1142</v>
      </c>
      <c r="S441" t="s">
        <v>977</v>
      </c>
      <c r="V441" t="str">
        <f>condiciones_comuna[[#This Row],[Zona Térmica]]&amp;" - "&amp;condiciones_comuna[[#This Row],[Comuna / localidad]]</f>
        <v>Zona D - San Ramón</v>
      </c>
      <c r="W441" t="s">
        <v>1741</v>
      </c>
      <c r="X441" t="s">
        <v>966</v>
      </c>
      <c r="Y441" t="s">
        <v>1248</v>
      </c>
      <c r="Z441" t="s">
        <v>1248</v>
      </c>
      <c r="AA441" s="49" t="s">
        <v>537</v>
      </c>
      <c r="AB441">
        <v>2.2000000000000002</v>
      </c>
      <c r="AC441">
        <v>0.92</v>
      </c>
    </row>
    <row r="442" spans="1:29" x14ac:dyDescent="0.45">
      <c r="A442">
        <v>14</v>
      </c>
      <c r="B442" t="s">
        <v>1006</v>
      </c>
      <c r="C442" t="s">
        <v>990</v>
      </c>
      <c r="D442" t="s">
        <v>1095</v>
      </c>
      <c r="E442">
        <v>-72.386943873204501</v>
      </c>
      <c r="F442">
        <v>-41.190886024017594</v>
      </c>
      <c r="M442">
        <v>1</v>
      </c>
      <c r="P442" t="s">
        <v>588</v>
      </c>
      <c r="Q442" t="s">
        <v>1109</v>
      </c>
      <c r="R442" s="1" t="s">
        <v>1143</v>
      </c>
      <c r="S442" t="s">
        <v>1006</v>
      </c>
      <c r="V442" t="str">
        <f>condiciones_comuna[[#This Row],[Zona Térmica]]&amp;" - "&amp;condiciones_comuna[[#This Row],[Comuna / localidad]]</f>
        <v>Zona D - San Vicente</v>
      </c>
      <c r="W442" t="s">
        <v>1741</v>
      </c>
      <c r="X442" t="s">
        <v>1000</v>
      </c>
      <c r="Y442" t="s">
        <v>1248</v>
      </c>
      <c r="Z442" t="s">
        <v>1248</v>
      </c>
      <c r="AA442" s="7" t="s">
        <v>551</v>
      </c>
      <c r="AB442">
        <v>2.4</v>
      </c>
      <c r="AC442">
        <v>0.97</v>
      </c>
    </row>
    <row r="443" spans="1:29" x14ac:dyDescent="0.45">
      <c r="A443">
        <v>14</v>
      </c>
      <c r="B443" t="s">
        <v>1006</v>
      </c>
      <c r="C443" t="s">
        <v>561</v>
      </c>
      <c r="D443" t="s">
        <v>561</v>
      </c>
      <c r="E443">
        <v>-73.086746773714609</v>
      </c>
      <c r="F443">
        <v>-40.611894264824222</v>
      </c>
      <c r="M443">
        <v>1</v>
      </c>
      <c r="P443" t="s">
        <v>588</v>
      </c>
      <c r="Q443" t="s">
        <v>767</v>
      </c>
      <c r="R443" s="193" t="s">
        <v>1144</v>
      </c>
      <c r="S443" t="s">
        <v>1017</v>
      </c>
      <c r="V443" t="str">
        <f>condiciones_comuna[[#This Row],[Zona Térmica]]&amp;" - "&amp;condiciones_comuna[[#This Row],[Comuna / localidad]]</f>
        <v>Zona D - Santa Cruz</v>
      </c>
      <c r="W443" t="s">
        <v>1741</v>
      </c>
      <c r="X443" t="s">
        <v>1021</v>
      </c>
      <c r="Y443" t="s">
        <v>1248</v>
      </c>
      <c r="Z443" t="s">
        <v>1248</v>
      </c>
      <c r="AA443" s="49" t="s">
        <v>555</v>
      </c>
      <c r="AB443">
        <v>4.4000000000000004</v>
      </c>
      <c r="AC443">
        <v>0.9</v>
      </c>
    </row>
    <row r="444" spans="1:29" x14ac:dyDescent="0.45">
      <c r="A444">
        <v>14</v>
      </c>
      <c r="B444" t="s">
        <v>1006</v>
      </c>
      <c r="C444" t="s">
        <v>561</v>
      </c>
      <c r="D444" t="s">
        <v>1093</v>
      </c>
      <c r="E444">
        <v>-72.599686901542341</v>
      </c>
      <c r="F444">
        <v>-40.933454873224839</v>
      </c>
      <c r="M444">
        <v>1</v>
      </c>
      <c r="P444" t="s">
        <v>588</v>
      </c>
      <c r="Q444" t="s">
        <v>557</v>
      </c>
      <c r="R444" t="s">
        <v>803</v>
      </c>
      <c r="S444" t="s">
        <v>1023</v>
      </c>
      <c r="V444" t="str">
        <f>condiciones_comuna[[#This Row],[Zona Térmica]]&amp;" - "&amp;condiciones_comuna[[#This Row],[Comuna / localidad]]</f>
        <v>Zona D - Santa María</v>
      </c>
      <c r="W444" t="s">
        <v>1741</v>
      </c>
      <c r="X444" t="s">
        <v>884</v>
      </c>
      <c r="Y444" t="s">
        <v>1248</v>
      </c>
      <c r="Z444" t="s">
        <v>1248</v>
      </c>
      <c r="AA444" s="139" t="s">
        <v>516</v>
      </c>
      <c r="AB444">
        <v>4.7</v>
      </c>
      <c r="AC444">
        <v>0.9</v>
      </c>
    </row>
    <row r="445" spans="1:29" x14ac:dyDescent="0.45">
      <c r="A445">
        <v>14</v>
      </c>
      <c r="B445" t="s">
        <v>1006</v>
      </c>
      <c r="C445" t="s">
        <v>561</v>
      </c>
      <c r="D445" t="s">
        <v>1101</v>
      </c>
      <c r="E445">
        <v>-73.457921546729722</v>
      </c>
      <c r="F445">
        <v>-40.935738698728542</v>
      </c>
      <c r="M445">
        <v>1</v>
      </c>
      <c r="P445" t="s">
        <v>588</v>
      </c>
      <c r="Q445" t="s">
        <v>1035</v>
      </c>
      <c r="R445" t="s">
        <v>833</v>
      </c>
      <c r="S445" t="s">
        <v>1059</v>
      </c>
      <c r="V445" t="str">
        <f>condiciones_comuna[[#This Row],[Zona Térmica]]&amp;" - "&amp;condiciones_comuna[[#This Row],[Comuna / localidad]]</f>
        <v>Zona D - Santiago</v>
      </c>
      <c r="W445" t="s">
        <v>1741</v>
      </c>
      <c r="X445" t="s">
        <v>923</v>
      </c>
      <c r="Y445" t="s">
        <v>1248</v>
      </c>
      <c r="Z445" t="s">
        <v>1248</v>
      </c>
      <c r="AA445" s="49" t="s">
        <v>537</v>
      </c>
      <c r="AB445">
        <v>2.2000000000000002</v>
      </c>
      <c r="AC445">
        <v>0.92</v>
      </c>
    </row>
    <row r="446" spans="1:29" x14ac:dyDescent="0.45">
      <c r="A446">
        <v>14</v>
      </c>
      <c r="B446" t="s">
        <v>1006</v>
      </c>
      <c r="C446" t="s">
        <v>561</v>
      </c>
      <c r="D446" t="s">
        <v>1102</v>
      </c>
      <c r="E446">
        <v>-72.383241025880181</v>
      </c>
      <c r="F446">
        <v>-40.725714170766679</v>
      </c>
      <c r="M446">
        <v>1</v>
      </c>
      <c r="P446" t="s">
        <v>588</v>
      </c>
      <c r="Q446" t="s">
        <v>1119</v>
      </c>
      <c r="R446" t="s">
        <v>882</v>
      </c>
      <c r="S446" t="s">
        <v>1062</v>
      </c>
      <c r="V446" t="str">
        <f>condiciones_comuna[[#This Row],[Zona Térmica]]&amp;" - "&amp;condiciones_comuna[[#This Row],[Comuna / localidad]]</f>
        <v>Zona D - Talagante</v>
      </c>
      <c r="W446" t="s">
        <v>1741</v>
      </c>
      <c r="X446" t="s">
        <v>970</v>
      </c>
      <c r="Y446" t="s">
        <v>1248</v>
      </c>
      <c r="Z446" t="s">
        <v>1248</v>
      </c>
      <c r="AA446" s="49" t="s">
        <v>537</v>
      </c>
      <c r="AB446">
        <v>2.2000000000000002</v>
      </c>
      <c r="AC446">
        <v>0.92</v>
      </c>
    </row>
    <row r="447" spans="1:29" x14ac:dyDescent="0.45">
      <c r="A447">
        <v>14</v>
      </c>
      <c r="B447" t="s">
        <v>1006</v>
      </c>
      <c r="C447" t="s">
        <v>561</v>
      </c>
      <c r="D447" t="s">
        <v>1127</v>
      </c>
      <c r="E447">
        <v>-73.417695665006903</v>
      </c>
      <c r="F447">
        <v>-40.771137360258223</v>
      </c>
      <c r="M447">
        <v>1</v>
      </c>
      <c r="P447" t="s">
        <v>588</v>
      </c>
      <c r="Q447" t="s">
        <v>793</v>
      </c>
      <c r="R447" t="s">
        <v>890</v>
      </c>
      <c r="S447" t="s">
        <v>1123</v>
      </c>
      <c r="V447" t="str">
        <f>condiciones_comuna[[#This Row],[Zona Térmica]]&amp;" - "&amp;condiciones_comuna[[#This Row],[Comuna / localidad]]</f>
        <v>Zona D - Talca</v>
      </c>
      <c r="W447" t="s">
        <v>1741</v>
      </c>
      <c r="X447" t="s">
        <v>536</v>
      </c>
      <c r="Y447" t="s">
        <v>1248</v>
      </c>
      <c r="Z447" t="s">
        <v>1248</v>
      </c>
      <c r="AA447" s="49" t="s">
        <v>563</v>
      </c>
      <c r="AB447">
        <v>2.6</v>
      </c>
      <c r="AC447">
        <v>0.92</v>
      </c>
    </row>
    <row r="448" spans="1:29" x14ac:dyDescent="0.45">
      <c r="A448">
        <v>14</v>
      </c>
      <c r="B448" t="s">
        <v>1006</v>
      </c>
      <c r="C448" t="s">
        <v>561</v>
      </c>
      <c r="D448" t="s">
        <v>1138</v>
      </c>
      <c r="E448">
        <v>-73.559197326323144</v>
      </c>
      <c r="F448">
        <v>-40.508995652072606</v>
      </c>
      <c r="M448">
        <v>1</v>
      </c>
      <c r="P448" t="s">
        <v>588</v>
      </c>
      <c r="Q448" t="s">
        <v>900</v>
      </c>
      <c r="R448" t="s">
        <v>916</v>
      </c>
      <c r="S448" t="s">
        <v>559</v>
      </c>
      <c r="V448" t="str">
        <f>condiciones_comuna[[#This Row],[Zona Térmica]]&amp;" - "&amp;condiciones_comuna[[#This Row],[Comuna / localidad]]</f>
        <v>Zona D - Teno</v>
      </c>
      <c r="W448" t="s">
        <v>1741</v>
      </c>
      <c r="X448" t="s">
        <v>1035</v>
      </c>
      <c r="Y448" t="s">
        <v>1248</v>
      </c>
      <c r="Z448" t="s">
        <v>1683</v>
      </c>
      <c r="AA448" s="49" t="s">
        <v>560</v>
      </c>
      <c r="AB448">
        <v>3.4</v>
      </c>
      <c r="AC448">
        <v>0.99</v>
      </c>
    </row>
    <row r="449" spans="1:29" x14ac:dyDescent="0.45">
      <c r="A449">
        <v>14</v>
      </c>
      <c r="B449" t="s">
        <v>1006</v>
      </c>
      <c r="C449" t="s">
        <v>561</v>
      </c>
      <c r="D449" t="s">
        <v>1140</v>
      </c>
      <c r="E449">
        <v>-73.16167669556819</v>
      </c>
      <c r="F449">
        <v>-40.427325733004544</v>
      </c>
      <c r="M449">
        <v>1</v>
      </c>
      <c r="P449" t="s">
        <v>588</v>
      </c>
      <c r="Q449" t="s">
        <v>1145</v>
      </c>
      <c r="R449" t="s">
        <v>925</v>
      </c>
      <c r="S449" s="1" t="s">
        <v>1161</v>
      </c>
      <c r="V449" t="str">
        <f>condiciones_comuna[[#This Row],[Zona Térmica]]&amp;" - "&amp;condiciones_comuna[[#This Row],[Comuna / localidad]]</f>
        <v>Zona D - Tiltil</v>
      </c>
      <c r="W449" t="s">
        <v>1741</v>
      </c>
      <c r="X449" t="s">
        <v>900</v>
      </c>
      <c r="Y449" t="s">
        <v>1248</v>
      </c>
      <c r="Z449" t="s">
        <v>1248</v>
      </c>
      <c r="AA449" s="49" t="s">
        <v>537</v>
      </c>
      <c r="AB449">
        <v>2.2000000000000002</v>
      </c>
      <c r="AC449">
        <v>0.92</v>
      </c>
    </row>
    <row r="450" spans="1:29" x14ac:dyDescent="0.45">
      <c r="A450">
        <v>14</v>
      </c>
      <c r="B450" t="s">
        <v>1006</v>
      </c>
      <c r="C450" t="s">
        <v>1060</v>
      </c>
      <c r="D450" t="s">
        <v>819</v>
      </c>
      <c r="E450">
        <v>-72.575356397330467</v>
      </c>
      <c r="F450">
        <v>-43.093068809897566</v>
      </c>
      <c r="M450">
        <v>1</v>
      </c>
      <c r="P450" t="s">
        <v>588</v>
      </c>
      <c r="Q450" t="s">
        <v>1085</v>
      </c>
      <c r="R450" t="s">
        <v>927</v>
      </c>
      <c r="S450" t="s">
        <v>749</v>
      </c>
      <c r="V450" t="str">
        <f>condiciones_comuna[[#This Row],[Zona Térmica]]&amp;" - "&amp;condiciones_comuna[[#This Row],[Comuna / localidad]]</f>
        <v>Zona D - Villa Alegre</v>
      </c>
      <c r="W450" t="s">
        <v>1741</v>
      </c>
      <c r="X450" t="s">
        <v>1045</v>
      </c>
      <c r="Y450" t="s">
        <v>1248</v>
      </c>
      <c r="Z450" t="s">
        <v>1248</v>
      </c>
      <c r="AA450" s="49" t="s">
        <v>563</v>
      </c>
      <c r="AB450">
        <v>2.6</v>
      </c>
      <c r="AC450">
        <v>0.92</v>
      </c>
    </row>
    <row r="451" spans="1:29" x14ac:dyDescent="0.45">
      <c r="A451">
        <v>14</v>
      </c>
      <c r="B451" t="s">
        <v>1006</v>
      </c>
      <c r="C451" t="s">
        <v>1060</v>
      </c>
      <c r="D451" t="s">
        <v>922</v>
      </c>
      <c r="E451">
        <v>-72.007371365976695</v>
      </c>
      <c r="F451">
        <v>-43.180357502733301</v>
      </c>
      <c r="O451">
        <v>1</v>
      </c>
      <c r="P451" t="s">
        <v>594</v>
      </c>
      <c r="Q451" t="s">
        <v>776</v>
      </c>
      <c r="R451" t="s">
        <v>982</v>
      </c>
      <c r="S451" t="s">
        <v>784</v>
      </c>
      <c r="V451" t="str">
        <f>condiciones_comuna[[#This Row],[Zona Térmica]]&amp;" - "&amp;condiciones_comuna[[#This Row],[Comuna / localidad]]</f>
        <v>Zona D - Villa Alemana</v>
      </c>
      <c r="W451" t="s">
        <v>1741</v>
      </c>
      <c r="X451" t="s">
        <v>846</v>
      </c>
      <c r="Y451" t="s">
        <v>1248</v>
      </c>
      <c r="Z451" t="s">
        <v>1248</v>
      </c>
      <c r="AA451" s="139" t="s">
        <v>516</v>
      </c>
      <c r="AB451">
        <v>4.7</v>
      </c>
      <c r="AC451">
        <v>0.9</v>
      </c>
    </row>
    <row r="452" spans="1:29" x14ac:dyDescent="0.45">
      <c r="A452">
        <v>14</v>
      </c>
      <c r="B452" t="s">
        <v>1006</v>
      </c>
      <c r="C452" t="s">
        <v>1060</v>
      </c>
      <c r="D452" t="s">
        <v>933</v>
      </c>
      <c r="E452">
        <v>-72.377245665587438</v>
      </c>
      <c r="F452">
        <v>-42.176580228427852</v>
      </c>
      <c r="M452">
        <v>1</v>
      </c>
      <c r="P452" t="s">
        <v>588</v>
      </c>
      <c r="Q452" t="s">
        <v>1121</v>
      </c>
      <c r="R452" t="s">
        <v>997</v>
      </c>
      <c r="S452" t="s">
        <v>810</v>
      </c>
      <c r="V452" t="str">
        <f>condiciones_comuna[[#This Row],[Zona Térmica]]&amp;" - "&amp;condiciones_comuna[[#This Row],[Comuna / localidad]]</f>
        <v>Zona D - Vitacura</v>
      </c>
      <c r="W452" t="s">
        <v>1741</v>
      </c>
      <c r="X452" t="s">
        <v>968</v>
      </c>
      <c r="Y452" t="s">
        <v>1248</v>
      </c>
      <c r="Z452" t="s">
        <v>1248</v>
      </c>
      <c r="AA452" s="49" t="s">
        <v>537</v>
      </c>
      <c r="AB452">
        <v>2.2000000000000002</v>
      </c>
      <c r="AC452">
        <v>0.92</v>
      </c>
    </row>
    <row r="453" spans="1:29" x14ac:dyDescent="0.45">
      <c r="A453">
        <v>14</v>
      </c>
      <c r="B453" t="s">
        <v>1006</v>
      </c>
      <c r="C453" t="s">
        <v>1060</v>
      </c>
      <c r="D453" t="s">
        <v>1060</v>
      </c>
      <c r="E453">
        <v>-71.984654751074004</v>
      </c>
      <c r="F453">
        <v>-43.682892562128643</v>
      </c>
      <c r="O453">
        <v>1</v>
      </c>
      <c r="P453" t="s">
        <v>594</v>
      </c>
      <c r="Q453" t="s">
        <v>1111</v>
      </c>
      <c r="R453" t="s">
        <v>1027</v>
      </c>
      <c r="S453" t="s">
        <v>819</v>
      </c>
      <c r="V453" t="str">
        <f>condiciones_comuna[[#This Row],[Zona Térmica]]&amp;" - "&amp;condiciones_comuna[[#This Row],[Comuna / localidad]]</f>
        <v>Zona D - Yerbas Buenas</v>
      </c>
      <c r="W453" t="s">
        <v>1741</v>
      </c>
      <c r="X453" t="s">
        <v>1047</v>
      </c>
      <c r="Y453" t="s">
        <v>1248</v>
      </c>
      <c r="Z453" t="s">
        <v>1248</v>
      </c>
      <c r="AA453" s="49" t="s">
        <v>563</v>
      </c>
      <c r="AB453">
        <v>2.6</v>
      </c>
      <c r="AC453">
        <v>0.92</v>
      </c>
    </row>
    <row r="454" spans="1:29" x14ac:dyDescent="0.45">
      <c r="A454">
        <v>15</v>
      </c>
      <c r="B454" t="s">
        <v>1146</v>
      </c>
      <c r="C454" t="s">
        <v>766</v>
      </c>
      <c r="D454" t="s">
        <v>766</v>
      </c>
      <c r="E454">
        <v>-73.759281681972695</v>
      </c>
      <c r="F454">
        <v>-45.979499075007858</v>
      </c>
      <c r="O454">
        <v>1</v>
      </c>
      <c r="P454" t="s">
        <v>594</v>
      </c>
      <c r="Q454" t="s">
        <v>1147</v>
      </c>
      <c r="R454" t="s">
        <v>1046</v>
      </c>
      <c r="S454" t="s">
        <v>836</v>
      </c>
      <c r="V454" t="str">
        <f>condiciones_comuna[[#This Row],[Zona Térmica]]&amp;" - "&amp;condiciones_comuna[[#This Row],[Comuna / localidad]]</f>
        <v>Zona E - Todas las comunas</v>
      </c>
      <c r="W454" t="s">
        <v>1742</v>
      </c>
      <c r="X454" t="s">
        <v>1685</v>
      </c>
      <c r="Y454" t="s">
        <v>1248</v>
      </c>
      <c r="Z454" t="s">
        <v>1248</v>
      </c>
      <c r="AA454" s="49" t="s">
        <v>572</v>
      </c>
      <c r="AB454">
        <v>3.5</v>
      </c>
      <c r="AC454">
        <v>0.95</v>
      </c>
    </row>
    <row r="455" spans="1:29" x14ac:dyDescent="0.45">
      <c r="A455">
        <v>15</v>
      </c>
      <c r="B455" t="s">
        <v>1146</v>
      </c>
      <c r="C455" t="s">
        <v>766</v>
      </c>
      <c r="D455" t="s">
        <v>838</v>
      </c>
      <c r="E455">
        <v>-73.138696011939672</v>
      </c>
      <c r="F455">
        <v>-44.458502905516255</v>
      </c>
      <c r="O455">
        <v>1</v>
      </c>
      <c r="P455" t="s">
        <v>594</v>
      </c>
      <c r="Q455" t="s">
        <v>1148</v>
      </c>
      <c r="R455" t="s">
        <v>1056</v>
      </c>
      <c r="S455" t="s">
        <v>844</v>
      </c>
      <c r="V455" t="str">
        <f>condiciones_comuna[[#This Row],[Zona Térmica]]&amp;" - "&amp;condiciones_comuna[[#This Row],[Comuna / localidad]]</f>
        <v>Zona E - Arauco</v>
      </c>
      <c r="W455" t="s">
        <v>1742</v>
      </c>
      <c r="X455" t="s">
        <v>762</v>
      </c>
      <c r="Y455" t="s">
        <v>1248</v>
      </c>
      <c r="Z455" t="s">
        <v>1248</v>
      </c>
      <c r="AA455" s="49" t="s">
        <v>622</v>
      </c>
      <c r="AB455">
        <v>5.0999999999999996</v>
      </c>
      <c r="AC455">
        <v>0.94</v>
      </c>
    </row>
    <row r="456" spans="1:29" x14ac:dyDescent="0.45">
      <c r="A456">
        <v>15</v>
      </c>
      <c r="B456" t="s">
        <v>1146</v>
      </c>
      <c r="C456" t="s">
        <v>766</v>
      </c>
      <c r="D456" t="s">
        <v>930</v>
      </c>
      <c r="E456">
        <v>-73.812961904469049</v>
      </c>
      <c r="F456">
        <v>-43.946433299309604</v>
      </c>
      <c r="O456">
        <v>1</v>
      </c>
      <c r="P456" t="s">
        <v>594</v>
      </c>
      <c r="Q456" t="s">
        <v>1132</v>
      </c>
      <c r="R456" t="s">
        <v>1079</v>
      </c>
      <c r="S456" t="s">
        <v>886</v>
      </c>
      <c r="V456" t="str">
        <f>condiciones_comuna[[#This Row],[Zona Térmica]]&amp;" - "&amp;condiciones_comuna[[#This Row],[Comuna / localidad]]</f>
        <v>Zona E - Cañete</v>
      </c>
      <c r="W456" t="s">
        <v>1742</v>
      </c>
      <c r="X456" t="s">
        <v>800</v>
      </c>
      <c r="Y456" t="s">
        <v>1248</v>
      </c>
      <c r="Z456" t="s">
        <v>1248</v>
      </c>
      <c r="AA456" s="49" t="s">
        <v>622</v>
      </c>
      <c r="AB456">
        <v>5.0999999999999996</v>
      </c>
      <c r="AC456">
        <v>0.94</v>
      </c>
    </row>
    <row r="457" spans="1:29" x14ac:dyDescent="0.45">
      <c r="A457">
        <v>15</v>
      </c>
      <c r="B457" t="s">
        <v>1146</v>
      </c>
      <c r="C457" t="s">
        <v>1149</v>
      </c>
      <c r="D457" t="s">
        <v>585</v>
      </c>
      <c r="E457">
        <v>-72.750374058706626</v>
      </c>
      <c r="F457">
        <v>-47.362065876685612</v>
      </c>
      <c r="O457">
        <v>1</v>
      </c>
      <c r="P457" t="s">
        <v>594</v>
      </c>
      <c r="Q457" t="s">
        <v>1073</v>
      </c>
      <c r="R457" t="s">
        <v>1084</v>
      </c>
      <c r="S457" t="s">
        <v>893</v>
      </c>
      <c r="V457" t="str">
        <f>condiciones_comuna[[#This Row],[Zona Térmica]]&amp;" - "&amp;condiciones_comuna[[#This Row],[Comuna / localidad]]</f>
        <v>Zona E - Carahue</v>
      </c>
      <c r="W457" t="s">
        <v>1742</v>
      </c>
      <c r="X457" t="s">
        <v>803</v>
      </c>
      <c r="Y457" t="s">
        <v>1248</v>
      </c>
      <c r="Z457" t="s">
        <v>1248</v>
      </c>
      <c r="AA457" s="49" t="s">
        <v>622</v>
      </c>
      <c r="AB457">
        <v>5.0999999999999996</v>
      </c>
      <c r="AC457">
        <v>0.94</v>
      </c>
    </row>
    <row r="458" spans="1:29" x14ac:dyDescent="0.45">
      <c r="A458">
        <v>15</v>
      </c>
      <c r="B458" t="s">
        <v>1146</v>
      </c>
      <c r="C458" t="s">
        <v>1149</v>
      </c>
      <c r="D458" t="s">
        <v>1049</v>
      </c>
      <c r="E458">
        <v>-72.921011393184287</v>
      </c>
      <c r="F458">
        <v>-48.505774577555215</v>
      </c>
      <c r="O458">
        <v>1</v>
      </c>
      <c r="P458" t="s">
        <v>594</v>
      </c>
      <c r="Q458" t="s">
        <v>1096</v>
      </c>
      <c r="R458" t="s">
        <v>1089</v>
      </c>
      <c r="S458" t="s">
        <v>919</v>
      </c>
      <c r="V458" t="str">
        <f>condiciones_comuna[[#This Row],[Zona Térmica]]&amp;" - "&amp;condiciones_comuna[[#This Row],[Comuna / localidad]]</f>
        <v>Zona E - Cauquenes</v>
      </c>
      <c r="W458" t="s">
        <v>1742</v>
      </c>
      <c r="X458" t="s">
        <v>547</v>
      </c>
      <c r="Y458" t="s">
        <v>1248</v>
      </c>
      <c r="Z458" t="s">
        <v>1248</v>
      </c>
      <c r="AA458" s="49" t="s">
        <v>572</v>
      </c>
      <c r="AB458">
        <v>3.5</v>
      </c>
      <c r="AC458">
        <v>0.95</v>
      </c>
    </row>
    <row r="459" spans="1:29" x14ac:dyDescent="0.45">
      <c r="A459">
        <v>15</v>
      </c>
      <c r="B459" t="s">
        <v>1146</v>
      </c>
      <c r="C459" t="s">
        <v>1149</v>
      </c>
      <c r="D459" t="s">
        <v>1148</v>
      </c>
      <c r="E459">
        <v>-74.158704303402757</v>
      </c>
      <c r="F459">
        <v>-48.028011365519639</v>
      </c>
      <c r="O459">
        <v>1</v>
      </c>
      <c r="P459" t="s">
        <v>594</v>
      </c>
      <c r="Q459" t="s">
        <v>559</v>
      </c>
      <c r="R459" t="s">
        <v>1118</v>
      </c>
      <c r="S459" t="s">
        <v>920</v>
      </c>
      <c r="V459" t="str">
        <f>condiciones_comuna[[#This Row],[Zona Térmica]]&amp;" - "&amp;condiciones_comuna[[#This Row],[Comuna / localidad]]</f>
        <v>Zona E - Chanco</v>
      </c>
      <c r="W459" t="s">
        <v>1742</v>
      </c>
      <c r="X459" t="s">
        <v>541</v>
      </c>
      <c r="Y459" t="s">
        <v>1248</v>
      </c>
      <c r="Z459" t="s">
        <v>1248</v>
      </c>
      <c r="AA459" s="49" t="s">
        <v>572</v>
      </c>
      <c r="AB459">
        <v>3.5</v>
      </c>
      <c r="AC459">
        <v>0.95</v>
      </c>
    </row>
    <row r="460" spans="1:29" x14ac:dyDescent="0.45">
      <c r="A460">
        <v>15</v>
      </c>
      <c r="B460" t="s">
        <v>1146</v>
      </c>
      <c r="C460" t="s">
        <v>576</v>
      </c>
      <c r="D460" t="s">
        <v>576</v>
      </c>
      <c r="E460">
        <v>-71.987930598147742</v>
      </c>
      <c r="F460">
        <v>-45.550930994400915</v>
      </c>
      <c r="O460">
        <v>1</v>
      </c>
      <c r="P460" t="s">
        <v>594</v>
      </c>
      <c r="Q460" t="s">
        <v>450</v>
      </c>
      <c r="R460" t="s">
        <v>557</v>
      </c>
      <c r="S460" t="s">
        <v>922</v>
      </c>
      <c r="V460" t="str">
        <f>condiciones_comuna[[#This Row],[Zona Térmica]]&amp;" - "&amp;condiciones_comuna[[#This Row],[Comuna / localidad]]</f>
        <v>Zona E - Chiguayante</v>
      </c>
      <c r="W460" t="s">
        <v>1742</v>
      </c>
      <c r="X460" t="s">
        <v>825</v>
      </c>
      <c r="Y460" t="s">
        <v>1248</v>
      </c>
      <c r="Z460" t="s">
        <v>1248</v>
      </c>
      <c r="AA460" s="49" t="s">
        <v>621</v>
      </c>
      <c r="AB460">
        <v>5.7</v>
      </c>
      <c r="AC460">
        <v>0.96</v>
      </c>
    </row>
    <row r="461" spans="1:29" x14ac:dyDescent="0.45">
      <c r="A461">
        <v>15</v>
      </c>
      <c r="B461" t="s">
        <v>1146</v>
      </c>
      <c r="C461" t="s">
        <v>576</v>
      </c>
      <c r="D461" t="s">
        <v>971</v>
      </c>
      <c r="E461">
        <v>-71.833213918268214</v>
      </c>
      <c r="F461">
        <v>-44.492437669952245</v>
      </c>
      <c r="O461">
        <v>1</v>
      </c>
      <c r="P461" t="s">
        <v>594</v>
      </c>
      <c r="Q461" t="s">
        <v>474</v>
      </c>
      <c r="R461" t="s">
        <v>1119</v>
      </c>
      <c r="S461" t="s">
        <v>933</v>
      </c>
      <c r="V461" t="str">
        <f>condiciones_comuna[[#This Row],[Zona Térmica]]&amp;" - "&amp;condiciones_comuna[[#This Row],[Comuna / localidad]]</f>
        <v>Zona E - Cobquecura</v>
      </c>
      <c r="W461" t="s">
        <v>1742</v>
      </c>
      <c r="X461" t="s">
        <v>842</v>
      </c>
      <c r="Y461" t="s">
        <v>1248</v>
      </c>
      <c r="Z461" t="s">
        <v>1248</v>
      </c>
      <c r="AA461" s="49" t="s">
        <v>572</v>
      </c>
      <c r="AB461">
        <v>3.5</v>
      </c>
      <c r="AC461">
        <v>0.95</v>
      </c>
    </row>
    <row r="462" spans="1:29" x14ac:dyDescent="0.45">
      <c r="A462">
        <v>15</v>
      </c>
      <c r="B462" t="s">
        <v>1146</v>
      </c>
      <c r="C462" t="s">
        <v>1150</v>
      </c>
      <c r="D462" t="s">
        <v>582</v>
      </c>
      <c r="E462">
        <v>-72.604775796832271</v>
      </c>
      <c r="F462">
        <v>-46.780182127219547</v>
      </c>
      <c r="O462">
        <v>1</v>
      </c>
      <c r="P462" t="s">
        <v>594</v>
      </c>
      <c r="Q462" t="s">
        <v>1037</v>
      </c>
      <c r="R462" t="s">
        <v>1121</v>
      </c>
      <c r="S462" t="s">
        <v>990</v>
      </c>
      <c r="V462" t="str">
        <f>condiciones_comuna[[#This Row],[Zona Térmica]]&amp;" - "&amp;condiciones_comuna[[#This Row],[Comuna / localidad]]</f>
        <v>Zona E - Coelemu</v>
      </c>
      <c r="W462" t="s">
        <v>1742</v>
      </c>
      <c r="X462" t="s">
        <v>849</v>
      </c>
      <c r="Y462" t="s">
        <v>1248</v>
      </c>
      <c r="Z462" t="s">
        <v>1248</v>
      </c>
      <c r="AA462" s="49" t="s">
        <v>572</v>
      </c>
      <c r="AB462">
        <v>3.5</v>
      </c>
      <c r="AC462">
        <v>0.95</v>
      </c>
    </row>
    <row r="463" spans="1:29" x14ac:dyDescent="0.45">
      <c r="A463">
        <v>15</v>
      </c>
      <c r="B463" t="s">
        <v>1146</v>
      </c>
      <c r="C463" t="s">
        <v>1150</v>
      </c>
      <c r="D463" t="s">
        <v>1126</v>
      </c>
      <c r="E463">
        <v>-72.512989962331503</v>
      </c>
      <c r="F463">
        <v>-46.28652406071064</v>
      </c>
      <c r="O463">
        <v>1</v>
      </c>
      <c r="P463" t="s">
        <v>594</v>
      </c>
      <c r="Q463" t="s">
        <v>1133</v>
      </c>
      <c r="R463" t="s">
        <v>1122</v>
      </c>
      <c r="S463" t="s">
        <v>1008</v>
      </c>
      <c r="V463" t="str">
        <f>condiciones_comuna[[#This Row],[Zona Térmica]]&amp;" - "&amp;condiciones_comuna[[#This Row],[Comuna / localidad]]</f>
        <v>Zona E - Concepción</v>
      </c>
      <c r="W463" t="s">
        <v>1742</v>
      </c>
      <c r="X463" t="s">
        <v>554</v>
      </c>
      <c r="Y463" t="s">
        <v>1248</v>
      </c>
      <c r="Z463" t="s">
        <v>1248</v>
      </c>
      <c r="AA463" s="49" t="s">
        <v>621</v>
      </c>
      <c r="AB463">
        <v>5.7</v>
      </c>
      <c r="AC463">
        <v>0.96</v>
      </c>
    </row>
    <row r="464" spans="1:29" x14ac:dyDescent="0.45">
      <c r="A464">
        <v>16</v>
      </c>
      <c r="B464" t="s">
        <v>1151</v>
      </c>
      <c r="C464" t="s">
        <v>1152</v>
      </c>
      <c r="D464" t="s">
        <v>757</v>
      </c>
      <c r="E464">
        <v>-69.280932151849882</v>
      </c>
      <c r="F464">
        <v>-55.028617340184361</v>
      </c>
      <c r="O464">
        <v>1</v>
      </c>
      <c r="P464" t="s">
        <v>594</v>
      </c>
      <c r="Q464" t="s">
        <v>457</v>
      </c>
      <c r="R464" t="s">
        <v>1124</v>
      </c>
      <c r="S464" t="s">
        <v>1026</v>
      </c>
      <c r="V464" t="str">
        <f>condiciones_comuna[[#This Row],[Zona Térmica]]&amp;" - "&amp;condiciones_comuna[[#This Row],[Comuna / localidad]]</f>
        <v>Zona E - Constitución</v>
      </c>
      <c r="W464" t="s">
        <v>1742</v>
      </c>
      <c r="X464" t="s">
        <v>869</v>
      </c>
      <c r="Y464" t="s">
        <v>1248</v>
      </c>
      <c r="Z464" t="s">
        <v>1248</v>
      </c>
      <c r="AA464" s="49" t="s">
        <v>572</v>
      </c>
      <c r="AB464">
        <v>3.5</v>
      </c>
      <c r="AC464">
        <v>0.95</v>
      </c>
    </row>
    <row r="465" spans="1:29" x14ac:dyDescent="0.45">
      <c r="A465">
        <v>16</v>
      </c>
      <c r="B465" t="s">
        <v>1151</v>
      </c>
      <c r="C465" t="s">
        <v>1152</v>
      </c>
      <c r="D465" t="s">
        <v>774</v>
      </c>
      <c r="E465">
        <v>-69.280932151849882</v>
      </c>
      <c r="F465">
        <v>-55.028617340184361</v>
      </c>
      <c r="O465">
        <v>1</v>
      </c>
      <c r="P465" t="s">
        <v>594</v>
      </c>
      <c r="Q465" t="s">
        <v>1122</v>
      </c>
      <c r="R465" s="193" t="s">
        <v>1153</v>
      </c>
      <c r="S465" t="s">
        <v>561</v>
      </c>
      <c r="V465" t="str">
        <f>condiciones_comuna[[#This Row],[Zona Térmica]]&amp;" - "&amp;condiciones_comuna[[#This Row],[Comuna / localidad]]</f>
        <v>Zona E - Contulmo</v>
      </c>
      <c r="W465" t="s">
        <v>1742</v>
      </c>
      <c r="X465" t="s">
        <v>871</v>
      </c>
      <c r="Y465" t="s">
        <v>1248</v>
      </c>
      <c r="Z465" t="s">
        <v>1248</v>
      </c>
      <c r="AA465" s="49" t="s">
        <v>622</v>
      </c>
      <c r="AB465">
        <v>5.0999999999999996</v>
      </c>
      <c r="AC465">
        <v>0.94</v>
      </c>
    </row>
    <row r="466" spans="1:29" x14ac:dyDescent="0.45">
      <c r="A466">
        <v>16</v>
      </c>
      <c r="B466" t="s">
        <v>1151</v>
      </c>
      <c r="C466" t="s">
        <v>1154</v>
      </c>
      <c r="D466" t="s">
        <v>973</v>
      </c>
      <c r="E466">
        <v>-71.24022274127131</v>
      </c>
      <c r="F466">
        <v>-52.3280446333168</v>
      </c>
      <c r="O466">
        <v>1</v>
      </c>
      <c r="P466" t="s">
        <v>594</v>
      </c>
      <c r="Q466" t="s">
        <v>1045</v>
      </c>
      <c r="R466" t="s">
        <v>754</v>
      </c>
      <c r="S466" t="s">
        <v>1060</v>
      </c>
      <c r="V466" t="str">
        <f>condiciones_comuna[[#This Row],[Zona Térmica]]&amp;" - "&amp;condiciones_comuna[[#This Row],[Comuna / localidad]]</f>
        <v>Zona E - Coronel</v>
      </c>
      <c r="W466" t="s">
        <v>1742</v>
      </c>
      <c r="X466" t="s">
        <v>876</v>
      </c>
      <c r="Y466" t="s">
        <v>1248</v>
      </c>
      <c r="Z466" t="s">
        <v>1248</v>
      </c>
      <c r="AA466" s="49" t="s">
        <v>621</v>
      </c>
      <c r="AB466">
        <v>5.7</v>
      </c>
      <c r="AC466">
        <v>0.96</v>
      </c>
    </row>
    <row r="467" spans="1:29" x14ac:dyDescent="0.45">
      <c r="A467">
        <v>16</v>
      </c>
      <c r="B467" t="s">
        <v>1151</v>
      </c>
      <c r="C467" t="s">
        <v>1154</v>
      </c>
      <c r="D467" t="s">
        <v>587</v>
      </c>
      <c r="E467">
        <v>-72.028715672346294</v>
      </c>
      <c r="F467">
        <v>-53.648486491379543</v>
      </c>
      <c r="O467">
        <v>1</v>
      </c>
      <c r="P467" t="s">
        <v>594</v>
      </c>
      <c r="Q467" t="s">
        <v>846</v>
      </c>
      <c r="R467" t="s">
        <v>860</v>
      </c>
      <c r="S467" t="s">
        <v>566</v>
      </c>
      <c r="V467" t="str">
        <f>condiciones_comuna[[#This Row],[Zona Térmica]]&amp;" - "&amp;condiciones_comuna[[#This Row],[Comuna / localidad]]</f>
        <v>Zona E - Curanilahue</v>
      </c>
      <c r="W467" t="s">
        <v>1742</v>
      </c>
      <c r="X467" t="s">
        <v>888</v>
      </c>
      <c r="Y467" t="s">
        <v>1248</v>
      </c>
      <c r="Z467" t="s">
        <v>1248</v>
      </c>
      <c r="AA467" s="49" t="s">
        <v>622</v>
      </c>
      <c r="AB467">
        <v>5.0999999999999996</v>
      </c>
      <c r="AC467">
        <v>0.94</v>
      </c>
    </row>
    <row r="468" spans="1:29" x14ac:dyDescent="0.45">
      <c r="A468">
        <v>16</v>
      </c>
      <c r="B468" t="s">
        <v>1151</v>
      </c>
      <c r="C468" t="s">
        <v>1154</v>
      </c>
      <c r="D468" t="s">
        <v>1129</v>
      </c>
      <c r="E468">
        <v>-72.456717441650511</v>
      </c>
      <c r="F468">
        <v>-52.842080809599651</v>
      </c>
      <c r="O468">
        <v>1</v>
      </c>
      <c r="P468" t="s">
        <v>594</v>
      </c>
      <c r="Q468" t="s">
        <v>1124</v>
      </c>
      <c r="R468" t="s">
        <v>883</v>
      </c>
      <c r="S468" t="s">
        <v>1093</v>
      </c>
      <c r="V468" t="str">
        <f>condiciones_comuna[[#This Row],[Zona Térmica]]&amp;" - "&amp;condiciones_comuna[[#This Row],[Comuna / localidad]]</f>
        <v>Zona E - Curepto</v>
      </c>
      <c r="W468" t="s">
        <v>1742</v>
      </c>
      <c r="X468" t="s">
        <v>892</v>
      </c>
      <c r="Y468" t="s">
        <v>1248</v>
      </c>
      <c r="Z468" t="s">
        <v>1248</v>
      </c>
      <c r="AA468" s="49" t="s">
        <v>572</v>
      </c>
      <c r="AB468">
        <v>3.5</v>
      </c>
      <c r="AC468">
        <v>0.95</v>
      </c>
    </row>
    <row r="469" spans="1:29" x14ac:dyDescent="0.45">
      <c r="A469">
        <v>16</v>
      </c>
      <c r="B469" t="s">
        <v>1151</v>
      </c>
      <c r="C469" t="s">
        <v>1154</v>
      </c>
      <c r="D469" t="s">
        <v>1137</v>
      </c>
      <c r="E469">
        <v>-70.224930575030513</v>
      </c>
      <c r="F469">
        <v>-52.321925347248722</v>
      </c>
      <c r="O469">
        <v>1</v>
      </c>
      <c r="P469" t="s">
        <v>594</v>
      </c>
      <c r="Q469" t="s">
        <v>469</v>
      </c>
      <c r="R469" t="s">
        <v>910</v>
      </c>
      <c r="S469" t="s">
        <v>1095</v>
      </c>
      <c r="V469" t="str">
        <f>condiciones_comuna[[#This Row],[Zona Térmica]]&amp;" - "&amp;condiciones_comuna[[#This Row],[Comuna / localidad]]</f>
        <v>Zona E - Empedrado</v>
      </c>
      <c r="W469" t="s">
        <v>1742</v>
      </c>
      <c r="X469" t="s">
        <v>909</v>
      </c>
      <c r="Y469" t="s">
        <v>1248</v>
      </c>
      <c r="Z469" t="s">
        <v>1248</v>
      </c>
      <c r="AA469" s="49" t="s">
        <v>572</v>
      </c>
      <c r="AB469">
        <v>3.5</v>
      </c>
      <c r="AC469">
        <v>0.95</v>
      </c>
    </row>
    <row r="470" spans="1:29" x14ac:dyDescent="0.45">
      <c r="A470">
        <v>16</v>
      </c>
      <c r="B470" t="s">
        <v>1151</v>
      </c>
      <c r="C470" t="s">
        <v>1155</v>
      </c>
      <c r="D470" t="s">
        <v>1086</v>
      </c>
      <c r="E470">
        <v>-69.39061820615467</v>
      </c>
      <c r="F470">
        <v>-53.315469789298589</v>
      </c>
      <c r="O470">
        <v>1</v>
      </c>
      <c r="P470" t="s">
        <v>594</v>
      </c>
      <c r="Q470" t="s">
        <v>968</v>
      </c>
      <c r="R470" t="s">
        <v>1001</v>
      </c>
      <c r="S470" t="s">
        <v>1099</v>
      </c>
      <c r="V470" t="str">
        <f>condiciones_comuna[[#This Row],[Zona Térmica]]&amp;" - "&amp;condiciones_comuna[[#This Row],[Comuna / localidad]]</f>
        <v>Zona E - Hualpén</v>
      </c>
      <c r="W470" t="s">
        <v>1742</v>
      </c>
      <c r="X470" t="s">
        <v>937</v>
      </c>
      <c r="Y470" t="s">
        <v>1248</v>
      </c>
      <c r="Z470" t="s">
        <v>1248</v>
      </c>
      <c r="AA470" s="49" t="s">
        <v>621</v>
      </c>
      <c r="AB470">
        <v>5.7</v>
      </c>
      <c r="AC470">
        <v>0.96</v>
      </c>
    </row>
    <row r="471" spans="1:29" x14ac:dyDescent="0.45">
      <c r="A471">
        <v>16</v>
      </c>
      <c r="B471" t="s">
        <v>1151</v>
      </c>
      <c r="C471" t="s">
        <v>1155</v>
      </c>
      <c r="D471" t="s">
        <v>1087</v>
      </c>
      <c r="E471">
        <v>-69.329729233025489</v>
      </c>
      <c r="F471">
        <v>-52.818307733755169</v>
      </c>
      <c r="O471">
        <v>1</v>
      </c>
      <c r="P471" t="s">
        <v>594</v>
      </c>
      <c r="Q471" t="s">
        <v>1047</v>
      </c>
      <c r="R471" t="s">
        <v>1010</v>
      </c>
      <c r="S471" t="s">
        <v>1101</v>
      </c>
      <c r="V471" t="str">
        <f>condiciones_comuna[[#This Row],[Zona Térmica]]&amp;" - "&amp;condiciones_comuna[[#This Row],[Comuna / localidad]]</f>
        <v>Zona E - Hualqui</v>
      </c>
      <c r="W471" t="s">
        <v>1742</v>
      </c>
      <c r="X471" t="s">
        <v>940</v>
      </c>
      <c r="Y471" t="s">
        <v>1248</v>
      </c>
      <c r="Z471" t="s">
        <v>1248</v>
      </c>
      <c r="AA471" s="49" t="s">
        <v>621</v>
      </c>
      <c r="AB471">
        <v>5.7</v>
      </c>
      <c r="AC471">
        <v>0.96</v>
      </c>
    </row>
    <row r="472" spans="1:29" x14ac:dyDescent="0.45">
      <c r="A472">
        <v>16</v>
      </c>
      <c r="B472" t="s">
        <v>1151</v>
      </c>
      <c r="C472" t="s">
        <v>1155</v>
      </c>
      <c r="D472" t="s">
        <v>1145</v>
      </c>
      <c r="E472">
        <v>-69.55239747288239</v>
      </c>
      <c r="F472">
        <v>-54.203954523248647</v>
      </c>
      <c r="O472">
        <v>1</v>
      </c>
      <c r="P472" t="s">
        <v>594</v>
      </c>
      <c r="Q472" t="s">
        <v>1098</v>
      </c>
      <c r="R472" t="s">
        <v>1013</v>
      </c>
      <c r="S472" t="s">
        <v>1102</v>
      </c>
      <c r="V472" t="str">
        <f>condiciones_comuna[[#This Row],[Zona Térmica]]&amp;" - "&amp;condiciones_comuna[[#This Row],[Comuna / localidad]]</f>
        <v>Zona E - Lebu</v>
      </c>
      <c r="W472" t="s">
        <v>1742</v>
      </c>
      <c r="X472" t="s">
        <v>983</v>
      </c>
      <c r="Y472" t="s">
        <v>1248</v>
      </c>
      <c r="Z472" t="s">
        <v>1248</v>
      </c>
      <c r="AA472" s="49" t="s">
        <v>622</v>
      </c>
      <c r="AB472">
        <v>5.0999999999999996</v>
      </c>
      <c r="AC472">
        <v>0.94</v>
      </c>
    </row>
    <row r="473" spans="1:29" x14ac:dyDescent="0.45">
      <c r="A473">
        <v>16</v>
      </c>
      <c r="B473" t="s">
        <v>1151</v>
      </c>
      <c r="C473" t="s">
        <v>1156</v>
      </c>
      <c r="D473" t="s">
        <v>1039</v>
      </c>
      <c r="E473">
        <v>-73.98354585029864</v>
      </c>
      <c r="F473">
        <v>-50.643810380174244</v>
      </c>
      <c r="O473">
        <v>1</v>
      </c>
      <c r="P473" t="s">
        <v>594</v>
      </c>
      <c r="Q473" t="s">
        <v>1067</v>
      </c>
      <c r="R473" t="s">
        <v>1100</v>
      </c>
      <c r="S473" t="s">
        <v>1103</v>
      </c>
      <c r="V473" t="str">
        <f>condiciones_comuna[[#This Row],[Zona Térmica]]&amp;" - "&amp;condiciones_comuna[[#This Row],[Comuna / localidad]]</f>
        <v>Zona E - Los Álamos</v>
      </c>
      <c r="W473" t="s">
        <v>1742</v>
      </c>
      <c r="X473" t="s">
        <v>1003</v>
      </c>
      <c r="Y473" t="s">
        <v>1248</v>
      </c>
      <c r="Z473" t="s">
        <v>1248</v>
      </c>
      <c r="AA473" s="49" t="s">
        <v>622</v>
      </c>
      <c r="AB473">
        <v>5.0999999999999996</v>
      </c>
      <c r="AC473">
        <v>0.94</v>
      </c>
    </row>
    <row r="474" spans="1:29" x14ac:dyDescent="0.45">
      <c r="A474">
        <v>16</v>
      </c>
      <c r="B474" t="s">
        <v>1151</v>
      </c>
      <c r="C474" t="s">
        <v>1156</v>
      </c>
      <c r="D474" t="s">
        <v>1147</v>
      </c>
      <c r="E474">
        <v>-72.827642684935981</v>
      </c>
      <c r="F474">
        <v>-51.043017269495387</v>
      </c>
      <c r="O474">
        <v>1</v>
      </c>
      <c r="P474" t="s">
        <v>594</v>
      </c>
      <c r="Q474" t="s">
        <v>856</v>
      </c>
      <c r="R474" t="s">
        <v>1117</v>
      </c>
      <c r="S474" t="s">
        <v>1105</v>
      </c>
      <c r="V474" t="str">
        <f>condiciones_comuna[[#This Row],[Zona Térmica]]&amp;" - "&amp;condiciones_comuna[[#This Row],[Comuna / localidad]]</f>
        <v>Zona E - Lota</v>
      </c>
      <c r="W474" t="s">
        <v>1742</v>
      </c>
      <c r="X474" t="s">
        <v>1012</v>
      </c>
      <c r="Y474" t="s">
        <v>1248</v>
      </c>
      <c r="Z474" t="s">
        <v>1248</v>
      </c>
      <c r="AA474" s="49" t="s">
        <v>621</v>
      </c>
      <c r="AB474">
        <v>5.7</v>
      </c>
      <c r="AC474">
        <v>0.96</v>
      </c>
    </row>
    <row r="475" spans="1:29" x14ac:dyDescent="0.45">
      <c r="R475" t="s">
        <v>1132</v>
      </c>
      <c r="S475" t="s">
        <v>1107</v>
      </c>
      <c r="V475" t="str">
        <f>condiciones_comuna[[#This Row],[Zona Térmica]]&amp;" - "&amp;condiciones_comuna[[#This Row],[Comuna / localidad]]</f>
        <v>Zona E - Pelluhue</v>
      </c>
      <c r="W475" t="s">
        <v>1742</v>
      </c>
      <c r="X475" t="s">
        <v>1025</v>
      </c>
      <c r="Y475" t="s">
        <v>1248</v>
      </c>
      <c r="Z475" t="s">
        <v>1248</v>
      </c>
      <c r="AA475" s="49" t="s">
        <v>572</v>
      </c>
      <c r="AB475">
        <v>3.5</v>
      </c>
      <c r="AC475">
        <v>0.95</v>
      </c>
    </row>
    <row r="476" spans="1:29" x14ac:dyDescent="0.45">
      <c r="R476" t="s">
        <v>1133</v>
      </c>
      <c r="S476" t="s">
        <v>1115</v>
      </c>
      <c r="V476" t="str">
        <f>condiciones_comuna[[#This Row],[Zona Térmica]]&amp;" - "&amp;condiciones_comuna[[#This Row],[Comuna / localidad]]</f>
        <v>Zona E - Penco</v>
      </c>
      <c r="W476" t="s">
        <v>1742</v>
      </c>
      <c r="X476" t="s">
        <v>1072</v>
      </c>
      <c r="Y476" t="s">
        <v>1248</v>
      </c>
      <c r="Z476" t="s">
        <v>1248</v>
      </c>
      <c r="AA476" s="49" t="s">
        <v>621</v>
      </c>
      <c r="AB476">
        <v>5.7</v>
      </c>
      <c r="AC476">
        <v>0.96</v>
      </c>
    </row>
    <row r="477" spans="1:29" x14ac:dyDescent="0.45">
      <c r="R477" s="194" t="s">
        <v>1157</v>
      </c>
      <c r="S477" t="s">
        <v>1127</v>
      </c>
      <c r="V477" t="str">
        <f>condiciones_comuna[[#This Row],[Zona Térmica]]&amp;" - "&amp;condiciones_comuna[[#This Row],[Comuna / localidad]]</f>
        <v>Zona E - Quirihue</v>
      </c>
      <c r="W477" t="s">
        <v>1742</v>
      </c>
      <c r="X477" t="s">
        <v>1070</v>
      </c>
      <c r="Y477" t="s">
        <v>1248</v>
      </c>
      <c r="Z477" t="s">
        <v>1248</v>
      </c>
      <c r="AA477" s="49" t="s">
        <v>572</v>
      </c>
      <c r="AB477">
        <v>3.5</v>
      </c>
      <c r="AC477">
        <v>0.95</v>
      </c>
    </row>
    <row r="478" spans="1:29" x14ac:dyDescent="0.45">
      <c r="R478" s="1" t="s">
        <v>1158</v>
      </c>
      <c r="S478" t="s">
        <v>1138</v>
      </c>
      <c r="V478" t="str">
        <f>condiciones_comuna[[#This Row],[Zona Térmica]]&amp;" - "&amp;condiciones_comuna[[#This Row],[Comuna / localidad]]</f>
        <v>Zona E - Saavedra</v>
      </c>
      <c r="W478" t="s">
        <v>1742</v>
      </c>
      <c r="X478" t="s">
        <v>1118</v>
      </c>
      <c r="Y478" t="s">
        <v>1248</v>
      </c>
      <c r="Z478" t="s">
        <v>1248</v>
      </c>
      <c r="AA478" s="49" t="s">
        <v>622</v>
      </c>
      <c r="AB478">
        <v>5.0999999999999996</v>
      </c>
      <c r="AC478">
        <v>0.94</v>
      </c>
    </row>
    <row r="479" spans="1:29" x14ac:dyDescent="0.45">
      <c r="R479" s="193" t="s">
        <v>1159</v>
      </c>
      <c r="S479" t="s">
        <v>1140</v>
      </c>
      <c r="V479" t="str">
        <f>condiciones_comuna[[#This Row],[Zona Térmica]]&amp;" - "&amp;condiciones_comuna[[#This Row],[Comuna / localidad]]</f>
        <v>Zona E - San Pedro de la Paz</v>
      </c>
      <c r="W479" t="s">
        <v>1742</v>
      </c>
      <c r="X479" t="s">
        <v>1104</v>
      </c>
      <c r="Y479" t="s">
        <v>1248</v>
      </c>
      <c r="Z479" t="s">
        <v>1248</v>
      </c>
      <c r="AA479" s="49" t="s">
        <v>621</v>
      </c>
      <c r="AB479">
        <v>5.7</v>
      </c>
      <c r="AC479">
        <v>0.96</v>
      </c>
    </row>
    <row r="480" spans="1:29" x14ac:dyDescent="0.45">
      <c r="R480" t="s">
        <v>924</v>
      </c>
      <c r="S480" s="1" t="s">
        <v>1166</v>
      </c>
      <c r="V480" t="str">
        <f>condiciones_comuna[[#This Row],[Zona Térmica]]&amp;" - "&amp;condiciones_comuna[[#This Row],[Comuna / localidad]]</f>
        <v>Zona E - Santa Juana</v>
      </c>
      <c r="W480" t="s">
        <v>1742</v>
      </c>
      <c r="X480" t="s">
        <v>1106</v>
      </c>
      <c r="Y480" t="s">
        <v>1248</v>
      </c>
      <c r="Z480" t="s">
        <v>1248</v>
      </c>
      <c r="AA480" s="49" t="s">
        <v>621</v>
      </c>
      <c r="AB480">
        <v>5.7</v>
      </c>
      <c r="AC480">
        <v>0.96</v>
      </c>
    </row>
    <row r="481" spans="18:29" x14ac:dyDescent="0.45">
      <c r="R481" t="s">
        <v>967</v>
      </c>
      <c r="S481" t="s">
        <v>766</v>
      </c>
      <c r="V481" t="str">
        <f>condiciones_comuna[[#This Row],[Zona Térmica]]&amp;" - "&amp;condiciones_comuna[[#This Row],[Comuna / localidad]]</f>
        <v>Zona E - Talcahuano</v>
      </c>
      <c r="W481" t="s">
        <v>1742</v>
      </c>
      <c r="X481" t="s">
        <v>1109</v>
      </c>
      <c r="Y481" t="s">
        <v>1248</v>
      </c>
      <c r="Z481" t="s">
        <v>1248</v>
      </c>
      <c r="AA481" s="49" t="s">
        <v>621</v>
      </c>
      <c r="AB481">
        <v>5.7</v>
      </c>
      <c r="AC481">
        <v>0.96</v>
      </c>
    </row>
    <row r="482" spans="18:29" x14ac:dyDescent="0.45">
      <c r="R482" t="s">
        <v>969</v>
      </c>
      <c r="S482" t="s">
        <v>582</v>
      </c>
      <c r="V482" t="str">
        <f>condiciones_comuna[[#This Row],[Zona Térmica]]&amp;" - "&amp;condiciones_comuna[[#This Row],[Comuna / localidad]]</f>
        <v>Zona E - Teodoro Schmidt</v>
      </c>
      <c r="W482" t="s">
        <v>1742</v>
      </c>
      <c r="X482" t="s">
        <v>1119</v>
      </c>
      <c r="Y482" t="s">
        <v>1248</v>
      </c>
      <c r="Z482" t="s">
        <v>1248</v>
      </c>
      <c r="AA482" s="49" t="s">
        <v>622</v>
      </c>
      <c r="AB482">
        <v>5.0999999999999996</v>
      </c>
      <c r="AC482">
        <v>0.94</v>
      </c>
    </row>
    <row r="483" spans="18:29" x14ac:dyDescent="0.45">
      <c r="R483" t="s">
        <v>1123</v>
      </c>
      <c r="S483" t="s">
        <v>838</v>
      </c>
      <c r="V483" t="str">
        <f>condiciones_comuna[[#This Row],[Zona Térmica]]&amp;" - "&amp;condiciones_comuna[[#This Row],[Comuna / localidad]]</f>
        <v>Zona E - Tirúa</v>
      </c>
      <c r="W483" t="s">
        <v>1742</v>
      </c>
      <c r="X483" t="s">
        <v>1085</v>
      </c>
      <c r="Y483" t="s">
        <v>1248</v>
      </c>
      <c r="Z483" t="s">
        <v>1248</v>
      </c>
      <c r="AA483" s="49" t="s">
        <v>622</v>
      </c>
      <c r="AB483">
        <v>5.0999999999999996</v>
      </c>
      <c r="AC483">
        <v>0.94</v>
      </c>
    </row>
    <row r="484" spans="18:29" x14ac:dyDescent="0.45">
      <c r="R484" s="193" t="s">
        <v>1160</v>
      </c>
      <c r="S484" t="s">
        <v>585</v>
      </c>
      <c r="V484" t="str">
        <f>condiciones_comuna[[#This Row],[Zona Térmica]]&amp;" - "&amp;condiciones_comuna[[#This Row],[Comuna / localidad]]</f>
        <v>Zona E - Toltén</v>
      </c>
      <c r="W484" t="s">
        <v>1742</v>
      </c>
      <c r="X484" t="s">
        <v>1121</v>
      </c>
      <c r="Y484" t="s">
        <v>1248</v>
      </c>
      <c r="Z484" t="s">
        <v>1248</v>
      </c>
      <c r="AA484" s="49" t="s">
        <v>622</v>
      </c>
      <c r="AB484">
        <v>5.0999999999999996</v>
      </c>
      <c r="AC484">
        <v>0.94</v>
      </c>
    </row>
    <row r="485" spans="18:29" x14ac:dyDescent="0.45">
      <c r="R485" t="s">
        <v>878</v>
      </c>
      <c r="S485" t="s">
        <v>576</v>
      </c>
      <c r="V485" t="str">
        <f>condiciones_comuna[[#This Row],[Zona Térmica]]&amp;" - "&amp;condiciones_comuna[[#This Row],[Comuna / localidad]]</f>
        <v>Zona E - Tomé</v>
      </c>
      <c r="W485" t="s">
        <v>1742</v>
      </c>
      <c r="X485" t="s">
        <v>1111</v>
      </c>
      <c r="Y485" t="s">
        <v>1248</v>
      </c>
      <c r="Z485" t="s">
        <v>1248</v>
      </c>
      <c r="AA485" s="49" t="s">
        <v>621</v>
      </c>
      <c r="AB485">
        <v>5.7</v>
      </c>
      <c r="AC485">
        <v>0.96</v>
      </c>
    </row>
    <row r="486" spans="18:29" x14ac:dyDescent="0.45">
      <c r="R486" t="s">
        <v>977</v>
      </c>
      <c r="S486" t="s">
        <v>930</v>
      </c>
      <c r="V486" t="str">
        <f>condiciones_comuna[[#This Row],[Zona Térmica]]&amp;" - "&amp;condiciones_comuna[[#This Row],[Comuna / localidad]]</f>
        <v>Zona E - Treguaco</v>
      </c>
      <c r="W486" t="s">
        <v>1742</v>
      </c>
      <c r="X486" t="s">
        <v>1073</v>
      </c>
      <c r="Y486" t="s">
        <v>1248</v>
      </c>
      <c r="Z486" t="s">
        <v>1248</v>
      </c>
      <c r="AA486" s="49" t="s">
        <v>572</v>
      </c>
      <c r="AB486">
        <v>3.5</v>
      </c>
      <c r="AC486">
        <v>0.95</v>
      </c>
    </row>
    <row r="487" spans="18:29" x14ac:dyDescent="0.45">
      <c r="R487" t="s">
        <v>1006</v>
      </c>
      <c r="S487" t="s">
        <v>971</v>
      </c>
      <c r="V487" t="str">
        <f>condiciones_comuna[[#This Row],[Zona Térmica]]&amp;" - "&amp;condiciones_comuna[[#This Row],[Comuna / localidad]]</f>
        <v>Zona F - Todas las comunas</v>
      </c>
      <c r="W487" t="s">
        <v>1743</v>
      </c>
      <c r="X487" t="s">
        <v>1685</v>
      </c>
      <c r="Y487" t="s">
        <v>1248</v>
      </c>
      <c r="Z487" t="s">
        <v>1248</v>
      </c>
      <c r="AA487" s="49" t="s">
        <v>577</v>
      </c>
      <c r="AB487">
        <v>3.8</v>
      </c>
      <c r="AC487">
        <v>0.94</v>
      </c>
    </row>
    <row r="488" spans="18:29" x14ac:dyDescent="0.45">
      <c r="R488" t="s">
        <v>1017</v>
      </c>
      <c r="S488" t="s">
        <v>1049</v>
      </c>
      <c r="V488" t="str">
        <f>condiciones_comuna[[#This Row],[Zona Térmica]]&amp;" - "&amp;condiciones_comuna[[#This Row],[Comuna / localidad]]</f>
        <v>Zona F - Alto Biobío</v>
      </c>
      <c r="W488" t="s">
        <v>1743</v>
      </c>
      <c r="X488" t="s">
        <v>743</v>
      </c>
      <c r="Y488" t="s">
        <v>1248</v>
      </c>
      <c r="Z488" t="s">
        <v>1683</v>
      </c>
      <c r="AA488" s="49" t="str">
        <f>+"Provincia de Biobío"</f>
        <v>Provincia de Biobío</v>
      </c>
      <c r="AB488">
        <v>4.8</v>
      </c>
      <c r="AC488">
        <v>0.94</v>
      </c>
    </row>
    <row r="489" spans="18:29" x14ac:dyDescent="0.45">
      <c r="R489" t="s">
        <v>1023</v>
      </c>
      <c r="S489" t="s">
        <v>1126</v>
      </c>
      <c r="V489" t="str">
        <f>condiciones_comuna[[#This Row],[Zona Térmica]]&amp;" - "&amp;condiciones_comuna[[#This Row],[Comuna / localidad]]</f>
        <v>Zona F - Angol</v>
      </c>
      <c r="W489" t="s">
        <v>1743</v>
      </c>
      <c r="X489" t="s">
        <v>754</v>
      </c>
      <c r="Y489" t="s">
        <v>1248</v>
      </c>
      <c r="Z489" t="s">
        <v>1248</v>
      </c>
      <c r="AA489" s="49" t="s">
        <v>627</v>
      </c>
      <c r="AB489">
        <v>4.2</v>
      </c>
      <c r="AC489">
        <v>0.94</v>
      </c>
    </row>
    <row r="490" spans="18:29" x14ac:dyDescent="0.45">
      <c r="R490" t="s">
        <v>1059</v>
      </c>
      <c r="S490" t="s">
        <v>1148</v>
      </c>
      <c r="V490" t="str">
        <f>condiciones_comuna[[#This Row],[Zona Térmica]]&amp;" - "&amp;condiciones_comuna[[#This Row],[Comuna / localidad]]</f>
        <v>Zona F - Antuco</v>
      </c>
      <c r="W490" t="s">
        <v>1743</v>
      </c>
      <c r="X490" t="s">
        <v>761</v>
      </c>
      <c r="Y490" t="s">
        <v>1248</v>
      </c>
      <c r="Z490" t="s">
        <v>1683</v>
      </c>
      <c r="AA490" s="49" t="str">
        <f>+"Provincia de Biobío"</f>
        <v>Provincia de Biobío</v>
      </c>
      <c r="AB490">
        <v>4.8</v>
      </c>
      <c r="AC490">
        <v>0.94</v>
      </c>
    </row>
    <row r="491" spans="18:29" x14ac:dyDescent="0.45">
      <c r="R491" t="s">
        <v>1062</v>
      </c>
      <c r="S491" s="1" t="s">
        <v>1171</v>
      </c>
      <c r="V491" t="str">
        <f>condiciones_comuna[[#This Row],[Zona Térmica]]&amp;" - "&amp;condiciones_comuna[[#This Row],[Comuna / localidad]]</f>
        <v>Zona F - Bulnes</v>
      </c>
      <c r="W491" t="s">
        <v>1743</v>
      </c>
      <c r="X491" t="s">
        <v>770</v>
      </c>
      <c r="Y491" t="s">
        <v>1248</v>
      </c>
      <c r="Z491" t="s">
        <v>1248</v>
      </c>
      <c r="AA491" s="49" t="s">
        <v>577</v>
      </c>
      <c r="AB491">
        <v>3.8</v>
      </c>
      <c r="AC491">
        <v>0.94</v>
      </c>
    </row>
    <row r="492" spans="18:29" x14ac:dyDescent="0.45">
      <c r="R492" t="s">
        <v>559</v>
      </c>
      <c r="S492" t="s">
        <v>757</v>
      </c>
      <c r="V492" t="str">
        <f>condiciones_comuna[[#This Row],[Zona Térmica]]&amp;" - "&amp;condiciones_comuna[[#This Row],[Comuna / localidad]]</f>
        <v>Zona F - Cabrero</v>
      </c>
      <c r="W492" t="s">
        <v>1743</v>
      </c>
      <c r="X492" t="s">
        <v>778</v>
      </c>
      <c r="Y492" t="s">
        <v>1248</v>
      </c>
      <c r="Z492" t="s">
        <v>1248</v>
      </c>
      <c r="AA492" s="49" t="str">
        <f>+"Provincia de Biobío"</f>
        <v>Provincia de Biobío</v>
      </c>
      <c r="AB492">
        <v>4.8</v>
      </c>
      <c r="AC492">
        <v>0.94</v>
      </c>
    </row>
    <row r="493" spans="18:29" x14ac:dyDescent="0.45">
      <c r="R493" s="1" t="s">
        <v>1161</v>
      </c>
      <c r="S493" t="s">
        <v>774</v>
      </c>
      <c r="V493" t="str">
        <f>condiciones_comuna[[#This Row],[Zona Térmica]]&amp;" - "&amp;condiciones_comuna[[#This Row],[Comuna / localidad]]</f>
        <v>Zona F - Chillán</v>
      </c>
      <c r="W493" t="s">
        <v>1743</v>
      </c>
      <c r="X493" t="s">
        <v>550</v>
      </c>
      <c r="Y493" t="s">
        <v>1248</v>
      </c>
      <c r="Z493" t="s">
        <v>1248</v>
      </c>
      <c r="AA493" s="356" t="s">
        <v>577</v>
      </c>
      <c r="AB493">
        <v>3.8</v>
      </c>
      <c r="AC493">
        <v>0.94</v>
      </c>
    </row>
    <row r="494" spans="18:29" x14ac:dyDescent="0.45">
      <c r="R494" s="193" t="s">
        <v>1162</v>
      </c>
      <c r="S494" t="s">
        <v>973</v>
      </c>
      <c r="V494" t="str">
        <f>condiciones_comuna[[#This Row],[Zona Térmica]]&amp;" - "&amp;condiciones_comuna[[#This Row],[Comuna / localidad]]</f>
        <v>Zona F - Chillán Viejo</v>
      </c>
      <c r="W494" t="s">
        <v>1743</v>
      </c>
      <c r="X494" t="s">
        <v>831</v>
      </c>
      <c r="Y494" t="s">
        <v>1248</v>
      </c>
      <c r="Z494" t="s">
        <v>1248</v>
      </c>
      <c r="AA494" s="49" t="s">
        <v>577</v>
      </c>
      <c r="AB494">
        <v>3.8</v>
      </c>
      <c r="AC494">
        <v>0.94</v>
      </c>
    </row>
    <row r="495" spans="18:29" x14ac:dyDescent="0.45">
      <c r="R495" t="s">
        <v>749</v>
      </c>
      <c r="S495" t="s">
        <v>1039</v>
      </c>
      <c r="V495" t="str">
        <f>condiciones_comuna[[#This Row],[Zona Térmica]]&amp;" - "&amp;condiciones_comuna[[#This Row],[Comuna / localidad]]</f>
        <v>Zona F - Cholchol</v>
      </c>
      <c r="W495" t="s">
        <v>1743</v>
      </c>
      <c r="X495" t="s">
        <v>833</v>
      </c>
      <c r="Y495" t="s">
        <v>1248</v>
      </c>
      <c r="Z495" t="s">
        <v>1248</v>
      </c>
      <c r="AA495" s="49" t="s">
        <v>577</v>
      </c>
      <c r="AB495">
        <v>3.8</v>
      </c>
      <c r="AC495">
        <v>0.94</v>
      </c>
    </row>
    <row r="496" spans="18:29" x14ac:dyDescent="0.45">
      <c r="R496" t="s">
        <v>810</v>
      </c>
      <c r="S496" t="s">
        <v>1086</v>
      </c>
      <c r="V496" t="str">
        <f>condiciones_comuna[[#This Row],[Zona Térmica]]&amp;" - "&amp;condiciones_comuna[[#This Row],[Comuna / localidad]]</f>
        <v>Zona F - Coihueco</v>
      </c>
      <c r="W496" t="s">
        <v>1743</v>
      </c>
      <c r="X496" t="s">
        <v>852</v>
      </c>
      <c r="Y496" t="s">
        <v>1248</v>
      </c>
      <c r="Z496" t="s">
        <v>1683</v>
      </c>
      <c r="AA496" s="49" t="s">
        <v>577</v>
      </c>
      <c r="AB496">
        <v>3.8</v>
      </c>
      <c r="AC496">
        <v>0.94</v>
      </c>
    </row>
    <row r="497" spans="18:29" x14ac:dyDescent="0.45">
      <c r="R497" t="s">
        <v>836</v>
      </c>
      <c r="S497" t="s">
        <v>1087</v>
      </c>
      <c r="V497" t="str">
        <f>condiciones_comuna[[#This Row],[Zona Térmica]]&amp;" - "&amp;condiciones_comuna[[#This Row],[Comuna / localidad]]</f>
        <v>Zona F - Collipulli</v>
      </c>
      <c r="W497" t="s">
        <v>1743</v>
      </c>
      <c r="X497" t="s">
        <v>860</v>
      </c>
      <c r="Y497" t="s">
        <v>1248</v>
      </c>
      <c r="Z497" t="s">
        <v>1248</v>
      </c>
      <c r="AA497" s="49" t="str">
        <f>+"Provincia de Malleco"</f>
        <v>Provincia de Malleco</v>
      </c>
      <c r="AB497">
        <v>4.2</v>
      </c>
      <c r="AC497">
        <v>0.94</v>
      </c>
    </row>
    <row r="498" spans="18:29" x14ac:dyDescent="0.45">
      <c r="R498" t="s">
        <v>886</v>
      </c>
      <c r="S498" t="s">
        <v>587</v>
      </c>
      <c r="V498" t="str">
        <f>condiciones_comuna[[#This Row],[Zona Térmica]]&amp;" - "&amp;condiciones_comuna[[#This Row],[Comuna / localidad]]</f>
        <v>Zona F - Cunco</v>
      </c>
      <c r="W498" t="s">
        <v>1743</v>
      </c>
      <c r="X498" t="s">
        <v>882</v>
      </c>
      <c r="Y498" t="s">
        <v>1248</v>
      </c>
      <c r="Z498" t="s">
        <v>1248</v>
      </c>
      <c r="AA498" s="49" t="s">
        <v>577</v>
      </c>
      <c r="AB498">
        <v>3.8</v>
      </c>
      <c r="AC498">
        <v>0.94</v>
      </c>
    </row>
    <row r="499" spans="18:29" x14ac:dyDescent="0.45">
      <c r="R499" t="s">
        <v>893</v>
      </c>
      <c r="S499" t="s">
        <v>1129</v>
      </c>
      <c r="V499" t="str">
        <f>condiciones_comuna[[#This Row],[Zona Térmica]]&amp;" - "&amp;condiciones_comuna[[#This Row],[Comuna / localidad]]</f>
        <v>Zona F - Curacautín</v>
      </c>
      <c r="W499" t="s">
        <v>1743</v>
      </c>
      <c r="X499" t="s">
        <v>883</v>
      </c>
      <c r="Y499" t="s">
        <v>1248</v>
      </c>
      <c r="Z499" t="s">
        <v>1248</v>
      </c>
      <c r="AA499" s="49" t="str">
        <f>+"Provincia de Malleco"</f>
        <v>Provincia de Malleco</v>
      </c>
      <c r="AB499">
        <v>4.2</v>
      </c>
      <c r="AC499">
        <v>0.94</v>
      </c>
    </row>
    <row r="500" spans="18:29" x14ac:dyDescent="0.45">
      <c r="R500" t="s">
        <v>1099</v>
      </c>
      <c r="S500" t="s">
        <v>1137</v>
      </c>
      <c r="V500" t="str">
        <f>condiciones_comuna[[#This Row],[Zona Térmica]]&amp;" - "&amp;condiciones_comuna[[#This Row],[Comuna / localidad]]</f>
        <v>Zona F - El Carmen</v>
      </c>
      <c r="W500" t="s">
        <v>1743</v>
      </c>
      <c r="X500" t="s">
        <v>901</v>
      </c>
      <c r="Y500" t="s">
        <v>1248</v>
      </c>
      <c r="Z500" t="s">
        <v>1248</v>
      </c>
      <c r="AA500" s="49" t="s">
        <v>577</v>
      </c>
      <c r="AB500">
        <v>3.8</v>
      </c>
      <c r="AC500">
        <v>0.94</v>
      </c>
    </row>
    <row r="501" spans="18:29" x14ac:dyDescent="0.45">
      <c r="R501" t="s">
        <v>1103</v>
      </c>
      <c r="S501" t="s">
        <v>1145</v>
      </c>
      <c r="V501" t="str">
        <f>condiciones_comuna[[#This Row],[Zona Térmica]]&amp;" - "&amp;condiciones_comuna[[#This Row],[Comuna / localidad]]</f>
        <v>Zona F - Ercilla</v>
      </c>
      <c r="W501" t="s">
        <v>1743</v>
      </c>
      <c r="X501" t="s">
        <v>910</v>
      </c>
      <c r="Y501" t="s">
        <v>1248</v>
      </c>
      <c r="Z501" t="s">
        <v>1248</v>
      </c>
      <c r="AA501" s="49" t="str">
        <f>+"Provincia de Malleco"</f>
        <v>Provincia de Malleco</v>
      </c>
      <c r="AB501">
        <v>4.2</v>
      </c>
      <c r="AC501">
        <v>0.94</v>
      </c>
    </row>
    <row r="502" spans="18:29" x14ac:dyDescent="0.45">
      <c r="R502" t="s">
        <v>1105</v>
      </c>
      <c r="S502" t="s">
        <v>1147</v>
      </c>
      <c r="V502" t="str">
        <f>condiciones_comuna[[#This Row],[Zona Térmica]]&amp;" - "&amp;condiciones_comuna[[#This Row],[Comuna / localidad]]</f>
        <v>Zona F - Florida</v>
      </c>
      <c r="W502" t="s">
        <v>1743</v>
      </c>
      <c r="X502" t="s">
        <v>914</v>
      </c>
      <c r="Y502" t="s">
        <v>1248</v>
      </c>
      <c r="Z502" t="s">
        <v>1248</v>
      </c>
      <c r="AA502" s="49" t="str">
        <f>+"Provincia de Biobío"</f>
        <v>Provincia de Biobío</v>
      </c>
      <c r="AB502">
        <v>4.8</v>
      </c>
      <c r="AC502">
        <v>0.94</v>
      </c>
    </row>
    <row r="503" spans="18:29" x14ac:dyDescent="0.45">
      <c r="R503" t="s">
        <v>1107</v>
      </c>
      <c r="V503" t="str">
        <f>condiciones_comuna[[#This Row],[Zona Térmica]]&amp;" - "&amp;condiciones_comuna[[#This Row],[Comuna / localidad]]</f>
        <v>Zona F - Freire</v>
      </c>
      <c r="W503" t="s">
        <v>1743</v>
      </c>
      <c r="X503" t="s">
        <v>916</v>
      </c>
      <c r="Y503" t="s">
        <v>1248</v>
      </c>
      <c r="Z503" t="s">
        <v>1248</v>
      </c>
      <c r="AA503" s="49" t="s">
        <v>577</v>
      </c>
      <c r="AB503">
        <v>3.8</v>
      </c>
      <c r="AC503">
        <v>0.94</v>
      </c>
    </row>
    <row r="504" spans="18:29" x14ac:dyDescent="0.45">
      <c r="R504" t="s">
        <v>1115</v>
      </c>
      <c r="V504" t="str">
        <f>condiciones_comuna[[#This Row],[Zona Térmica]]&amp;" - "&amp;condiciones_comuna[[#This Row],[Comuna / localidad]]</f>
        <v>Zona F - Futrono</v>
      </c>
      <c r="W504" t="s">
        <v>1743</v>
      </c>
      <c r="X504" t="s">
        <v>924</v>
      </c>
      <c r="Y504" t="s">
        <v>1248</v>
      </c>
      <c r="Z504" t="s">
        <v>1248</v>
      </c>
      <c r="AA504" s="49" t="s">
        <v>577</v>
      </c>
      <c r="AB504">
        <v>3.8</v>
      </c>
      <c r="AC504">
        <v>0.94</v>
      </c>
    </row>
    <row r="505" spans="18:29" x14ac:dyDescent="0.45">
      <c r="R505" s="193" t="s">
        <v>1163</v>
      </c>
      <c r="V505" t="str">
        <f>condiciones_comuna[[#This Row],[Zona Térmica]]&amp;" - "&amp;condiciones_comuna[[#This Row],[Comuna / localidad]]</f>
        <v>Zona F - Galvarino</v>
      </c>
      <c r="W505" t="s">
        <v>1743</v>
      </c>
      <c r="X505" t="s">
        <v>925</v>
      </c>
      <c r="Y505" t="s">
        <v>1248</v>
      </c>
      <c r="Z505" t="s">
        <v>1248</v>
      </c>
      <c r="AA505" s="49" t="s">
        <v>577</v>
      </c>
      <c r="AB505">
        <v>3.8</v>
      </c>
      <c r="AC505">
        <v>0.94</v>
      </c>
    </row>
    <row r="506" spans="18:29" x14ac:dyDescent="0.45">
      <c r="R506" t="s">
        <v>784</v>
      </c>
      <c r="V506" t="str">
        <f>condiciones_comuna[[#This Row],[Zona Térmica]]&amp;" - "&amp;condiciones_comuna[[#This Row],[Comuna / localidad]]</f>
        <v>Zona F - Gorbea</v>
      </c>
      <c r="W506" t="s">
        <v>1743</v>
      </c>
      <c r="X506" t="s">
        <v>927</v>
      </c>
      <c r="Y506" t="s">
        <v>1248</v>
      </c>
      <c r="Z506" t="s">
        <v>1248</v>
      </c>
      <c r="AA506" s="49" t="s">
        <v>577</v>
      </c>
      <c r="AB506">
        <v>3.8</v>
      </c>
      <c r="AC506">
        <v>0.94</v>
      </c>
    </row>
    <row r="507" spans="18:29" x14ac:dyDescent="0.45">
      <c r="R507" t="s">
        <v>844</v>
      </c>
      <c r="V507" t="str">
        <f>condiciones_comuna[[#This Row],[Zona Térmica]]&amp;" - "&amp;condiciones_comuna[[#This Row],[Comuna / localidad]]</f>
        <v>Zona F - La Unión</v>
      </c>
      <c r="W507" t="s">
        <v>1743</v>
      </c>
      <c r="X507" t="s">
        <v>967</v>
      </c>
      <c r="Y507" t="s">
        <v>1686</v>
      </c>
      <c r="Z507" t="s">
        <v>1248</v>
      </c>
      <c r="AA507" s="49" t="s">
        <v>577</v>
      </c>
      <c r="AB507">
        <v>3.8</v>
      </c>
      <c r="AC507">
        <v>0.94</v>
      </c>
    </row>
    <row r="508" spans="18:29" x14ac:dyDescent="0.45">
      <c r="R508" t="s">
        <v>919</v>
      </c>
      <c r="V508" t="str">
        <f>condiciones_comuna[[#This Row],[Zona Térmica]]&amp;" - "&amp;condiciones_comuna[[#This Row],[Comuna / localidad]]</f>
        <v>Zona F - Lago Ranco</v>
      </c>
      <c r="W508" t="s">
        <v>1743</v>
      </c>
      <c r="X508" t="s">
        <v>969</v>
      </c>
      <c r="Y508" t="s">
        <v>1248</v>
      </c>
      <c r="Z508" t="s">
        <v>1248</v>
      </c>
      <c r="AA508" s="49" t="s">
        <v>577</v>
      </c>
      <c r="AB508">
        <v>3.8</v>
      </c>
      <c r="AC508">
        <v>0.94</v>
      </c>
    </row>
    <row r="509" spans="18:29" x14ac:dyDescent="0.45">
      <c r="R509" t="s">
        <v>920</v>
      </c>
      <c r="V509" t="str">
        <f>condiciones_comuna[[#This Row],[Zona Térmica]]&amp;" - "&amp;condiciones_comuna[[#This Row],[Comuna / localidad]]</f>
        <v>Zona F - Laja</v>
      </c>
      <c r="W509" t="s">
        <v>1743</v>
      </c>
      <c r="X509" t="s">
        <v>975</v>
      </c>
      <c r="Y509" t="s">
        <v>1248</v>
      </c>
      <c r="Z509" t="s">
        <v>1248</v>
      </c>
      <c r="AA509" s="49" t="str">
        <f>+"Provincia de Biobío"</f>
        <v>Provincia de Biobío</v>
      </c>
      <c r="AB509">
        <v>4.8</v>
      </c>
      <c r="AC509">
        <v>0.94</v>
      </c>
    </row>
    <row r="510" spans="18:29" x14ac:dyDescent="0.45">
      <c r="R510" t="s">
        <v>990</v>
      </c>
      <c r="V510" t="str">
        <f>condiciones_comuna[[#This Row],[Zona Térmica]]&amp;" - "&amp;condiciones_comuna[[#This Row],[Comuna / localidad]]</f>
        <v>Zona F - Lanco</v>
      </c>
      <c r="W510" t="s">
        <v>1743</v>
      </c>
      <c r="X510" t="s">
        <v>977</v>
      </c>
      <c r="Y510" t="s">
        <v>1248</v>
      </c>
      <c r="Z510" t="s">
        <v>1248</v>
      </c>
      <c r="AA510" s="49" t="s">
        <v>577</v>
      </c>
      <c r="AB510">
        <v>3.8</v>
      </c>
      <c r="AC510">
        <v>0.94</v>
      </c>
    </row>
    <row r="511" spans="18:29" x14ac:dyDescent="0.45">
      <c r="R511" t="s">
        <v>1008</v>
      </c>
      <c r="V511" t="str">
        <f>condiciones_comuna[[#This Row],[Zona Térmica]]&amp;" - "&amp;condiciones_comuna[[#This Row],[Comuna / localidad]]</f>
        <v>Zona F - Lautaro</v>
      </c>
      <c r="W511" t="s">
        <v>1743</v>
      </c>
      <c r="X511" t="s">
        <v>982</v>
      </c>
      <c r="Y511" t="s">
        <v>1248</v>
      </c>
      <c r="Z511" t="s">
        <v>1248</v>
      </c>
      <c r="AA511" s="49" t="s">
        <v>577</v>
      </c>
      <c r="AB511">
        <v>3.8</v>
      </c>
      <c r="AC511">
        <v>0.94</v>
      </c>
    </row>
    <row r="512" spans="18:29" x14ac:dyDescent="0.45">
      <c r="R512" t="s">
        <v>1026</v>
      </c>
      <c r="V512" t="str">
        <f>condiciones_comuna[[#This Row],[Zona Térmica]]&amp;" - "&amp;condiciones_comuna[[#This Row],[Comuna / localidad]]</f>
        <v>Zona F - Loncoche</v>
      </c>
      <c r="W512" t="s">
        <v>1743</v>
      </c>
      <c r="X512" t="s">
        <v>997</v>
      </c>
      <c r="Y512" t="s">
        <v>1248</v>
      </c>
      <c r="Z512" t="s">
        <v>1248</v>
      </c>
      <c r="AA512" s="49" t="s">
        <v>577</v>
      </c>
      <c r="AB512">
        <v>3.8</v>
      </c>
      <c r="AC512">
        <v>0.94</v>
      </c>
    </row>
    <row r="513" spans="18:29" x14ac:dyDescent="0.45">
      <c r="R513" t="s">
        <v>566</v>
      </c>
      <c r="V513" t="str">
        <f>condiciones_comuna[[#This Row],[Zona Térmica]]&amp;" - "&amp;condiciones_comuna[[#This Row],[Comuna / localidad]]</f>
        <v>Zona F - Los Ángeles</v>
      </c>
      <c r="W513" t="s">
        <v>1743</v>
      </c>
      <c r="X513" t="s">
        <v>795</v>
      </c>
      <c r="Y513" t="s">
        <v>1248</v>
      </c>
      <c r="Z513" t="s">
        <v>1248</v>
      </c>
      <c r="AA513" s="49" t="str">
        <f>+"Provincia de Biobío"</f>
        <v>Provincia de Biobío</v>
      </c>
      <c r="AB513">
        <v>4.8</v>
      </c>
      <c r="AC513">
        <v>0.94</v>
      </c>
    </row>
    <row r="514" spans="18:29" x14ac:dyDescent="0.45">
      <c r="R514" t="s">
        <v>1095</v>
      </c>
      <c r="V514" t="str">
        <f>condiciones_comuna[[#This Row],[Zona Térmica]]&amp;" - "&amp;condiciones_comuna[[#This Row],[Comuna / localidad]]</f>
        <v>Zona F - Los Lagos</v>
      </c>
      <c r="W514" t="s">
        <v>1743</v>
      </c>
      <c r="X514" t="s">
        <v>1006</v>
      </c>
      <c r="Y514" t="s">
        <v>1248</v>
      </c>
      <c r="Z514" t="s">
        <v>1248</v>
      </c>
      <c r="AA514" s="49" t="s">
        <v>577</v>
      </c>
      <c r="AB514">
        <v>3.8</v>
      </c>
      <c r="AC514">
        <v>0.94</v>
      </c>
    </row>
    <row r="515" spans="18:29" x14ac:dyDescent="0.45">
      <c r="R515" s="193" t="s">
        <v>1164</v>
      </c>
      <c r="V515" t="str">
        <f>condiciones_comuna[[#This Row],[Zona Térmica]]&amp;" - "&amp;condiciones_comuna[[#This Row],[Comuna / localidad]]</f>
        <v>Zona F - Los Sauces</v>
      </c>
      <c r="W515" t="s">
        <v>1743</v>
      </c>
      <c r="X515" t="s">
        <v>1010</v>
      </c>
      <c r="Y515" t="s">
        <v>1248</v>
      </c>
      <c r="Z515" t="s">
        <v>1248</v>
      </c>
      <c r="AA515" s="49" t="str">
        <f t="shared" ref="AA515:AA516" si="15">+"Provincia de Malleco"</f>
        <v>Provincia de Malleco</v>
      </c>
      <c r="AB515">
        <v>4.2</v>
      </c>
      <c r="AC515">
        <v>0.94</v>
      </c>
    </row>
    <row r="516" spans="18:29" x14ac:dyDescent="0.45">
      <c r="R516" t="s">
        <v>561</v>
      </c>
      <c r="V516" t="str">
        <f>condiciones_comuna[[#This Row],[Zona Térmica]]&amp;" - "&amp;condiciones_comuna[[#This Row],[Comuna / localidad]]</f>
        <v>Zona F - Lumaco</v>
      </c>
      <c r="W516" t="s">
        <v>1743</v>
      </c>
      <c r="X516" t="s">
        <v>1013</v>
      </c>
      <c r="Y516" t="s">
        <v>1248</v>
      </c>
      <c r="Z516" t="s">
        <v>1248</v>
      </c>
      <c r="AA516" s="49" t="str">
        <f t="shared" si="15"/>
        <v>Provincia de Malleco</v>
      </c>
      <c r="AB516">
        <v>4.2</v>
      </c>
      <c r="AC516">
        <v>0.94</v>
      </c>
    </row>
    <row r="517" spans="18:29" x14ac:dyDescent="0.45">
      <c r="R517" t="s">
        <v>1093</v>
      </c>
      <c r="V517" t="str">
        <f>condiciones_comuna[[#This Row],[Zona Térmica]]&amp;" - "&amp;condiciones_comuna[[#This Row],[Comuna / localidad]]</f>
        <v>Zona F - Mulchén</v>
      </c>
      <c r="W517" t="s">
        <v>1743</v>
      </c>
      <c r="X517" t="s">
        <v>1036</v>
      </c>
      <c r="Y517" t="s">
        <v>1248</v>
      </c>
      <c r="Z517" t="s">
        <v>1248</v>
      </c>
      <c r="AA517" s="49" t="str">
        <f t="shared" ref="AA517:AA519" si="16">+"Provincia de Biobío"</f>
        <v>Provincia de Biobío</v>
      </c>
      <c r="AB517">
        <v>4.8</v>
      </c>
      <c r="AC517">
        <v>0.94</v>
      </c>
    </row>
    <row r="518" spans="18:29" x14ac:dyDescent="0.45">
      <c r="R518" t="s">
        <v>1101</v>
      </c>
      <c r="V518" t="str">
        <f>condiciones_comuna[[#This Row],[Zona Térmica]]&amp;" - "&amp;condiciones_comuna[[#This Row],[Comuna / localidad]]</f>
        <v>Zona F - Nacimiento</v>
      </c>
      <c r="W518" t="s">
        <v>1743</v>
      </c>
      <c r="X518" t="s">
        <v>1038</v>
      </c>
      <c r="Y518" t="s">
        <v>1248</v>
      </c>
      <c r="Z518" t="s">
        <v>1248</v>
      </c>
      <c r="AA518" s="49" t="str">
        <f t="shared" si="16"/>
        <v>Provincia de Biobío</v>
      </c>
      <c r="AB518">
        <v>4.8</v>
      </c>
      <c r="AC518">
        <v>0.94</v>
      </c>
    </row>
    <row r="519" spans="18:29" x14ac:dyDescent="0.45">
      <c r="R519" t="s">
        <v>1102</v>
      </c>
      <c r="V519" t="str">
        <f>condiciones_comuna[[#This Row],[Zona Térmica]]&amp;" - "&amp;condiciones_comuna[[#This Row],[Comuna / localidad]]</f>
        <v>Zona F - Negrete</v>
      </c>
      <c r="W519" t="s">
        <v>1743</v>
      </c>
      <c r="X519" t="s">
        <v>1041</v>
      </c>
      <c r="Y519" t="s">
        <v>1248</v>
      </c>
      <c r="Z519" t="s">
        <v>1248</v>
      </c>
      <c r="AA519" s="49" t="str">
        <f t="shared" si="16"/>
        <v>Provincia de Biobío</v>
      </c>
      <c r="AB519">
        <v>4.8</v>
      </c>
      <c r="AC519">
        <v>0.94</v>
      </c>
    </row>
    <row r="520" spans="18:29" x14ac:dyDescent="0.45">
      <c r="R520" t="s">
        <v>1127</v>
      </c>
      <c r="V520" t="str">
        <f>condiciones_comuna[[#This Row],[Zona Térmica]]&amp;" - "&amp;condiciones_comuna[[#This Row],[Comuna / localidad]]</f>
        <v>Zona F - Ninhue</v>
      </c>
      <c r="W520" t="s">
        <v>1743</v>
      </c>
      <c r="X520" t="s">
        <v>1043</v>
      </c>
      <c r="Y520" t="s">
        <v>1248</v>
      </c>
      <c r="Z520" t="s">
        <v>1248</v>
      </c>
      <c r="AA520" s="49" t="s">
        <v>577</v>
      </c>
      <c r="AB520">
        <v>3.8</v>
      </c>
      <c r="AC520">
        <v>0.94</v>
      </c>
    </row>
    <row r="521" spans="18:29" x14ac:dyDescent="0.45">
      <c r="R521" t="s">
        <v>1138</v>
      </c>
      <c r="V521" t="str">
        <f>condiciones_comuna[[#This Row],[Zona Térmica]]&amp;" - "&amp;condiciones_comuna[[#This Row],[Comuna / localidad]]</f>
        <v>Zona F - Nueva Imperial</v>
      </c>
      <c r="W521" t="s">
        <v>1743</v>
      </c>
      <c r="X521" t="s">
        <v>1046</v>
      </c>
      <c r="Y521" t="s">
        <v>1248</v>
      </c>
      <c r="Z521" t="s">
        <v>1248</v>
      </c>
      <c r="AA521" s="49" t="s">
        <v>577</v>
      </c>
      <c r="AB521">
        <v>3.8</v>
      </c>
      <c r="AC521">
        <v>0.94</v>
      </c>
    </row>
    <row r="522" spans="18:29" x14ac:dyDescent="0.45">
      <c r="R522" t="s">
        <v>1140</v>
      </c>
      <c r="V522" t="str">
        <f>condiciones_comuna[[#This Row],[Zona Térmica]]&amp;" - "&amp;condiciones_comuna[[#This Row],[Comuna / localidad]]</f>
        <v>Zona F - Ñiquén</v>
      </c>
      <c r="W522" t="s">
        <v>1743</v>
      </c>
      <c r="X522" t="s">
        <v>1048</v>
      </c>
      <c r="Y522" t="s">
        <v>1248</v>
      </c>
      <c r="Z522" t="s">
        <v>1248</v>
      </c>
      <c r="AA522" s="49" t="s">
        <v>577</v>
      </c>
      <c r="AB522">
        <v>3.8</v>
      </c>
      <c r="AC522">
        <v>0.94</v>
      </c>
    </row>
    <row r="523" spans="18:29" x14ac:dyDescent="0.45">
      <c r="R523" s="193" t="s">
        <v>1165</v>
      </c>
      <c r="V523" t="str">
        <f>condiciones_comuna[[#This Row],[Zona Térmica]]&amp;" - "&amp;condiciones_comuna[[#This Row],[Comuna / localidad]]</f>
        <v>Zona F - Padre Las Casas</v>
      </c>
      <c r="W523" t="s">
        <v>1743</v>
      </c>
      <c r="X523" t="s">
        <v>1056</v>
      </c>
      <c r="Y523" t="s">
        <v>1248</v>
      </c>
      <c r="Z523" t="s">
        <v>1248</v>
      </c>
      <c r="AA523" s="49" t="s">
        <v>577</v>
      </c>
      <c r="AB523">
        <v>3.8</v>
      </c>
      <c r="AC523">
        <v>0.94</v>
      </c>
    </row>
    <row r="524" spans="18:29" x14ac:dyDescent="0.45">
      <c r="R524" t="s">
        <v>819</v>
      </c>
      <c r="V524" t="str">
        <f>condiciones_comuna[[#This Row],[Zona Térmica]]&amp;" - "&amp;condiciones_comuna[[#This Row],[Comuna / localidad]]</f>
        <v>Zona F - Paillaco</v>
      </c>
      <c r="W524" t="s">
        <v>1743</v>
      </c>
      <c r="X524" t="s">
        <v>1059</v>
      </c>
      <c r="Y524" t="s">
        <v>1248</v>
      </c>
      <c r="Z524" t="s">
        <v>1248</v>
      </c>
      <c r="AA524" s="49" t="s">
        <v>577</v>
      </c>
      <c r="AB524">
        <v>3.8</v>
      </c>
      <c r="AC524">
        <v>0.94</v>
      </c>
    </row>
    <row r="525" spans="18:29" x14ac:dyDescent="0.45">
      <c r="R525" t="s">
        <v>922</v>
      </c>
      <c r="V525" t="str">
        <f>condiciones_comuna[[#This Row],[Zona Térmica]]&amp;" - "&amp;condiciones_comuna[[#This Row],[Comuna / localidad]]</f>
        <v>Zona F - Panguipulli</v>
      </c>
      <c r="W525" t="s">
        <v>1743</v>
      </c>
      <c r="X525" t="s">
        <v>1062</v>
      </c>
      <c r="Y525" t="s">
        <v>1248</v>
      </c>
      <c r="Z525" t="s">
        <v>1248</v>
      </c>
      <c r="AA525" s="49" t="s">
        <v>577</v>
      </c>
      <c r="AB525">
        <v>3.8</v>
      </c>
      <c r="AC525">
        <v>0.94</v>
      </c>
    </row>
    <row r="526" spans="18:29" x14ac:dyDescent="0.45">
      <c r="R526" t="s">
        <v>933</v>
      </c>
      <c r="V526" t="str">
        <f>condiciones_comuna[[#This Row],[Zona Térmica]]&amp;" - "&amp;condiciones_comuna[[#This Row],[Comuna / localidad]]</f>
        <v>Zona F - Pemuco</v>
      </c>
      <c r="W526" t="s">
        <v>1743</v>
      </c>
      <c r="X526" t="s">
        <v>1061</v>
      </c>
      <c r="Y526" t="s">
        <v>1248</v>
      </c>
      <c r="Z526" t="s">
        <v>1248</v>
      </c>
      <c r="AA526" s="49" t="s">
        <v>577</v>
      </c>
      <c r="AB526">
        <v>3.8</v>
      </c>
      <c r="AC526">
        <v>0.94</v>
      </c>
    </row>
    <row r="527" spans="18:29" x14ac:dyDescent="0.45">
      <c r="R527" t="s">
        <v>1060</v>
      </c>
      <c r="V527" t="str">
        <f>condiciones_comuna[[#This Row],[Zona Térmica]]&amp;" - "&amp;condiciones_comuna[[#This Row],[Comuna / localidad]]</f>
        <v>Zona F - Perquenco</v>
      </c>
      <c r="W527" t="s">
        <v>1743</v>
      </c>
      <c r="X527" t="s">
        <v>1079</v>
      </c>
      <c r="Y527" t="s">
        <v>1248</v>
      </c>
      <c r="Z527" t="s">
        <v>1248</v>
      </c>
      <c r="AA527" s="49" t="s">
        <v>577</v>
      </c>
      <c r="AB527">
        <v>3.8</v>
      </c>
      <c r="AC527">
        <v>0.94</v>
      </c>
    </row>
    <row r="528" spans="18:29" x14ac:dyDescent="0.45">
      <c r="R528" s="1" t="s">
        <v>1166</v>
      </c>
      <c r="V528" t="str">
        <f>condiciones_comuna[[#This Row],[Zona Térmica]]&amp;" - "&amp;condiciones_comuna[[#This Row],[Comuna / localidad]]</f>
        <v>Zona F - Pinto</v>
      </c>
      <c r="W528" t="s">
        <v>1743</v>
      </c>
      <c r="X528" t="s">
        <v>1064</v>
      </c>
      <c r="Y528" t="s">
        <v>1248</v>
      </c>
      <c r="Z528" t="s">
        <v>1683</v>
      </c>
      <c r="AA528" s="49" t="s">
        <v>577</v>
      </c>
      <c r="AB528">
        <v>3.8</v>
      </c>
      <c r="AC528">
        <v>0.94</v>
      </c>
    </row>
    <row r="529" spans="18:29" x14ac:dyDescent="0.45">
      <c r="R529" s="193" t="s">
        <v>1167</v>
      </c>
      <c r="V529" t="str">
        <f>condiciones_comuna[[#This Row],[Zona Térmica]]&amp;" - "&amp;condiciones_comuna[[#This Row],[Comuna / localidad]]</f>
        <v>Zona F - Pitrufquén</v>
      </c>
      <c r="W529" t="s">
        <v>1743</v>
      </c>
      <c r="X529" t="s">
        <v>1084</v>
      </c>
      <c r="Y529" t="s">
        <v>1248</v>
      </c>
      <c r="Z529" t="s">
        <v>1248</v>
      </c>
      <c r="AA529" s="49" t="s">
        <v>577</v>
      </c>
      <c r="AB529">
        <v>3.8</v>
      </c>
      <c r="AC529">
        <v>0.94</v>
      </c>
    </row>
    <row r="530" spans="18:29" x14ac:dyDescent="0.45">
      <c r="R530" t="s">
        <v>766</v>
      </c>
      <c r="V530" t="str">
        <f>condiciones_comuna[[#This Row],[Zona Térmica]]&amp;" - "&amp;condiciones_comuna[[#This Row],[Comuna / localidad]]</f>
        <v>Zona F - Portezuelo</v>
      </c>
      <c r="W530" t="s">
        <v>1743</v>
      </c>
      <c r="X530" t="s">
        <v>1069</v>
      </c>
      <c r="Y530" t="s">
        <v>1248</v>
      </c>
      <c r="Z530" t="s">
        <v>1248</v>
      </c>
      <c r="AA530" s="49" t="s">
        <v>577</v>
      </c>
      <c r="AB530">
        <v>3.8</v>
      </c>
      <c r="AC530">
        <v>0.94</v>
      </c>
    </row>
    <row r="531" spans="18:29" x14ac:dyDescent="0.45">
      <c r="R531" t="s">
        <v>838</v>
      </c>
      <c r="V531" t="str">
        <f>condiciones_comuna[[#This Row],[Zona Térmica]]&amp;" - "&amp;condiciones_comuna[[#This Row],[Comuna / localidad]]</f>
        <v>Zona F - Purén</v>
      </c>
      <c r="W531" t="s">
        <v>1743</v>
      </c>
      <c r="X531" t="s">
        <v>1100</v>
      </c>
      <c r="Y531" t="s">
        <v>1248</v>
      </c>
      <c r="Z531" t="s">
        <v>1248</v>
      </c>
      <c r="AA531" s="49" t="str">
        <f>+"Provincia de Malleco"</f>
        <v>Provincia de Malleco</v>
      </c>
      <c r="AB531">
        <v>4.2</v>
      </c>
      <c r="AC531">
        <v>0.94</v>
      </c>
    </row>
    <row r="532" spans="18:29" x14ac:dyDescent="0.45">
      <c r="R532" t="s">
        <v>930</v>
      </c>
      <c r="V532" t="str">
        <f>condiciones_comuna[[#This Row],[Zona Térmica]]&amp;" - "&amp;condiciones_comuna[[#This Row],[Comuna / localidad]]</f>
        <v>Zona F - Quilaco</v>
      </c>
      <c r="W532" t="s">
        <v>1743</v>
      </c>
      <c r="X532" t="s">
        <v>1090</v>
      </c>
      <c r="Y532" t="s">
        <v>1248</v>
      </c>
      <c r="Z532" t="s">
        <v>1248</v>
      </c>
      <c r="AA532" s="49" t="str">
        <f t="shared" ref="AA532:AA533" si="17">+"Provincia de Biobío"</f>
        <v>Provincia de Biobío</v>
      </c>
      <c r="AB532">
        <v>4.8</v>
      </c>
      <c r="AC532">
        <v>0.94</v>
      </c>
    </row>
    <row r="533" spans="18:29" x14ac:dyDescent="0.45">
      <c r="R533" s="193" t="s">
        <v>1168</v>
      </c>
      <c r="V533" t="str">
        <f>condiciones_comuna[[#This Row],[Zona Térmica]]&amp;" - "&amp;condiciones_comuna[[#This Row],[Comuna / localidad]]</f>
        <v>Zona F - Quilleco</v>
      </c>
      <c r="W533" t="s">
        <v>1743</v>
      </c>
      <c r="X533" t="s">
        <v>1091</v>
      </c>
      <c r="Y533" t="s">
        <v>1248</v>
      </c>
      <c r="Z533" t="s">
        <v>1683</v>
      </c>
      <c r="AA533" s="49" t="str">
        <f t="shared" si="17"/>
        <v>Provincia de Biobío</v>
      </c>
      <c r="AB533">
        <v>4.8</v>
      </c>
      <c r="AC533">
        <v>0.94</v>
      </c>
    </row>
    <row r="534" spans="18:29" x14ac:dyDescent="0.45">
      <c r="R534" t="s">
        <v>585</v>
      </c>
      <c r="V534" t="str">
        <f>condiciones_comuna[[#This Row],[Zona Térmica]]&amp;" - "&amp;condiciones_comuna[[#This Row],[Comuna / localidad]]</f>
        <v>Zona F - Quillón</v>
      </c>
      <c r="W534" t="s">
        <v>1743</v>
      </c>
      <c r="X534" t="s">
        <v>1065</v>
      </c>
      <c r="Y534" t="s">
        <v>1248</v>
      </c>
      <c r="Z534" t="s">
        <v>1248</v>
      </c>
      <c r="AA534" s="49" t="s">
        <v>577</v>
      </c>
      <c r="AB534">
        <v>3.8</v>
      </c>
      <c r="AC534">
        <v>0.94</v>
      </c>
    </row>
    <row r="535" spans="18:29" x14ac:dyDescent="0.45">
      <c r="R535" t="s">
        <v>1049</v>
      </c>
      <c r="V535" t="str">
        <f>condiciones_comuna[[#This Row],[Zona Térmica]]&amp;" - "&amp;condiciones_comuna[[#This Row],[Comuna / localidad]]</f>
        <v>Zona F - Ránquil</v>
      </c>
      <c r="W535" t="s">
        <v>1743</v>
      </c>
      <c r="X535" t="s">
        <v>1071</v>
      </c>
      <c r="Y535" t="s">
        <v>1248</v>
      </c>
      <c r="Z535" t="s">
        <v>1248</v>
      </c>
      <c r="AA535" s="49" t="s">
        <v>577</v>
      </c>
      <c r="AB535">
        <v>3.8</v>
      </c>
      <c r="AC535">
        <v>0.94</v>
      </c>
    </row>
    <row r="536" spans="18:29" x14ac:dyDescent="0.45">
      <c r="R536" t="s">
        <v>1148</v>
      </c>
      <c r="V536" t="str">
        <f>condiciones_comuna[[#This Row],[Zona Térmica]]&amp;" - "&amp;condiciones_comuna[[#This Row],[Comuna / localidad]]</f>
        <v>Zona F - Renaico</v>
      </c>
      <c r="W536" t="s">
        <v>1743</v>
      </c>
      <c r="X536" t="s">
        <v>1117</v>
      </c>
      <c r="Y536" t="s">
        <v>1248</v>
      </c>
      <c r="Z536" t="s">
        <v>1248</v>
      </c>
      <c r="AA536" s="49" t="str">
        <f>+"Provincia de Malleco"</f>
        <v>Provincia de Malleco</v>
      </c>
      <c r="AB536">
        <v>4.2</v>
      </c>
      <c r="AC536">
        <v>0.94</v>
      </c>
    </row>
    <row r="537" spans="18:29" x14ac:dyDescent="0.45">
      <c r="R537" s="193" t="s">
        <v>1169</v>
      </c>
      <c r="V537" t="str">
        <f>condiciones_comuna[[#This Row],[Zona Térmica]]&amp;" - "&amp;condiciones_comuna[[#This Row],[Comuna / localidad]]</f>
        <v>Zona F - Río Bueno</v>
      </c>
      <c r="W537" t="s">
        <v>1743</v>
      </c>
      <c r="X537" t="s">
        <v>1123</v>
      </c>
      <c r="Y537" t="s">
        <v>1248</v>
      </c>
      <c r="Z537" t="s">
        <v>1248</v>
      </c>
      <c r="AA537" s="49" t="s">
        <v>577</v>
      </c>
      <c r="AB537">
        <v>3.8</v>
      </c>
      <c r="AC537">
        <v>0.94</v>
      </c>
    </row>
    <row r="538" spans="18:29" x14ac:dyDescent="0.45">
      <c r="R538" t="s">
        <v>576</v>
      </c>
      <c r="V538" t="str">
        <f>condiciones_comuna[[#This Row],[Zona Térmica]]&amp;" - "&amp;condiciones_comuna[[#This Row],[Comuna / localidad]]</f>
        <v>Zona F - San Carlos</v>
      </c>
      <c r="W538" t="s">
        <v>1743</v>
      </c>
      <c r="X538" t="s">
        <v>1078</v>
      </c>
      <c r="Y538" t="s">
        <v>1248</v>
      </c>
      <c r="Z538" t="s">
        <v>1248</v>
      </c>
      <c r="AA538" s="49" t="s">
        <v>577</v>
      </c>
      <c r="AB538">
        <v>3.8</v>
      </c>
      <c r="AC538">
        <v>0.94</v>
      </c>
    </row>
    <row r="539" spans="18:29" x14ac:dyDescent="0.45">
      <c r="R539" t="s">
        <v>971</v>
      </c>
      <c r="V539" t="str">
        <f>condiciones_comuna[[#This Row],[Zona Térmica]]&amp;" - "&amp;condiciones_comuna[[#This Row],[Comuna / localidad]]</f>
        <v>Zona F - San Fabián</v>
      </c>
      <c r="W539" t="s">
        <v>1743</v>
      </c>
      <c r="X539" t="s">
        <v>1080</v>
      </c>
      <c r="Y539" t="s">
        <v>1248</v>
      </c>
      <c r="Z539" t="s">
        <v>1683</v>
      </c>
      <c r="AA539" s="49" t="s">
        <v>577</v>
      </c>
      <c r="AB539">
        <v>3.8</v>
      </c>
      <c r="AC539">
        <v>0.94</v>
      </c>
    </row>
    <row r="540" spans="18:29" x14ac:dyDescent="0.45">
      <c r="R540" s="193" t="s">
        <v>1170</v>
      </c>
      <c r="V540" t="str">
        <f>condiciones_comuna[[#This Row],[Zona Térmica]]&amp;" - "&amp;condiciones_comuna[[#This Row],[Comuna / localidad]]</f>
        <v>Zona F - San Ignacio</v>
      </c>
      <c r="W540" t="s">
        <v>1743</v>
      </c>
      <c r="X540" t="s">
        <v>1066</v>
      </c>
      <c r="Y540" t="s">
        <v>1248</v>
      </c>
      <c r="Z540" t="s">
        <v>1248</v>
      </c>
      <c r="AA540" s="49" t="s">
        <v>577</v>
      </c>
      <c r="AB540">
        <v>3.8</v>
      </c>
      <c r="AC540">
        <v>0.94</v>
      </c>
    </row>
    <row r="541" spans="18:29" x14ac:dyDescent="0.45">
      <c r="R541" t="s">
        <v>582</v>
      </c>
      <c r="V541" t="str">
        <f>condiciones_comuna[[#This Row],[Zona Térmica]]&amp;" - "&amp;condiciones_comuna[[#This Row],[Comuna / localidad]]</f>
        <v>Zona F - San Nicolás</v>
      </c>
      <c r="W541" t="s">
        <v>1743</v>
      </c>
      <c r="X541" t="s">
        <v>1081</v>
      </c>
      <c r="Y541" t="s">
        <v>1248</v>
      </c>
      <c r="Z541" t="s">
        <v>1248</v>
      </c>
      <c r="AA541" s="49" t="s">
        <v>577</v>
      </c>
      <c r="AB541">
        <v>3.8</v>
      </c>
      <c r="AC541">
        <v>0.94</v>
      </c>
    </row>
    <row r="542" spans="18:29" x14ac:dyDescent="0.45">
      <c r="R542" t="s">
        <v>1126</v>
      </c>
      <c r="V542" t="str">
        <f>condiciones_comuna[[#This Row],[Zona Térmica]]&amp;" - "&amp;condiciones_comuna[[#This Row],[Comuna / localidad]]</f>
        <v>Zona F - San Rosendo</v>
      </c>
      <c r="W542" t="s">
        <v>1743</v>
      </c>
      <c r="X542" t="s">
        <v>1092</v>
      </c>
      <c r="Y542" t="s">
        <v>1248</v>
      </c>
      <c r="Z542" t="s">
        <v>1248</v>
      </c>
      <c r="AA542" s="49" t="str">
        <f t="shared" ref="AA542:AA543" si="18">+"Provincia de Biobío"</f>
        <v>Provincia de Biobío</v>
      </c>
      <c r="AB542">
        <v>4.8</v>
      </c>
      <c r="AC542">
        <v>0.94</v>
      </c>
    </row>
    <row r="543" spans="18:29" x14ac:dyDescent="0.45">
      <c r="R543" s="1" t="s">
        <v>1171</v>
      </c>
      <c r="V543" t="str">
        <f>condiciones_comuna[[#This Row],[Zona Térmica]]&amp;" - "&amp;condiciones_comuna[[#This Row],[Comuna / localidad]]</f>
        <v>Zona F - Santa Bárbara</v>
      </c>
      <c r="W543" t="s">
        <v>1743</v>
      </c>
      <c r="X543" t="s">
        <v>1094</v>
      </c>
      <c r="Y543" t="s">
        <v>1248</v>
      </c>
      <c r="Z543" t="s">
        <v>1683</v>
      </c>
      <c r="AA543" s="49" t="str">
        <f t="shared" si="18"/>
        <v>Provincia de Biobío</v>
      </c>
      <c r="AB543">
        <v>4.8</v>
      </c>
      <c r="AC543">
        <v>0.94</v>
      </c>
    </row>
    <row r="544" spans="18:29" x14ac:dyDescent="0.45">
      <c r="R544" s="193" t="s">
        <v>1172</v>
      </c>
      <c r="V544" t="str">
        <f>condiciones_comuna[[#This Row],[Zona Térmica]]&amp;" - "&amp;condiciones_comuna[[#This Row],[Comuna / localidad]]</f>
        <v>Zona F - Temuco</v>
      </c>
      <c r="W544" t="s">
        <v>1743</v>
      </c>
      <c r="X544" t="s">
        <v>557</v>
      </c>
      <c r="Y544" t="s">
        <v>1248</v>
      </c>
      <c r="Z544" t="s">
        <v>1248</v>
      </c>
      <c r="AA544" s="49" t="s">
        <v>577</v>
      </c>
      <c r="AB544">
        <v>3.8</v>
      </c>
      <c r="AC544">
        <v>0.94</v>
      </c>
    </row>
    <row r="545" spans="18:29" x14ac:dyDescent="0.45">
      <c r="R545" t="s">
        <v>774</v>
      </c>
      <c r="V545" t="str">
        <f>condiciones_comuna[[#This Row],[Zona Térmica]]&amp;" - "&amp;condiciones_comuna[[#This Row],[Comuna / localidad]]</f>
        <v>Zona F - Traiguén</v>
      </c>
      <c r="W545" t="s">
        <v>1743</v>
      </c>
      <c r="X545" t="s">
        <v>1132</v>
      </c>
      <c r="Y545" t="s">
        <v>1248</v>
      </c>
      <c r="Z545" t="s">
        <v>1248</v>
      </c>
      <c r="AA545" s="49" t="str">
        <f>+"Provincia de Malleco"</f>
        <v>Provincia de Malleco</v>
      </c>
      <c r="AB545">
        <v>4.2</v>
      </c>
      <c r="AC545">
        <v>0.94</v>
      </c>
    </row>
    <row r="546" spans="18:29" x14ac:dyDescent="0.45">
      <c r="R546" t="s">
        <v>973</v>
      </c>
      <c r="V546" t="str">
        <f>condiciones_comuna[[#This Row],[Zona Térmica]]&amp;" - "&amp;condiciones_comuna[[#This Row],[Comuna / localidad]]</f>
        <v>Zona F - Tucapel</v>
      </c>
      <c r="W546" t="s">
        <v>1743</v>
      </c>
      <c r="X546" t="s">
        <v>1096</v>
      </c>
      <c r="Y546" t="s">
        <v>1248</v>
      </c>
      <c r="Z546" t="s">
        <v>1683</v>
      </c>
      <c r="AA546" s="49" t="str">
        <f>+"Provincia de Biobío"</f>
        <v>Provincia de Biobío</v>
      </c>
      <c r="AB546">
        <v>4.8</v>
      </c>
      <c r="AC546">
        <v>0.94</v>
      </c>
    </row>
    <row r="547" spans="18:29" x14ac:dyDescent="0.45">
      <c r="R547" t="s">
        <v>587</v>
      </c>
      <c r="V547" t="str">
        <f>condiciones_comuna[[#This Row],[Zona Térmica]]&amp;" - "&amp;condiciones_comuna[[#This Row],[Comuna / localidad]]</f>
        <v>Zona F - Victoria</v>
      </c>
      <c r="W547" t="s">
        <v>1743</v>
      </c>
      <c r="X547" t="s">
        <v>1133</v>
      </c>
      <c r="Y547" t="s">
        <v>1248</v>
      </c>
      <c r="Z547" t="s">
        <v>1248</v>
      </c>
      <c r="AA547" s="49" t="str">
        <f>+"Provincia de Malleco"</f>
        <v>Provincia de Malleco</v>
      </c>
      <c r="AB547">
        <v>4.2</v>
      </c>
      <c r="AC547">
        <v>0.94</v>
      </c>
    </row>
    <row r="548" spans="18:29" x14ac:dyDescent="0.45">
      <c r="R548" t="s">
        <v>1129</v>
      </c>
      <c r="V548" t="str">
        <f>condiciones_comuna[[#This Row],[Zona Térmica]]&amp;" - "&amp;condiciones_comuna[[#This Row],[Comuna / localidad]]</f>
        <v>Zona F - Vilcún</v>
      </c>
      <c r="W548" t="s">
        <v>1743</v>
      </c>
      <c r="X548" t="s">
        <v>1122</v>
      </c>
      <c r="Y548" t="s">
        <v>1248</v>
      </c>
      <c r="Z548" t="s">
        <v>1248</v>
      </c>
      <c r="AA548" s="49" t="s">
        <v>577</v>
      </c>
      <c r="AB548">
        <v>3.8</v>
      </c>
      <c r="AC548">
        <v>0.94</v>
      </c>
    </row>
    <row r="549" spans="18:29" x14ac:dyDescent="0.45">
      <c r="R549" t="s">
        <v>1137</v>
      </c>
      <c r="V549" t="str">
        <f>condiciones_comuna[[#This Row],[Zona Térmica]]&amp;" - "&amp;condiciones_comuna[[#This Row],[Comuna / localidad]]</f>
        <v>Zona F - Villarrica</v>
      </c>
      <c r="W549" t="s">
        <v>1743</v>
      </c>
      <c r="X549" t="s">
        <v>1124</v>
      </c>
      <c r="Y549" t="s">
        <v>1248</v>
      </c>
      <c r="Z549" t="s">
        <v>1248</v>
      </c>
      <c r="AA549" s="49" t="s">
        <v>577</v>
      </c>
      <c r="AB549">
        <v>3.8</v>
      </c>
      <c r="AC549">
        <v>0.94</v>
      </c>
    </row>
    <row r="550" spans="18:29" x14ac:dyDescent="0.45">
      <c r="R550" s="193" t="s">
        <v>1173</v>
      </c>
      <c r="V550" t="str">
        <f>condiciones_comuna[[#This Row],[Zona Térmica]]&amp;" - "&amp;condiciones_comuna[[#This Row],[Comuna / localidad]]</f>
        <v>Zona F - Yumbel</v>
      </c>
      <c r="W550" t="s">
        <v>1743</v>
      </c>
      <c r="X550" t="s">
        <v>1098</v>
      </c>
      <c r="Y550" t="s">
        <v>1248</v>
      </c>
      <c r="Z550" t="s">
        <v>1248</v>
      </c>
      <c r="AA550" s="49" t="str">
        <f>+"Provincia de Biobío"</f>
        <v>Provincia de Biobío</v>
      </c>
      <c r="AB550">
        <v>4.8</v>
      </c>
      <c r="AC550">
        <v>0.94</v>
      </c>
    </row>
    <row r="551" spans="18:29" x14ac:dyDescent="0.45">
      <c r="R551" t="s">
        <v>1086</v>
      </c>
      <c r="V551" t="str">
        <f>condiciones_comuna[[#This Row],[Zona Térmica]]&amp;" - "&amp;condiciones_comuna[[#This Row],[Comuna / localidad]]</f>
        <v>Zona F - Yungay</v>
      </c>
      <c r="W551" t="s">
        <v>1743</v>
      </c>
      <c r="X551" t="s">
        <v>1067</v>
      </c>
      <c r="Y551" t="s">
        <v>1248</v>
      </c>
      <c r="Z551" t="s">
        <v>1683</v>
      </c>
      <c r="AA551" s="49" t="s">
        <v>577</v>
      </c>
      <c r="AB551">
        <v>3.8</v>
      </c>
      <c r="AC551">
        <v>0.94</v>
      </c>
    </row>
    <row r="552" spans="18:29" x14ac:dyDescent="0.45">
      <c r="R552" t="s">
        <v>1087</v>
      </c>
      <c r="V552" t="str">
        <f>condiciones_comuna[[#This Row],[Zona Térmica]]&amp;" - "&amp;condiciones_comuna[[#This Row],[Comuna / localidad]]</f>
        <v>Zona G - Todas las comunas</v>
      </c>
      <c r="W552" t="s">
        <v>1744</v>
      </c>
      <c r="X552" t="s">
        <v>1685</v>
      </c>
      <c r="Y552" t="s">
        <v>1248</v>
      </c>
      <c r="Z552" t="s">
        <v>1248</v>
      </c>
      <c r="AA552" s="356" t="str">
        <f t="shared" ref="AA552:AA585" si="19">+"Provincia de Valdivia"</f>
        <v>Provincia de Valdivia</v>
      </c>
      <c r="AB552">
        <v>3.5</v>
      </c>
      <c r="AC552">
        <v>0.98</v>
      </c>
    </row>
    <row r="553" spans="18:29" x14ac:dyDescent="0.45">
      <c r="R553" t="s">
        <v>1145</v>
      </c>
      <c r="V553" t="str">
        <f>condiciones_comuna[[#This Row],[Zona Térmica]]&amp;" - "&amp;condiciones_comuna[[#This Row],[Comuna / localidad]]</f>
        <v>Zona G - Ancud</v>
      </c>
      <c r="W553" t="s">
        <v>1744</v>
      </c>
      <c r="X553" t="s">
        <v>749</v>
      </c>
      <c r="Y553" t="s">
        <v>1248</v>
      </c>
      <c r="Z553" t="s">
        <v>1248</v>
      </c>
      <c r="AA553" s="49" t="str">
        <f t="shared" si="19"/>
        <v>Provincia de Valdivia</v>
      </c>
      <c r="AB553">
        <v>3.5</v>
      </c>
      <c r="AC553">
        <v>0.98</v>
      </c>
    </row>
    <row r="554" spans="18:29" x14ac:dyDescent="0.45">
      <c r="R554" s="193" t="s">
        <v>1174</v>
      </c>
      <c r="V554" t="str">
        <f>condiciones_comuna[[#This Row],[Zona Térmica]]&amp;" - "&amp;condiciones_comuna[[#This Row],[Comuna / localidad]]</f>
        <v>Zona G - Calbuco</v>
      </c>
      <c r="W554" t="s">
        <v>1744</v>
      </c>
      <c r="X554" t="s">
        <v>784</v>
      </c>
      <c r="Y554" t="s">
        <v>1248</v>
      </c>
      <c r="Z554" t="s">
        <v>1248</v>
      </c>
      <c r="AA554" s="49" t="str">
        <f t="shared" si="19"/>
        <v>Provincia de Valdivia</v>
      </c>
      <c r="AB554">
        <v>3.5</v>
      </c>
      <c r="AC554">
        <v>0.98</v>
      </c>
    </row>
    <row r="555" spans="18:29" x14ac:dyDescent="0.45">
      <c r="R555" t="s">
        <v>1039</v>
      </c>
      <c r="V555" t="str">
        <f>condiciones_comuna[[#This Row],[Zona Térmica]]&amp;" - "&amp;condiciones_comuna[[#This Row],[Comuna / localidad]]</f>
        <v>Zona G - Castro</v>
      </c>
      <c r="W555" t="s">
        <v>1744</v>
      </c>
      <c r="X555" t="s">
        <v>810</v>
      </c>
      <c r="Y555" t="s">
        <v>1248</v>
      </c>
      <c r="Z555" t="s">
        <v>1248</v>
      </c>
      <c r="AA555" s="49" t="str">
        <f t="shared" si="19"/>
        <v>Provincia de Valdivia</v>
      </c>
      <c r="AB555">
        <v>3.5</v>
      </c>
      <c r="AC555">
        <v>0.98</v>
      </c>
    </row>
    <row r="556" spans="18:29" x14ac:dyDescent="0.45">
      <c r="R556" t="s">
        <v>1147</v>
      </c>
      <c r="V556" t="str">
        <f>condiciones_comuna[[#This Row],[Zona Térmica]]&amp;" - "&amp;condiciones_comuna[[#This Row],[Comuna / localidad]]</f>
        <v>Zona G - Chaitén</v>
      </c>
      <c r="W556" t="s">
        <v>1744</v>
      </c>
      <c r="X556" t="s">
        <v>819</v>
      </c>
      <c r="Y556" t="s">
        <v>1248</v>
      </c>
      <c r="Z556" t="s">
        <v>1248</v>
      </c>
      <c r="AA556" s="49" t="str">
        <f t="shared" si="19"/>
        <v>Provincia de Valdivia</v>
      </c>
      <c r="AB556">
        <v>3.5</v>
      </c>
      <c r="AC556">
        <v>0.98</v>
      </c>
    </row>
    <row r="557" spans="18:29" x14ac:dyDescent="0.45">
      <c r="R557" s="193" t="s">
        <v>1175</v>
      </c>
      <c r="V557" t="str">
        <f>condiciones_comuna[[#This Row],[Zona Térmica]]&amp;" - "&amp;condiciones_comuna[[#This Row],[Comuna / localidad]]</f>
        <v>Zona G - Chonchi</v>
      </c>
      <c r="W557" t="s">
        <v>1744</v>
      </c>
      <c r="X557" t="s">
        <v>836</v>
      </c>
      <c r="Y557" t="s">
        <v>1248</v>
      </c>
      <c r="Z557" t="s">
        <v>1248</v>
      </c>
      <c r="AA557" s="49" t="str">
        <f t="shared" si="19"/>
        <v>Provincia de Valdivia</v>
      </c>
      <c r="AB557">
        <v>3.5</v>
      </c>
      <c r="AC557">
        <v>0.98</v>
      </c>
    </row>
    <row r="558" spans="18:29" x14ac:dyDescent="0.45">
      <c r="R558" t="s">
        <v>757</v>
      </c>
      <c r="V558" t="str">
        <f>condiciones_comuna[[#This Row],[Zona Térmica]]&amp;" - "&amp;condiciones_comuna[[#This Row],[Comuna / localidad]]</f>
        <v>Zona G - Cochamó</v>
      </c>
      <c r="W558" t="s">
        <v>1744</v>
      </c>
      <c r="X558" t="s">
        <v>844</v>
      </c>
      <c r="Y558" t="s">
        <v>1248</v>
      </c>
      <c r="Z558" t="s">
        <v>1248</v>
      </c>
      <c r="AA558" s="49" t="str">
        <f t="shared" si="19"/>
        <v>Provincia de Valdivia</v>
      </c>
      <c r="AB558">
        <v>3.5</v>
      </c>
      <c r="AC558">
        <v>0.98</v>
      </c>
    </row>
    <row r="559" spans="18:29" x14ac:dyDescent="0.45">
      <c r="V559" t="str">
        <f>condiciones_comuna[[#This Row],[Zona Térmica]]&amp;" - "&amp;condiciones_comuna[[#This Row],[Comuna / localidad]]</f>
        <v>Zona G - Corral</v>
      </c>
      <c r="W559" t="s">
        <v>1744</v>
      </c>
      <c r="X559" t="s">
        <v>878</v>
      </c>
      <c r="Y559" t="s">
        <v>1248</v>
      </c>
      <c r="Z559" t="s">
        <v>1248</v>
      </c>
      <c r="AA559" s="49" t="str">
        <f t="shared" si="19"/>
        <v>Provincia de Valdivia</v>
      </c>
      <c r="AB559">
        <v>3.5</v>
      </c>
      <c r="AC559">
        <v>0.98</v>
      </c>
    </row>
    <row r="560" spans="18:29" x14ac:dyDescent="0.45">
      <c r="V560" t="str">
        <f>condiciones_comuna[[#This Row],[Zona Térmica]]&amp;" - "&amp;condiciones_comuna[[#This Row],[Comuna / localidad]]</f>
        <v>Zona G - Curaco de Vélez</v>
      </c>
      <c r="W560" t="s">
        <v>1744</v>
      </c>
      <c r="X560" t="s">
        <v>886</v>
      </c>
      <c r="Y560" t="s">
        <v>1248</v>
      </c>
      <c r="Z560" t="s">
        <v>1248</v>
      </c>
      <c r="AA560" s="49" t="str">
        <f t="shared" si="19"/>
        <v>Provincia de Valdivia</v>
      </c>
      <c r="AB560">
        <v>3.5</v>
      </c>
      <c r="AC560">
        <v>0.98</v>
      </c>
    </row>
    <row r="561" spans="22:29" x14ac:dyDescent="0.45">
      <c r="V561" t="str">
        <f>condiciones_comuna[[#This Row],[Zona Térmica]]&amp;" - "&amp;condiciones_comuna[[#This Row],[Comuna / localidad]]</f>
        <v>Zona G - Dalcahue</v>
      </c>
      <c r="W561" t="s">
        <v>1744</v>
      </c>
      <c r="X561" t="s">
        <v>893</v>
      </c>
      <c r="Y561" t="s">
        <v>1248</v>
      </c>
      <c r="Z561" t="s">
        <v>1248</v>
      </c>
      <c r="AA561" s="49" t="str">
        <f t="shared" si="19"/>
        <v>Provincia de Valdivia</v>
      </c>
      <c r="AB561">
        <v>3.5</v>
      </c>
      <c r="AC561">
        <v>0.98</v>
      </c>
    </row>
    <row r="562" spans="22:29" x14ac:dyDescent="0.45">
      <c r="V562" t="str">
        <f>condiciones_comuna[[#This Row],[Zona Térmica]]&amp;" - "&amp;condiciones_comuna[[#This Row],[Comuna / localidad]]</f>
        <v>Zona G - Fresia</v>
      </c>
      <c r="W562" t="s">
        <v>1744</v>
      </c>
      <c r="X562" t="s">
        <v>919</v>
      </c>
      <c r="Y562" t="s">
        <v>1248</v>
      </c>
      <c r="Z562" t="s">
        <v>1248</v>
      </c>
      <c r="AA562" s="49" t="str">
        <f t="shared" si="19"/>
        <v>Provincia de Valdivia</v>
      </c>
      <c r="AB562">
        <v>3.5</v>
      </c>
      <c r="AC562">
        <v>0.98</v>
      </c>
    </row>
    <row r="563" spans="22:29" x14ac:dyDescent="0.45">
      <c r="V563" t="str">
        <f>condiciones_comuna[[#This Row],[Zona Térmica]]&amp;" - "&amp;condiciones_comuna[[#This Row],[Comuna / localidad]]</f>
        <v>Zona G - Frutillar</v>
      </c>
      <c r="W563" t="s">
        <v>1744</v>
      </c>
      <c r="X563" t="s">
        <v>920</v>
      </c>
      <c r="Y563" t="s">
        <v>1248</v>
      </c>
      <c r="Z563" t="s">
        <v>1248</v>
      </c>
      <c r="AA563" s="49" t="str">
        <f t="shared" si="19"/>
        <v>Provincia de Valdivia</v>
      </c>
      <c r="AB563">
        <v>3.5</v>
      </c>
      <c r="AC563">
        <v>0.98</v>
      </c>
    </row>
    <row r="564" spans="22:29" x14ac:dyDescent="0.45">
      <c r="V564" t="str">
        <f>condiciones_comuna[[#This Row],[Zona Térmica]]&amp;" - "&amp;condiciones_comuna[[#This Row],[Comuna / localidad]]</f>
        <v>Zona G - Hualaihué</v>
      </c>
      <c r="W564" t="s">
        <v>1744</v>
      </c>
      <c r="X564" t="s">
        <v>933</v>
      </c>
      <c r="Y564" t="s">
        <v>1248</v>
      </c>
      <c r="Z564" t="s">
        <v>1248</v>
      </c>
      <c r="AA564" s="49" t="str">
        <f t="shared" si="19"/>
        <v>Provincia de Valdivia</v>
      </c>
      <c r="AB564">
        <v>3.5</v>
      </c>
      <c r="AC564">
        <v>0.98</v>
      </c>
    </row>
    <row r="565" spans="22:29" x14ac:dyDescent="0.45">
      <c r="V565" t="str">
        <f>condiciones_comuna[[#This Row],[Zona Térmica]]&amp;" - "&amp;condiciones_comuna[[#This Row],[Comuna / localidad]]</f>
        <v>Zona G - La Unión</v>
      </c>
      <c r="W565" t="s">
        <v>1744</v>
      </c>
      <c r="X565" t="s">
        <v>967</v>
      </c>
      <c r="Y565" t="s">
        <v>1687</v>
      </c>
      <c r="Z565" t="s">
        <v>1248</v>
      </c>
      <c r="AA565" s="49" t="str">
        <f t="shared" si="19"/>
        <v>Provincia de Valdivia</v>
      </c>
      <c r="AB565">
        <v>3.5</v>
      </c>
      <c r="AC565">
        <v>0.98</v>
      </c>
    </row>
    <row r="566" spans="22:29" x14ac:dyDescent="0.45">
      <c r="V566" t="str">
        <f>condiciones_comuna[[#This Row],[Zona Térmica]]&amp;" - "&amp;condiciones_comuna[[#This Row],[Comuna / localidad]]</f>
        <v>Zona G - Llanquihue</v>
      </c>
      <c r="W566" t="s">
        <v>1744</v>
      </c>
      <c r="X566" t="s">
        <v>990</v>
      </c>
      <c r="Y566" t="s">
        <v>1248</v>
      </c>
      <c r="Z566" t="s">
        <v>1248</v>
      </c>
      <c r="AA566" s="49" t="str">
        <f t="shared" si="19"/>
        <v>Provincia de Valdivia</v>
      </c>
      <c r="AB566">
        <v>3.5</v>
      </c>
      <c r="AC566">
        <v>0.98</v>
      </c>
    </row>
    <row r="567" spans="22:29" x14ac:dyDescent="0.45">
      <c r="V567" t="str">
        <f>condiciones_comuna[[#This Row],[Zona Térmica]]&amp;" - "&amp;condiciones_comuna[[#This Row],[Comuna / localidad]]</f>
        <v>Zona G - Los Muermos</v>
      </c>
      <c r="W567" t="s">
        <v>1744</v>
      </c>
      <c r="X567" t="s">
        <v>1008</v>
      </c>
      <c r="Y567" t="s">
        <v>1248</v>
      </c>
      <c r="Z567" t="s">
        <v>1248</v>
      </c>
      <c r="AA567" s="49" t="str">
        <f t="shared" si="19"/>
        <v>Provincia de Valdivia</v>
      </c>
      <c r="AB567">
        <v>3.5</v>
      </c>
      <c r="AC567">
        <v>0.98</v>
      </c>
    </row>
    <row r="568" spans="22:29" x14ac:dyDescent="0.45">
      <c r="V568" t="str">
        <f>condiciones_comuna[[#This Row],[Zona Térmica]]&amp;" - "&amp;condiciones_comuna[[#This Row],[Comuna / localidad]]</f>
        <v>Zona G - Máfil</v>
      </c>
      <c r="W568" t="s">
        <v>1744</v>
      </c>
      <c r="X568" t="s">
        <v>1017</v>
      </c>
      <c r="Y568" t="s">
        <v>1248</v>
      </c>
      <c r="Z568" t="s">
        <v>1248</v>
      </c>
      <c r="AA568" s="49" t="str">
        <f t="shared" si="19"/>
        <v>Provincia de Valdivia</v>
      </c>
      <c r="AB568">
        <v>3.5</v>
      </c>
      <c r="AC568">
        <v>0.98</v>
      </c>
    </row>
    <row r="569" spans="22:29" x14ac:dyDescent="0.45">
      <c r="V569" t="str">
        <f>condiciones_comuna[[#This Row],[Zona Térmica]]&amp;" - "&amp;condiciones_comuna[[#This Row],[Comuna / localidad]]</f>
        <v>Zona G - Mariquina</v>
      </c>
      <c r="W569" t="s">
        <v>1744</v>
      </c>
      <c r="X569" t="s">
        <v>1023</v>
      </c>
      <c r="Y569" t="s">
        <v>1248</v>
      </c>
      <c r="Z569" t="s">
        <v>1248</v>
      </c>
      <c r="AA569" s="49" t="str">
        <f t="shared" si="19"/>
        <v>Provincia de Valdivia</v>
      </c>
      <c r="AB569">
        <v>3.5</v>
      </c>
      <c r="AC569">
        <v>0.98</v>
      </c>
    </row>
    <row r="570" spans="22:29" x14ac:dyDescent="0.45">
      <c r="V570" t="str">
        <f>condiciones_comuna[[#This Row],[Zona Térmica]]&amp;" - "&amp;condiciones_comuna[[#This Row],[Comuna / localidad]]</f>
        <v>Zona G - Maullín</v>
      </c>
      <c r="W570" t="s">
        <v>1744</v>
      </c>
      <c r="X570" t="s">
        <v>1026</v>
      </c>
      <c r="Y570" t="s">
        <v>1248</v>
      </c>
      <c r="Z570" t="s">
        <v>1248</v>
      </c>
      <c r="AA570" s="49" t="str">
        <f t="shared" si="19"/>
        <v>Provincia de Valdivia</v>
      </c>
      <c r="AB570">
        <v>3.5</v>
      </c>
      <c r="AC570">
        <v>0.98</v>
      </c>
    </row>
    <row r="571" spans="22:29" x14ac:dyDescent="0.45">
      <c r="V571" t="str">
        <f>condiciones_comuna[[#This Row],[Zona Térmica]]&amp;" - "&amp;condiciones_comuna[[#This Row],[Comuna / localidad]]</f>
        <v>Zona G - Osorno</v>
      </c>
      <c r="W571" t="s">
        <v>1744</v>
      </c>
      <c r="X571" t="s">
        <v>561</v>
      </c>
      <c r="Y571" t="s">
        <v>1248</v>
      </c>
      <c r="Z571" t="s">
        <v>1248</v>
      </c>
      <c r="AA571" s="49" t="str">
        <f t="shared" si="19"/>
        <v>Provincia de Valdivia</v>
      </c>
      <c r="AB571">
        <v>3.5</v>
      </c>
      <c r="AC571">
        <v>0.98</v>
      </c>
    </row>
    <row r="572" spans="22:29" x14ac:dyDescent="0.45">
      <c r="V572" t="str">
        <f>condiciones_comuna[[#This Row],[Zona Térmica]]&amp;" - "&amp;condiciones_comuna[[#This Row],[Comuna / localidad]]</f>
        <v>Zona G - Puerto Montt</v>
      </c>
      <c r="W572" t="s">
        <v>1744</v>
      </c>
      <c r="X572" t="s">
        <v>566</v>
      </c>
      <c r="Y572" t="s">
        <v>1248</v>
      </c>
      <c r="Z572" t="s">
        <v>1248</v>
      </c>
      <c r="AA572" s="49" t="str">
        <f t="shared" si="19"/>
        <v>Provincia de Valdivia</v>
      </c>
      <c r="AB572">
        <v>3.5</v>
      </c>
      <c r="AC572">
        <v>0.98</v>
      </c>
    </row>
    <row r="573" spans="22:29" x14ac:dyDescent="0.45">
      <c r="V573" t="str">
        <f>condiciones_comuna[[#This Row],[Zona Térmica]]&amp;" - "&amp;condiciones_comuna[[#This Row],[Comuna / localidad]]</f>
        <v>Zona G - Puerto Octay</v>
      </c>
      <c r="W573" t="s">
        <v>1744</v>
      </c>
      <c r="X573" t="s">
        <v>1093</v>
      </c>
      <c r="Y573" t="s">
        <v>1248</v>
      </c>
      <c r="Z573" t="s">
        <v>1248</v>
      </c>
      <c r="AA573" s="49" t="str">
        <f t="shared" si="19"/>
        <v>Provincia de Valdivia</v>
      </c>
      <c r="AB573">
        <v>3.5</v>
      </c>
      <c r="AC573">
        <v>0.98</v>
      </c>
    </row>
    <row r="574" spans="22:29" x14ac:dyDescent="0.45">
      <c r="V574" t="str">
        <f>condiciones_comuna[[#This Row],[Zona Térmica]]&amp;" - "&amp;condiciones_comuna[[#This Row],[Comuna / localidad]]</f>
        <v>Zona G - Puerto Varas</v>
      </c>
      <c r="W574" t="s">
        <v>1744</v>
      </c>
      <c r="X574" t="s">
        <v>1095</v>
      </c>
      <c r="Y574" t="s">
        <v>1248</v>
      </c>
      <c r="Z574" t="s">
        <v>1248</v>
      </c>
      <c r="AA574" s="49" t="str">
        <f t="shared" si="19"/>
        <v>Provincia de Valdivia</v>
      </c>
      <c r="AB574">
        <v>3.5</v>
      </c>
      <c r="AC574">
        <v>0.98</v>
      </c>
    </row>
    <row r="575" spans="22:29" x14ac:dyDescent="0.45">
      <c r="V575" t="str">
        <f>condiciones_comuna[[#This Row],[Zona Térmica]]&amp;" - "&amp;condiciones_comuna[[#This Row],[Comuna / localidad]]</f>
        <v>Zona G - Puqueldón</v>
      </c>
      <c r="W575" t="s">
        <v>1744</v>
      </c>
      <c r="X575" t="s">
        <v>1099</v>
      </c>
      <c r="Y575" t="s">
        <v>1248</v>
      </c>
      <c r="Z575" t="s">
        <v>1248</v>
      </c>
      <c r="AA575" s="49" t="str">
        <f t="shared" si="19"/>
        <v>Provincia de Valdivia</v>
      </c>
      <c r="AB575">
        <v>3.5</v>
      </c>
      <c r="AC575">
        <v>0.98</v>
      </c>
    </row>
    <row r="576" spans="22:29" x14ac:dyDescent="0.45">
      <c r="V576" t="str">
        <f>condiciones_comuna[[#This Row],[Zona Térmica]]&amp;" - "&amp;condiciones_comuna[[#This Row],[Comuna / localidad]]</f>
        <v>Zona G - Purranque</v>
      </c>
      <c r="W576" t="s">
        <v>1744</v>
      </c>
      <c r="X576" t="s">
        <v>1101</v>
      </c>
      <c r="Y576" t="s">
        <v>1248</v>
      </c>
      <c r="Z576" t="s">
        <v>1248</v>
      </c>
      <c r="AA576" s="49" t="str">
        <f t="shared" si="19"/>
        <v>Provincia de Valdivia</v>
      </c>
      <c r="AB576">
        <v>3.5</v>
      </c>
      <c r="AC576">
        <v>0.98</v>
      </c>
    </row>
    <row r="577" spans="22:29" x14ac:dyDescent="0.45">
      <c r="V577" t="str">
        <f>condiciones_comuna[[#This Row],[Zona Térmica]]&amp;" - "&amp;condiciones_comuna[[#This Row],[Comuna / localidad]]</f>
        <v>Zona G - Puyehue</v>
      </c>
      <c r="W577" t="s">
        <v>1744</v>
      </c>
      <c r="X577" t="s">
        <v>1102</v>
      </c>
      <c r="Y577" t="s">
        <v>1248</v>
      </c>
      <c r="Z577" t="s">
        <v>1248</v>
      </c>
      <c r="AA577" s="49" t="str">
        <f t="shared" si="19"/>
        <v>Provincia de Valdivia</v>
      </c>
      <c r="AB577">
        <v>3.5</v>
      </c>
      <c r="AC577">
        <v>0.98</v>
      </c>
    </row>
    <row r="578" spans="22:29" x14ac:dyDescent="0.45">
      <c r="V578" t="str">
        <f>condiciones_comuna[[#This Row],[Zona Térmica]]&amp;" - "&amp;condiciones_comuna[[#This Row],[Comuna / localidad]]</f>
        <v>Zona G - Queilén</v>
      </c>
      <c r="W578" t="s">
        <v>1744</v>
      </c>
      <c r="X578" t="s">
        <v>1103</v>
      </c>
      <c r="Y578" t="s">
        <v>1248</v>
      </c>
      <c r="Z578" t="s">
        <v>1248</v>
      </c>
      <c r="AA578" s="49" t="str">
        <f t="shared" si="19"/>
        <v>Provincia de Valdivia</v>
      </c>
      <c r="AB578">
        <v>3.5</v>
      </c>
      <c r="AC578">
        <v>0.98</v>
      </c>
    </row>
    <row r="579" spans="22:29" x14ac:dyDescent="0.45">
      <c r="V579" t="str">
        <f>condiciones_comuna[[#This Row],[Zona Térmica]]&amp;" - "&amp;condiciones_comuna[[#This Row],[Comuna / localidad]]</f>
        <v>Zona G - Quellón</v>
      </c>
      <c r="W579" t="s">
        <v>1744</v>
      </c>
      <c r="X579" t="s">
        <v>1105</v>
      </c>
      <c r="Y579" t="s">
        <v>1248</v>
      </c>
      <c r="Z579" t="s">
        <v>1248</v>
      </c>
      <c r="AA579" s="49" t="str">
        <f t="shared" si="19"/>
        <v>Provincia de Valdivia</v>
      </c>
      <c r="AB579">
        <v>3.5</v>
      </c>
      <c r="AC579">
        <v>0.98</v>
      </c>
    </row>
    <row r="580" spans="22:29" x14ac:dyDescent="0.45">
      <c r="V580" t="str">
        <f>condiciones_comuna[[#This Row],[Zona Térmica]]&amp;" - "&amp;condiciones_comuna[[#This Row],[Comuna / localidad]]</f>
        <v>Zona G - Quemchi</v>
      </c>
      <c r="W580" t="s">
        <v>1744</v>
      </c>
      <c r="X580" t="s">
        <v>1107</v>
      </c>
      <c r="Y580" t="s">
        <v>1248</v>
      </c>
      <c r="Z580" t="s">
        <v>1248</v>
      </c>
      <c r="AA580" s="49" t="str">
        <f t="shared" si="19"/>
        <v>Provincia de Valdivia</v>
      </c>
      <c r="AB580">
        <v>3.5</v>
      </c>
      <c r="AC580">
        <v>0.98</v>
      </c>
    </row>
    <row r="581" spans="22:29" x14ac:dyDescent="0.45">
      <c r="V581" t="str">
        <f>condiciones_comuna[[#This Row],[Zona Térmica]]&amp;" - "&amp;condiciones_comuna[[#This Row],[Comuna / localidad]]</f>
        <v>Zona G - Quinchao</v>
      </c>
      <c r="W581" t="s">
        <v>1744</v>
      </c>
      <c r="X581" t="s">
        <v>1115</v>
      </c>
      <c r="Y581" t="s">
        <v>1248</v>
      </c>
      <c r="Z581" t="s">
        <v>1248</v>
      </c>
      <c r="AA581" s="49" t="str">
        <f t="shared" si="19"/>
        <v>Provincia de Valdivia</v>
      </c>
      <c r="AB581">
        <v>3.5</v>
      </c>
      <c r="AC581">
        <v>0.98</v>
      </c>
    </row>
    <row r="582" spans="22:29" x14ac:dyDescent="0.45">
      <c r="V582" t="str">
        <f>condiciones_comuna[[#This Row],[Zona Térmica]]&amp;" - "&amp;condiciones_comuna[[#This Row],[Comuna / localidad]]</f>
        <v>Zona G - Río Negro</v>
      </c>
      <c r="W582" t="s">
        <v>1744</v>
      </c>
      <c r="X582" t="s">
        <v>1127</v>
      </c>
      <c r="Y582" t="s">
        <v>1248</v>
      </c>
      <c r="Z582" t="s">
        <v>1248</v>
      </c>
      <c r="AA582" s="49" t="str">
        <f t="shared" si="19"/>
        <v>Provincia de Valdivia</v>
      </c>
      <c r="AB582">
        <v>3.5</v>
      </c>
      <c r="AC582">
        <v>0.98</v>
      </c>
    </row>
    <row r="583" spans="22:29" x14ac:dyDescent="0.45">
      <c r="V583" t="str">
        <f>condiciones_comuna[[#This Row],[Zona Térmica]]&amp;" - "&amp;condiciones_comuna[[#This Row],[Comuna / localidad]]</f>
        <v>Zona G - San Juan de la Costa</v>
      </c>
      <c r="W583" t="s">
        <v>1744</v>
      </c>
      <c r="X583" t="s">
        <v>1138</v>
      </c>
      <c r="Y583" t="s">
        <v>1248</v>
      </c>
      <c r="Z583" t="s">
        <v>1248</v>
      </c>
      <c r="AA583" s="49" t="str">
        <f t="shared" si="19"/>
        <v>Provincia de Valdivia</v>
      </c>
      <c r="AB583">
        <v>3.5</v>
      </c>
      <c r="AC583">
        <v>0.98</v>
      </c>
    </row>
    <row r="584" spans="22:29" x14ac:dyDescent="0.45">
      <c r="V584" t="str">
        <f>condiciones_comuna[[#This Row],[Zona Térmica]]&amp;" - "&amp;condiciones_comuna[[#This Row],[Comuna / localidad]]</f>
        <v>Zona G - San Pablo</v>
      </c>
      <c r="W584" t="s">
        <v>1744</v>
      </c>
      <c r="X584" t="s">
        <v>1140</v>
      </c>
      <c r="Y584" t="s">
        <v>1248</v>
      </c>
      <c r="Z584" t="s">
        <v>1248</v>
      </c>
      <c r="AA584" s="49" t="str">
        <f t="shared" si="19"/>
        <v>Provincia de Valdivia</v>
      </c>
      <c r="AB584">
        <v>3.5</v>
      </c>
      <c r="AC584">
        <v>0.98</v>
      </c>
    </row>
    <row r="585" spans="22:29" x14ac:dyDescent="0.45">
      <c r="V585" t="str">
        <f>condiciones_comuna[[#This Row],[Zona Térmica]]&amp;" - "&amp;condiciones_comuna[[#This Row],[Comuna / localidad]]</f>
        <v>Zona G - Valdivia</v>
      </c>
      <c r="W585" t="s">
        <v>1744</v>
      </c>
      <c r="X585" t="s">
        <v>559</v>
      </c>
      <c r="Y585" t="s">
        <v>1248</v>
      </c>
      <c r="Z585" t="s">
        <v>1248</v>
      </c>
      <c r="AA585" s="49" t="str">
        <f t="shared" si="19"/>
        <v>Provincia de Valdivia</v>
      </c>
      <c r="AB585">
        <v>3.5</v>
      </c>
      <c r="AC585">
        <v>0.98</v>
      </c>
    </row>
    <row r="586" spans="22:29" x14ac:dyDescent="0.45">
      <c r="V586" t="str">
        <f>condiciones_comuna[[#This Row],[Zona Térmica]]&amp;" - "&amp;condiciones_comuna[[#This Row],[Comuna / localidad]]</f>
        <v>Zona H - Todas las comunas excepto Calama y San Pedro de Atacama</v>
      </c>
      <c r="W586" t="s">
        <v>1745</v>
      </c>
      <c r="X586" t="s">
        <v>1693</v>
      </c>
      <c r="Y586" t="s">
        <v>1248</v>
      </c>
      <c r="Z586" t="s">
        <v>1248</v>
      </c>
      <c r="AA586" s="211" t="s">
        <v>526</v>
      </c>
      <c r="AB586">
        <v>1.8</v>
      </c>
      <c r="AC586">
        <v>0.9</v>
      </c>
    </row>
    <row r="587" spans="22:29" x14ac:dyDescent="0.45">
      <c r="V587" t="str">
        <f>condiciones_comuna[[#This Row],[Zona Térmica]]&amp;" - "&amp;condiciones_comuna[[#This Row],[Comuna / localidad]]</f>
        <v>Zona H - Calama y San Pedro de Atacama</v>
      </c>
      <c r="W587" t="s">
        <v>1745</v>
      </c>
      <c r="X587" t="s">
        <v>1692</v>
      </c>
      <c r="Y587" t="s">
        <v>1248</v>
      </c>
      <c r="Z587" t="s">
        <v>1248</v>
      </c>
      <c r="AA587" t="s">
        <v>449</v>
      </c>
      <c r="AB587">
        <v>0.4</v>
      </c>
      <c r="AC587">
        <v>0.27</v>
      </c>
    </row>
    <row r="588" spans="22:29" x14ac:dyDescent="0.45">
      <c r="V588" t="str">
        <f>condiciones_comuna[[#This Row],[Zona Térmica]]&amp;" - "&amp;condiciones_comuna[[#This Row],[Comuna / localidad]]</f>
        <v>Zona H - Alto Biobío</v>
      </c>
      <c r="W588" t="s">
        <v>1745</v>
      </c>
      <c r="X588" t="s">
        <v>743</v>
      </c>
      <c r="Y588" t="s">
        <v>1248</v>
      </c>
      <c r="Z588" t="s">
        <v>1688</v>
      </c>
      <c r="AA588" s="211" t="s">
        <v>526</v>
      </c>
      <c r="AB588">
        <v>1.8</v>
      </c>
      <c r="AC588">
        <v>0.9</v>
      </c>
    </row>
    <row r="589" spans="22:29" x14ac:dyDescent="0.45">
      <c r="V589" t="str">
        <f>condiciones_comuna[[#This Row],[Zona Térmica]]&amp;" - "&amp;condiciones_comuna[[#This Row],[Comuna / localidad]]</f>
        <v>Zona H - Alto del Carmen</v>
      </c>
      <c r="W589" t="s">
        <v>1745</v>
      </c>
      <c r="X589" t="s">
        <v>745</v>
      </c>
      <c r="Y589" t="s">
        <v>1248</v>
      </c>
      <c r="Z589" t="s">
        <v>1689</v>
      </c>
      <c r="AA589" s="211" t="s">
        <v>526</v>
      </c>
      <c r="AB589">
        <v>1.8</v>
      </c>
      <c r="AC589">
        <v>0.9</v>
      </c>
    </row>
    <row r="590" spans="22:29" x14ac:dyDescent="0.45">
      <c r="V590" t="str">
        <f>condiciones_comuna[[#This Row],[Zona Térmica]]&amp;" - "&amp;condiciones_comuna[[#This Row],[Comuna / localidad]]</f>
        <v>Zona H - Antofagasta</v>
      </c>
      <c r="W590" t="s">
        <v>1745</v>
      </c>
      <c r="X590" t="s">
        <v>441</v>
      </c>
      <c r="Y590" t="s">
        <v>1248</v>
      </c>
      <c r="Z590" t="s">
        <v>1689</v>
      </c>
      <c r="AA590" s="211" t="s">
        <v>526</v>
      </c>
      <c r="AB590">
        <v>1.8</v>
      </c>
      <c r="AC590">
        <v>0.9</v>
      </c>
    </row>
    <row r="591" spans="22:29" x14ac:dyDescent="0.45">
      <c r="V591" t="str">
        <f>condiciones_comuna[[#This Row],[Zona Térmica]]&amp;" - "&amp;condiciones_comuna[[#This Row],[Comuna / localidad]]</f>
        <v>Zona H - Antuco</v>
      </c>
      <c r="W591" t="s">
        <v>1745</v>
      </c>
      <c r="X591" t="s">
        <v>761</v>
      </c>
      <c r="Y591" t="s">
        <v>1248</v>
      </c>
      <c r="Z591" t="s">
        <v>1690</v>
      </c>
      <c r="AA591" s="211" t="s">
        <v>526</v>
      </c>
      <c r="AB591">
        <v>1.8</v>
      </c>
      <c r="AC591">
        <v>0.9</v>
      </c>
    </row>
    <row r="592" spans="22:29" x14ac:dyDescent="0.45">
      <c r="V592" t="str">
        <f>condiciones_comuna[[#This Row],[Zona Térmica]]&amp;" - "&amp;condiciones_comuna[[#This Row],[Comuna / localidad]]</f>
        <v>Zona H - Arica</v>
      </c>
      <c r="W592" t="s">
        <v>1745</v>
      </c>
      <c r="X592" t="s">
        <v>429</v>
      </c>
      <c r="Y592" t="s">
        <v>1248</v>
      </c>
      <c r="Z592" t="s">
        <v>1689</v>
      </c>
      <c r="AA592" s="211" t="s">
        <v>526</v>
      </c>
      <c r="AB592">
        <v>1.8</v>
      </c>
      <c r="AC592">
        <v>0.9</v>
      </c>
    </row>
    <row r="593" spans="22:29" x14ac:dyDescent="0.45">
      <c r="V593" t="str">
        <f>condiciones_comuna[[#This Row],[Zona Térmica]]&amp;" - "&amp;condiciones_comuna[[#This Row],[Comuna / localidad]]</f>
        <v>Zona H - Cabildo</v>
      </c>
      <c r="W593" t="s">
        <v>1745</v>
      </c>
      <c r="X593" t="s">
        <v>772</v>
      </c>
      <c r="Y593" t="s">
        <v>1248</v>
      </c>
      <c r="Z593" t="s">
        <v>1691</v>
      </c>
      <c r="AA593" s="211" t="s">
        <v>526</v>
      </c>
      <c r="AB593">
        <v>1.8</v>
      </c>
      <c r="AC593">
        <v>0.9</v>
      </c>
    </row>
    <row r="594" spans="22:29" x14ac:dyDescent="0.45">
      <c r="V594" t="str">
        <f>condiciones_comuna[[#This Row],[Zona Térmica]]&amp;" - "&amp;condiciones_comuna[[#This Row],[Comuna / localidad]]</f>
        <v>Zona H - Calama</v>
      </c>
      <c r="W594" t="s">
        <v>1745</v>
      </c>
      <c r="X594" t="s">
        <v>87</v>
      </c>
      <c r="Y594" t="s">
        <v>1248</v>
      </c>
      <c r="Z594" t="s">
        <v>1689</v>
      </c>
      <c r="AA594" t="s">
        <v>449</v>
      </c>
      <c r="AB594">
        <v>0.4</v>
      </c>
      <c r="AC594">
        <v>0.27</v>
      </c>
    </row>
    <row r="595" spans="22:29" x14ac:dyDescent="0.45">
      <c r="V595" t="str">
        <f>condiciones_comuna[[#This Row],[Zona Térmica]]&amp;" - "&amp;condiciones_comuna[[#This Row],[Comuna / localidad]]</f>
        <v>Zona H - Camarones</v>
      </c>
      <c r="W595" t="s">
        <v>1745</v>
      </c>
      <c r="X595" t="s">
        <v>732</v>
      </c>
      <c r="Y595" t="s">
        <v>1248</v>
      </c>
      <c r="Z595" t="s">
        <v>1689</v>
      </c>
      <c r="AA595" s="211" t="s">
        <v>526</v>
      </c>
      <c r="AB595">
        <v>1.8</v>
      </c>
      <c r="AC595">
        <v>0.9</v>
      </c>
    </row>
    <row r="596" spans="22:29" x14ac:dyDescent="0.45">
      <c r="V596" t="str">
        <f>condiciones_comuna[[#This Row],[Zona Térmica]]&amp;" - "&amp;condiciones_comuna[[#This Row],[Comuna / localidad]]</f>
        <v>Zona H - Camiña</v>
      </c>
      <c r="W596" t="s">
        <v>1745</v>
      </c>
      <c r="X596" t="s">
        <v>751</v>
      </c>
      <c r="Y596" t="s">
        <v>1248</v>
      </c>
      <c r="Z596" t="s">
        <v>1689</v>
      </c>
      <c r="AA596" s="211" t="s">
        <v>526</v>
      </c>
      <c r="AB596">
        <v>1.8</v>
      </c>
      <c r="AC596">
        <v>0.9</v>
      </c>
    </row>
    <row r="597" spans="22:29" x14ac:dyDescent="0.45">
      <c r="V597" t="str">
        <f>condiciones_comuna[[#This Row],[Zona Térmica]]&amp;" - "&amp;condiciones_comuna[[#This Row],[Comuna / localidad]]</f>
        <v>Zona H - Codegua</v>
      </c>
      <c r="W597" t="s">
        <v>1745</v>
      </c>
      <c r="X597" t="s">
        <v>847</v>
      </c>
      <c r="Y597" t="s">
        <v>1248</v>
      </c>
      <c r="Z597" t="s">
        <v>1688</v>
      </c>
      <c r="AA597" s="211" t="s">
        <v>526</v>
      </c>
      <c r="AB597">
        <v>1.8</v>
      </c>
      <c r="AC597">
        <v>0.9</v>
      </c>
    </row>
    <row r="598" spans="22:29" x14ac:dyDescent="0.45">
      <c r="V598" t="str">
        <f>condiciones_comuna[[#This Row],[Zona Térmica]]&amp;" - "&amp;condiciones_comuna[[#This Row],[Comuna / localidad]]</f>
        <v>Zona H - Coihueco</v>
      </c>
      <c r="W598" t="s">
        <v>1745</v>
      </c>
      <c r="X598" t="s">
        <v>852</v>
      </c>
      <c r="Y598" t="s">
        <v>1248</v>
      </c>
      <c r="Z598" t="s">
        <v>1688</v>
      </c>
      <c r="AA598" s="211" t="s">
        <v>526</v>
      </c>
      <c r="AB598">
        <v>1.8</v>
      </c>
      <c r="AC598">
        <v>0.9</v>
      </c>
    </row>
    <row r="599" spans="22:29" x14ac:dyDescent="0.45">
      <c r="V599" t="str">
        <f>condiciones_comuna[[#This Row],[Zona Térmica]]&amp;" - "&amp;condiciones_comuna[[#This Row],[Comuna / localidad]]</f>
        <v>Zona H - Colbún</v>
      </c>
      <c r="W599" t="s">
        <v>1745</v>
      </c>
      <c r="X599" t="s">
        <v>855</v>
      </c>
      <c r="Y599" t="s">
        <v>1248</v>
      </c>
      <c r="Z599" t="s">
        <v>1688</v>
      </c>
      <c r="AA599" s="211" t="s">
        <v>526</v>
      </c>
      <c r="AB599">
        <v>1.8</v>
      </c>
      <c r="AC599">
        <v>0.9</v>
      </c>
    </row>
    <row r="600" spans="22:29" x14ac:dyDescent="0.45">
      <c r="V600" t="str">
        <f>condiciones_comuna[[#This Row],[Zona Térmica]]&amp;" - "&amp;condiciones_comuna[[#This Row],[Comuna / localidad]]</f>
        <v>Zona H - Colchane</v>
      </c>
      <c r="W600" t="s">
        <v>1745</v>
      </c>
      <c r="X600" t="s">
        <v>753</v>
      </c>
      <c r="Y600" t="s">
        <v>1248</v>
      </c>
      <c r="Z600" t="s">
        <v>1248</v>
      </c>
      <c r="AA600" s="211" t="s">
        <v>526</v>
      </c>
      <c r="AB600">
        <v>1.8</v>
      </c>
      <c r="AC600">
        <v>0.9</v>
      </c>
    </row>
    <row r="601" spans="22:29" x14ac:dyDescent="0.45">
      <c r="V601" t="str">
        <f>condiciones_comuna[[#This Row],[Zona Térmica]]&amp;" - "&amp;condiciones_comuna[[#This Row],[Comuna / localidad]]</f>
        <v>Zona H - Colina</v>
      </c>
      <c r="W601" t="s">
        <v>1745</v>
      </c>
      <c r="X601" t="s">
        <v>858</v>
      </c>
      <c r="Y601" t="s">
        <v>1248</v>
      </c>
      <c r="Z601" t="s">
        <v>1691</v>
      </c>
      <c r="AA601" s="211" t="s">
        <v>526</v>
      </c>
      <c r="AB601">
        <v>1.8</v>
      </c>
      <c r="AC601">
        <v>0.9</v>
      </c>
    </row>
    <row r="602" spans="22:29" x14ac:dyDescent="0.45">
      <c r="V602" t="str">
        <f>condiciones_comuna[[#This Row],[Zona Térmica]]&amp;" - "&amp;condiciones_comuna[[#This Row],[Comuna / localidad]]</f>
        <v>Zona H - Combarbalá</v>
      </c>
      <c r="W602" t="s">
        <v>1745</v>
      </c>
      <c r="X602" t="s">
        <v>822</v>
      </c>
      <c r="Y602" t="s">
        <v>1248</v>
      </c>
      <c r="Z602" t="s">
        <v>1691</v>
      </c>
      <c r="AA602" s="211" t="s">
        <v>526</v>
      </c>
      <c r="AB602">
        <v>1.8</v>
      </c>
      <c r="AC602">
        <v>0.9</v>
      </c>
    </row>
    <row r="603" spans="22:29" x14ac:dyDescent="0.45">
      <c r="V603" t="str">
        <f>condiciones_comuna[[#This Row],[Zona Térmica]]&amp;" - "&amp;condiciones_comuna[[#This Row],[Comuna / localidad]]</f>
        <v>Zona H - Copiapó</v>
      </c>
      <c r="W603" t="s">
        <v>1745</v>
      </c>
      <c r="X603" t="s">
        <v>448</v>
      </c>
      <c r="Y603" t="s">
        <v>1248</v>
      </c>
      <c r="Z603" t="s">
        <v>1689</v>
      </c>
      <c r="AA603" s="211" t="s">
        <v>526</v>
      </c>
      <c r="AB603">
        <v>1.8</v>
      </c>
      <c r="AC603">
        <v>0.9</v>
      </c>
    </row>
    <row r="604" spans="22:29" x14ac:dyDescent="0.45">
      <c r="V604" t="str">
        <f>condiciones_comuna[[#This Row],[Zona Térmica]]&amp;" - "&amp;condiciones_comuna[[#This Row],[Comuna / localidad]]</f>
        <v>Zona H - Curarrehue</v>
      </c>
      <c r="W604" t="s">
        <v>1745</v>
      </c>
      <c r="X604" t="s">
        <v>890</v>
      </c>
      <c r="Y604" t="s">
        <v>1248</v>
      </c>
      <c r="Z604" t="s">
        <v>1248</v>
      </c>
      <c r="AA604" s="211" t="s">
        <v>526</v>
      </c>
      <c r="AB604">
        <v>1.8</v>
      </c>
      <c r="AC604">
        <v>0.9</v>
      </c>
    </row>
    <row r="605" spans="22:29" x14ac:dyDescent="0.45">
      <c r="V605" t="str">
        <f>condiciones_comuna[[#This Row],[Zona Térmica]]&amp;" - "&amp;condiciones_comuna[[#This Row],[Comuna / localidad]]</f>
        <v>Zona H - Curicó</v>
      </c>
      <c r="W605" t="s">
        <v>1745</v>
      </c>
      <c r="X605" t="s">
        <v>530</v>
      </c>
      <c r="Y605" t="s">
        <v>1248</v>
      </c>
      <c r="Z605" t="s">
        <v>1688</v>
      </c>
      <c r="AA605" s="211" t="s">
        <v>526</v>
      </c>
      <c r="AB605">
        <v>1.8</v>
      </c>
      <c r="AC605">
        <v>0.9</v>
      </c>
    </row>
    <row r="606" spans="22:29" x14ac:dyDescent="0.45">
      <c r="V606" t="str">
        <f>condiciones_comuna[[#This Row],[Zona Térmica]]&amp;" - "&amp;condiciones_comuna[[#This Row],[Comuna / localidad]]</f>
        <v>Zona H - Diego de Almagro</v>
      </c>
      <c r="W606" t="s">
        <v>1745</v>
      </c>
      <c r="X606" t="s">
        <v>787</v>
      </c>
      <c r="Y606" t="s">
        <v>1248</v>
      </c>
      <c r="Z606" t="s">
        <v>1689</v>
      </c>
      <c r="AA606" s="211" t="s">
        <v>526</v>
      </c>
      <c r="AB606">
        <v>1.8</v>
      </c>
      <c r="AC606">
        <v>0.9</v>
      </c>
    </row>
    <row r="607" spans="22:29" x14ac:dyDescent="0.45">
      <c r="V607" t="str">
        <f>condiciones_comuna[[#This Row],[Zona Térmica]]&amp;" - "&amp;condiciones_comuna[[#This Row],[Comuna / localidad]]</f>
        <v>Zona H - General Lagos</v>
      </c>
      <c r="W607" t="s">
        <v>1745</v>
      </c>
      <c r="X607" t="s">
        <v>742</v>
      </c>
      <c r="Y607" t="s">
        <v>1248</v>
      </c>
      <c r="Z607" t="s">
        <v>1689</v>
      </c>
      <c r="AA607" s="211" t="s">
        <v>526</v>
      </c>
      <c r="AB607">
        <v>1.8</v>
      </c>
      <c r="AC607">
        <v>0.9</v>
      </c>
    </row>
    <row r="608" spans="22:29" x14ac:dyDescent="0.45">
      <c r="V608" t="str">
        <f>condiciones_comuna[[#This Row],[Zona Térmica]]&amp;" - "&amp;condiciones_comuna[[#This Row],[Comuna / localidad]]</f>
        <v>Zona H - Huara</v>
      </c>
      <c r="W608" t="s">
        <v>1745</v>
      </c>
      <c r="X608" t="s">
        <v>756</v>
      </c>
      <c r="Y608" t="s">
        <v>1248</v>
      </c>
      <c r="Z608" t="s">
        <v>1689</v>
      </c>
      <c r="AA608" s="211" t="s">
        <v>526</v>
      </c>
      <c r="AB608">
        <v>1.8</v>
      </c>
      <c r="AC608">
        <v>0.9</v>
      </c>
    </row>
    <row r="609" spans="22:29" x14ac:dyDescent="0.45">
      <c r="V609" t="str">
        <f>condiciones_comuna[[#This Row],[Zona Térmica]]&amp;" - "&amp;condiciones_comuna[[#This Row],[Comuna / localidad]]</f>
        <v>Zona H - Illapel</v>
      </c>
      <c r="W609" t="s">
        <v>1745</v>
      </c>
      <c r="X609" t="s">
        <v>805</v>
      </c>
      <c r="Y609" t="s">
        <v>1248</v>
      </c>
      <c r="Z609" t="s">
        <v>1691</v>
      </c>
      <c r="AA609" s="211" t="s">
        <v>526</v>
      </c>
      <c r="AB609">
        <v>1.8</v>
      </c>
      <c r="AC609">
        <v>0.9</v>
      </c>
    </row>
    <row r="610" spans="22:29" x14ac:dyDescent="0.45">
      <c r="V610" t="str">
        <f>condiciones_comuna[[#This Row],[Zona Térmica]]&amp;" - "&amp;condiciones_comuna[[#This Row],[Comuna / localidad]]</f>
        <v>Zona H - Linares</v>
      </c>
      <c r="W610" t="s">
        <v>1745</v>
      </c>
      <c r="X610" t="s">
        <v>544</v>
      </c>
      <c r="Y610" t="s">
        <v>1248</v>
      </c>
      <c r="Z610" t="s">
        <v>1688</v>
      </c>
      <c r="AA610" s="211" t="s">
        <v>526</v>
      </c>
      <c r="AB610">
        <v>1.8</v>
      </c>
      <c r="AC610">
        <v>0.9</v>
      </c>
    </row>
    <row r="611" spans="22:29" x14ac:dyDescent="0.45">
      <c r="V611" t="str">
        <f>condiciones_comuna[[#This Row],[Zona Térmica]]&amp;" - "&amp;condiciones_comuna[[#This Row],[Comuna / localidad]]</f>
        <v>Zona H - Lo Barnechea</v>
      </c>
      <c r="W611" t="s">
        <v>1745</v>
      </c>
      <c r="X611" t="s">
        <v>943</v>
      </c>
      <c r="Y611" t="s">
        <v>1248</v>
      </c>
      <c r="Z611" t="s">
        <v>1691</v>
      </c>
      <c r="AA611" s="211" t="s">
        <v>526</v>
      </c>
      <c r="AB611">
        <v>1.8</v>
      </c>
      <c r="AC611">
        <v>0.9</v>
      </c>
    </row>
    <row r="612" spans="22:29" x14ac:dyDescent="0.45">
      <c r="V612" t="str">
        <f>condiciones_comuna[[#This Row],[Zona Térmica]]&amp;" - "&amp;condiciones_comuna[[#This Row],[Comuna / localidad]]</f>
        <v>Zona H - Longaví</v>
      </c>
      <c r="W612" t="s">
        <v>1745</v>
      </c>
      <c r="X612" t="s">
        <v>999</v>
      </c>
      <c r="Y612" t="s">
        <v>1248</v>
      </c>
      <c r="Z612" t="s">
        <v>1688</v>
      </c>
      <c r="AA612" s="211" t="s">
        <v>526</v>
      </c>
      <c r="AB612">
        <v>1.8</v>
      </c>
      <c r="AC612">
        <v>0.9</v>
      </c>
    </row>
    <row r="613" spans="22:29" x14ac:dyDescent="0.45">
      <c r="V613" t="str">
        <f>condiciones_comuna[[#This Row],[Zona Térmica]]&amp;" - "&amp;condiciones_comuna[[#This Row],[Comuna / localidad]]</f>
        <v>Zona H - Lonquimay</v>
      </c>
      <c r="W613" t="s">
        <v>1745</v>
      </c>
      <c r="X613" t="s">
        <v>1001</v>
      </c>
      <c r="Y613" t="s">
        <v>1248</v>
      </c>
      <c r="Z613" t="s">
        <v>1248</v>
      </c>
      <c r="AA613" s="211" t="s">
        <v>526</v>
      </c>
      <c r="AB613">
        <v>1.8</v>
      </c>
      <c r="AC613">
        <v>0.9</v>
      </c>
    </row>
    <row r="614" spans="22:29" x14ac:dyDescent="0.45">
      <c r="V614" t="str">
        <f>condiciones_comuna[[#This Row],[Zona Térmica]]&amp;" - "&amp;condiciones_comuna[[#This Row],[Comuna / localidad]]</f>
        <v>Zona H - Los Andes</v>
      </c>
      <c r="W614" t="s">
        <v>1745</v>
      </c>
      <c r="X614" t="s">
        <v>465</v>
      </c>
      <c r="Y614" t="s">
        <v>1248</v>
      </c>
      <c r="Z614" t="s">
        <v>1691</v>
      </c>
      <c r="AA614" s="211" t="s">
        <v>526</v>
      </c>
      <c r="AB614">
        <v>1.8</v>
      </c>
      <c r="AC614">
        <v>0.9</v>
      </c>
    </row>
    <row r="615" spans="22:29" x14ac:dyDescent="0.45">
      <c r="V615" t="str">
        <f>condiciones_comuna[[#This Row],[Zona Térmica]]&amp;" - "&amp;condiciones_comuna[[#This Row],[Comuna / localidad]]</f>
        <v>Zona H - Machalí</v>
      </c>
      <c r="W615" t="s">
        <v>1745</v>
      </c>
      <c r="X615" t="s">
        <v>985</v>
      </c>
      <c r="Y615" t="s">
        <v>1248</v>
      </c>
      <c r="Z615" t="s">
        <v>1688</v>
      </c>
      <c r="AA615" s="211" t="s">
        <v>526</v>
      </c>
      <c r="AB615">
        <v>1.8</v>
      </c>
      <c r="AC615">
        <v>0.9</v>
      </c>
    </row>
    <row r="616" spans="22:29" x14ac:dyDescent="0.45">
      <c r="V616" t="str">
        <f>condiciones_comuna[[#This Row],[Zona Térmica]]&amp;" - "&amp;condiciones_comuna[[#This Row],[Comuna / localidad]]</f>
        <v>Zona H - Malloa</v>
      </c>
      <c r="W616" t="s">
        <v>1745</v>
      </c>
      <c r="X616" t="s">
        <v>986</v>
      </c>
      <c r="Y616" t="s">
        <v>1248</v>
      </c>
      <c r="Z616" t="s">
        <v>1688</v>
      </c>
      <c r="AA616" s="211" t="s">
        <v>526</v>
      </c>
      <c r="AB616">
        <v>1.8</v>
      </c>
      <c r="AC616">
        <v>0.9</v>
      </c>
    </row>
    <row r="617" spans="22:29" x14ac:dyDescent="0.45">
      <c r="V617" t="str">
        <f>condiciones_comuna[[#This Row],[Zona Térmica]]&amp;" - "&amp;condiciones_comuna[[#This Row],[Comuna / localidad]]</f>
        <v>Zona H - Melipeuco</v>
      </c>
      <c r="W617" t="s">
        <v>1745</v>
      </c>
      <c r="X617" t="s">
        <v>1027</v>
      </c>
      <c r="Y617" t="s">
        <v>1248</v>
      </c>
      <c r="Z617" t="s">
        <v>1248</v>
      </c>
      <c r="AA617" s="211" t="s">
        <v>526</v>
      </c>
      <c r="AB617">
        <v>1.8</v>
      </c>
      <c r="AC617">
        <v>0.9</v>
      </c>
    </row>
    <row r="618" spans="22:29" x14ac:dyDescent="0.45">
      <c r="V618" t="str">
        <f>condiciones_comuna[[#This Row],[Zona Térmica]]&amp;" - "&amp;condiciones_comuna[[#This Row],[Comuna / localidad]]</f>
        <v>Zona H - Molina</v>
      </c>
      <c r="W618" t="s">
        <v>1745</v>
      </c>
      <c r="X618" t="s">
        <v>1028</v>
      </c>
      <c r="Y618" t="s">
        <v>1248</v>
      </c>
      <c r="Z618" t="s">
        <v>1688</v>
      </c>
      <c r="AA618" s="211" t="s">
        <v>526</v>
      </c>
      <c r="AB618">
        <v>1.8</v>
      </c>
      <c r="AC618">
        <v>0.9</v>
      </c>
    </row>
    <row r="619" spans="22:29" x14ac:dyDescent="0.45">
      <c r="V619" t="str">
        <f>condiciones_comuna[[#This Row],[Zona Térmica]]&amp;" - "&amp;condiciones_comuna[[#This Row],[Comuna / localidad]]</f>
        <v>Zona H - Monte Patria</v>
      </c>
      <c r="W619" t="s">
        <v>1745</v>
      </c>
      <c r="X619" t="s">
        <v>823</v>
      </c>
      <c r="Y619" t="s">
        <v>1248</v>
      </c>
      <c r="Z619" t="s">
        <v>1691</v>
      </c>
      <c r="AA619" s="211" t="s">
        <v>526</v>
      </c>
      <c r="AB619">
        <v>1.8</v>
      </c>
      <c r="AC619">
        <v>0.9</v>
      </c>
    </row>
    <row r="620" spans="22:29" x14ac:dyDescent="0.45">
      <c r="V620" t="str">
        <f>condiciones_comuna[[#This Row],[Zona Térmica]]&amp;" - "&amp;condiciones_comuna[[#This Row],[Comuna / localidad]]</f>
        <v>Zona H - Mostazal</v>
      </c>
      <c r="W620" t="s">
        <v>1745</v>
      </c>
      <c r="X620" t="s">
        <v>988</v>
      </c>
      <c r="Y620" t="s">
        <v>1248</v>
      </c>
      <c r="Z620" t="s">
        <v>1688</v>
      </c>
      <c r="AA620" s="211" t="s">
        <v>526</v>
      </c>
      <c r="AB620">
        <v>1.8</v>
      </c>
      <c r="AC620">
        <v>0.9</v>
      </c>
    </row>
    <row r="621" spans="22:29" x14ac:dyDescent="0.45">
      <c r="V621" t="str">
        <f>condiciones_comuna[[#This Row],[Zona Térmica]]&amp;" - "&amp;condiciones_comuna[[#This Row],[Comuna / localidad]]</f>
        <v>Zona H - Ollagüe</v>
      </c>
      <c r="W621" t="s">
        <v>1745</v>
      </c>
      <c r="X621" t="s">
        <v>771</v>
      </c>
      <c r="Y621" t="s">
        <v>1248</v>
      </c>
      <c r="Z621" t="s">
        <v>1248</v>
      </c>
      <c r="AA621" s="211" t="s">
        <v>526</v>
      </c>
      <c r="AB621">
        <v>1.8</v>
      </c>
      <c r="AC621">
        <v>0.9</v>
      </c>
    </row>
    <row r="622" spans="22:29" x14ac:dyDescent="0.45">
      <c r="V622" t="str">
        <f>condiciones_comuna[[#This Row],[Zona Térmica]]&amp;" - "&amp;condiciones_comuna[[#This Row],[Comuna / localidad]]</f>
        <v>Zona H - Paiguano</v>
      </c>
      <c r="W622" t="s">
        <v>1745</v>
      </c>
      <c r="X622" t="s">
        <v>818</v>
      </c>
      <c r="Y622" t="s">
        <v>1248</v>
      </c>
      <c r="Z622" t="s">
        <v>1689</v>
      </c>
      <c r="AA622" s="211" t="s">
        <v>526</v>
      </c>
      <c r="AB622">
        <v>1.8</v>
      </c>
      <c r="AC622">
        <v>0.9</v>
      </c>
    </row>
    <row r="623" spans="22:29" x14ac:dyDescent="0.45">
      <c r="V623" t="str">
        <f>condiciones_comuna[[#This Row],[Zona Térmica]]&amp;" - "&amp;condiciones_comuna[[#This Row],[Comuna / localidad]]</f>
        <v>Zona H - Parral</v>
      </c>
      <c r="W623" t="s">
        <v>1745</v>
      </c>
      <c r="X623" t="s">
        <v>1040</v>
      </c>
      <c r="Y623" t="s">
        <v>1248</v>
      </c>
      <c r="Z623" t="s">
        <v>1688</v>
      </c>
      <c r="AA623" s="211" t="s">
        <v>526</v>
      </c>
      <c r="AB623">
        <v>1.8</v>
      </c>
      <c r="AC623">
        <v>0.9</v>
      </c>
    </row>
    <row r="624" spans="22:29" x14ac:dyDescent="0.45">
      <c r="V624" t="str">
        <f>condiciones_comuna[[#This Row],[Zona Térmica]]&amp;" - "&amp;condiciones_comuna[[#This Row],[Comuna / localidad]]</f>
        <v>Zona H - Petorca</v>
      </c>
      <c r="W624" t="s">
        <v>1745</v>
      </c>
      <c r="X624" t="s">
        <v>848</v>
      </c>
      <c r="Y624" t="s">
        <v>1248</v>
      </c>
      <c r="Z624" t="s">
        <v>1691</v>
      </c>
      <c r="AA624" s="211" t="s">
        <v>526</v>
      </c>
      <c r="AB624">
        <v>1.8</v>
      </c>
      <c r="AC624">
        <v>0.9</v>
      </c>
    </row>
    <row r="625" spans="22:29" x14ac:dyDescent="0.45">
      <c r="V625" t="str">
        <f>condiciones_comuna[[#This Row],[Zona Térmica]]&amp;" - "&amp;condiciones_comuna[[#This Row],[Comuna / localidad]]</f>
        <v>Zona H - Pica</v>
      </c>
      <c r="W625" t="s">
        <v>1745</v>
      </c>
      <c r="X625" t="s">
        <v>758</v>
      </c>
      <c r="Y625" t="s">
        <v>1248</v>
      </c>
      <c r="Z625" t="s">
        <v>1689</v>
      </c>
      <c r="AA625" s="211" t="s">
        <v>526</v>
      </c>
      <c r="AB625">
        <v>1.8</v>
      </c>
      <c r="AC625">
        <v>0.9</v>
      </c>
    </row>
    <row r="626" spans="22:29" x14ac:dyDescent="0.45">
      <c r="V626" t="str">
        <f>condiciones_comuna[[#This Row],[Zona Térmica]]&amp;" - "&amp;condiciones_comuna[[#This Row],[Comuna / localidad]]</f>
        <v>Zona H - Pinto</v>
      </c>
      <c r="W626" t="s">
        <v>1745</v>
      </c>
      <c r="X626" t="s">
        <v>1064</v>
      </c>
      <c r="Y626" t="s">
        <v>1248</v>
      </c>
      <c r="Z626" t="s">
        <v>1688</v>
      </c>
      <c r="AA626" s="211" t="s">
        <v>526</v>
      </c>
      <c r="AB626">
        <v>1.8</v>
      </c>
      <c r="AC626">
        <v>0.9</v>
      </c>
    </row>
    <row r="627" spans="22:29" x14ac:dyDescent="0.45">
      <c r="V627" t="str">
        <f>condiciones_comuna[[#This Row],[Zona Térmica]]&amp;" - "&amp;condiciones_comuna[[#This Row],[Comuna / localidad]]</f>
        <v>Zona H - Pozo Almonte</v>
      </c>
      <c r="W627" t="s">
        <v>1745</v>
      </c>
      <c r="X627" t="s">
        <v>760</v>
      </c>
      <c r="Y627" t="s">
        <v>1248</v>
      </c>
      <c r="Z627" t="s">
        <v>1689</v>
      </c>
      <c r="AA627" s="211" t="s">
        <v>526</v>
      </c>
      <c r="AB627">
        <v>1.8</v>
      </c>
      <c r="AC627">
        <v>0.9</v>
      </c>
    </row>
    <row r="628" spans="22:29" x14ac:dyDescent="0.45">
      <c r="V628" t="str">
        <f>condiciones_comuna[[#This Row],[Zona Térmica]]&amp;" - "&amp;condiciones_comuna[[#This Row],[Comuna / localidad]]</f>
        <v>Zona H - Pucón</v>
      </c>
      <c r="W628" t="s">
        <v>1745</v>
      </c>
      <c r="X628" t="s">
        <v>1089</v>
      </c>
      <c r="Y628" t="s">
        <v>1248</v>
      </c>
      <c r="Z628" t="s">
        <v>1248</v>
      </c>
      <c r="AA628" s="211" t="s">
        <v>526</v>
      </c>
      <c r="AB628">
        <v>1.8</v>
      </c>
      <c r="AC628">
        <v>0.9</v>
      </c>
    </row>
    <row r="629" spans="22:29" x14ac:dyDescent="0.45">
      <c r="V629" t="str">
        <f>condiciones_comuna[[#This Row],[Zona Térmica]]&amp;" - "&amp;condiciones_comuna[[#This Row],[Comuna / localidad]]</f>
        <v>Zona H - Putaendo</v>
      </c>
      <c r="W629" t="s">
        <v>1745</v>
      </c>
      <c r="X629" t="s">
        <v>881</v>
      </c>
      <c r="Y629" t="s">
        <v>1248</v>
      </c>
      <c r="Z629" t="s">
        <v>1691</v>
      </c>
      <c r="AA629" s="211" t="s">
        <v>526</v>
      </c>
      <c r="AB629">
        <v>1.8</v>
      </c>
      <c r="AC629">
        <v>0.9</v>
      </c>
    </row>
    <row r="630" spans="22:29" x14ac:dyDescent="0.45">
      <c r="V630" t="str">
        <f>condiciones_comuna[[#This Row],[Zona Térmica]]&amp;" - "&amp;condiciones_comuna[[#This Row],[Comuna / localidad]]</f>
        <v>Zona H - Putre</v>
      </c>
      <c r="W630" t="s">
        <v>1745</v>
      </c>
      <c r="X630" t="s">
        <v>744</v>
      </c>
      <c r="Y630" t="s">
        <v>1248</v>
      </c>
      <c r="Z630" t="s">
        <v>1689</v>
      </c>
      <c r="AA630" s="211" t="s">
        <v>526</v>
      </c>
      <c r="AB630">
        <v>1.8</v>
      </c>
      <c r="AC630">
        <v>0.9</v>
      </c>
    </row>
    <row r="631" spans="22:29" x14ac:dyDescent="0.45">
      <c r="V631" t="str">
        <f>condiciones_comuna[[#This Row],[Zona Térmica]]&amp;" - "&amp;condiciones_comuna[[#This Row],[Comuna / localidad]]</f>
        <v>Zona H - Quilleco</v>
      </c>
      <c r="W631" t="s">
        <v>1745</v>
      </c>
      <c r="X631" t="s">
        <v>1091</v>
      </c>
      <c r="Y631" t="s">
        <v>1248</v>
      </c>
      <c r="Z631" t="s">
        <v>1688</v>
      </c>
      <c r="AA631" s="211" t="s">
        <v>526</v>
      </c>
      <c r="AB631">
        <v>1.8</v>
      </c>
      <c r="AC631">
        <v>0.9</v>
      </c>
    </row>
    <row r="632" spans="22:29" x14ac:dyDescent="0.45">
      <c r="V632" t="str">
        <f>condiciones_comuna[[#This Row],[Zona Térmica]]&amp;" - "&amp;condiciones_comuna[[#This Row],[Comuna / localidad]]</f>
        <v>Zona H - Rengo</v>
      </c>
      <c r="W632" t="s">
        <v>1745</v>
      </c>
      <c r="X632" t="s">
        <v>996</v>
      </c>
      <c r="Y632" t="s">
        <v>1248</v>
      </c>
      <c r="Z632" t="s">
        <v>1688</v>
      </c>
      <c r="AA632" s="211" t="s">
        <v>526</v>
      </c>
      <c r="AB632">
        <v>1.8</v>
      </c>
      <c r="AC632">
        <v>0.9</v>
      </c>
    </row>
    <row r="633" spans="22:29" x14ac:dyDescent="0.45">
      <c r="V633" t="str">
        <f>condiciones_comuna[[#This Row],[Zona Térmica]]&amp;" - "&amp;condiciones_comuna[[#This Row],[Comuna / localidad]]</f>
        <v>Zona H - Requínoa</v>
      </c>
      <c r="W633" t="s">
        <v>1745</v>
      </c>
      <c r="X633" t="s">
        <v>998</v>
      </c>
      <c r="Y633" t="s">
        <v>1248</v>
      </c>
      <c r="Z633" t="s">
        <v>1688</v>
      </c>
      <c r="AA633" s="211" t="s">
        <v>526</v>
      </c>
      <c r="AB633">
        <v>1.8</v>
      </c>
      <c r="AC633">
        <v>0.9</v>
      </c>
    </row>
    <row r="634" spans="22:29" x14ac:dyDescent="0.45">
      <c r="V634" t="str">
        <f>condiciones_comuna[[#This Row],[Zona Térmica]]&amp;" - "&amp;condiciones_comuna[[#This Row],[Comuna / localidad]]</f>
        <v>Zona H - Río Hurtado</v>
      </c>
      <c r="W634" t="s">
        <v>1745</v>
      </c>
      <c r="X634" t="s">
        <v>828</v>
      </c>
      <c r="Y634" t="s">
        <v>1248</v>
      </c>
      <c r="Z634" t="s">
        <v>1689</v>
      </c>
      <c r="AA634" s="211" t="s">
        <v>526</v>
      </c>
      <c r="AB634">
        <v>1.8</v>
      </c>
      <c r="AC634">
        <v>0.9</v>
      </c>
    </row>
    <row r="635" spans="22:29" x14ac:dyDescent="0.45">
      <c r="V635" t="str">
        <f>condiciones_comuna[[#This Row],[Zona Térmica]]&amp;" - "&amp;condiciones_comuna[[#This Row],[Comuna / localidad]]</f>
        <v>Zona H - Romeral</v>
      </c>
      <c r="W635" t="s">
        <v>1745</v>
      </c>
      <c r="X635" t="s">
        <v>1031</v>
      </c>
      <c r="Y635" t="s">
        <v>1248</v>
      </c>
      <c r="Z635" t="s">
        <v>1688</v>
      </c>
      <c r="AA635" s="211" t="s">
        <v>526</v>
      </c>
      <c r="AB635">
        <v>1.8</v>
      </c>
      <c r="AC635">
        <v>0.9</v>
      </c>
    </row>
    <row r="636" spans="22:29" x14ac:dyDescent="0.45">
      <c r="V636" t="str">
        <f>condiciones_comuna[[#This Row],[Zona Térmica]]&amp;" - "&amp;condiciones_comuna[[#This Row],[Comuna / localidad]]</f>
        <v>Zona H - Salamanca</v>
      </c>
      <c r="W636" t="s">
        <v>1745</v>
      </c>
      <c r="X636" t="s">
        <v>809</v>
      </c>
      <c r="Y636" t="s">
        <v>1248</v>
      </c>
      <c r="Z636" t="s">
        <v>1691</v>
      </c>
      <c r="AA636" s="211" t="s">
        <v>526</v>
      </c>
      <c r="AB636">
        <v>1.8</v>
      </c>
      <c r="AC636">
        <v>0.9</v>
      </c>
    </row>
    <row r="637" spans="22:29" x14ac:dyDescent="0.45">
      <c r="V637" t="str">
        <f>condiciones_comuna[[#This Row],[Zona Térmica]]&amp;" - "&amp;condiciones_comuna[[#This Row],[Comuna / localidad]]</f>
        <v>Zona H - San Clemente</v>
      </c>
      <c r="W637" t="s">
        <v>1745</v>
      </c>
      <c r="X637" t="s">
        <v>1053</v>
      </c>
      <c r="Y637" t="s">
        <v>1248</v>
      </c>
      <c r="Z637" t="s">
        <v>1688</v>
      </c>
      <c r="AA637" s="211" t="s">
        <v>526</v>
      </c>
      <c r="AB637">
        <v>1.8</v>
      </c>
      <c r="AC637">
        <v>0.9</v>
      </c>
    </row>
    <row r="638" spans="22:29" x14ac:dyDescent="0.45">
      <c r="V638" t="str">
        <f>condiciones_comuna[[#This Row],[Zona Térmica]]&amp;" - "&amp;condiciones_comuna[[#This Row],[Comuna / localidad]]</f>
        <v>Zona H - San Esteban</v>
      </c>
      <c r="W638" t="s">
        <v>1745</v>
      </c>
      <c r="X638" t="s">
        <v>837</v>
      </c>
      <c r="Y638" t="s">
        <v>1248</v>
      </c>
      <c r="Z638" t="s">
        <v>1691</v>
      </c>
      <c r="AA638" s="211" t="s">
        <v>526</v>
      </c>
      <c r="AB638">
        <v>1.8</v>
      </c>
      <c r="AC638">
        <v>0.9</v>
      </c>
    </row>
    <row r="639" spans="22:29" x14ac:dyDescent="0.45">
      <c r="V639" t="str">
        <f>condiciones_comuna[[#This Row],[Zona Térmica]]&amp;" - "&amp;condiciones_comuna[[#This Row],[Comuna / localidad]]</f>
        <v>Zona H - San Fabián</v>
      </c>
      <c r="W639" t="s">
        <v>1745</v>
      </c>
      <c r="X639" t="s">
        <v>1080</v>
      </c>
      <c r="Y639" t="s">
        <v>1248</v>
      </c>
      <c r="Z639" t="s">
        <v>1688</v>
      </c>
      <c r="AA639" s="211" t="s">
        <v>526</v>
      </c>
      <c r="AB639">
        <v>1.8</v>
      </c>
      <c r="AC639">
        <v>0.9</v>
      </c>
    </row>
    <row r="640" spans="22:29" x14ac:dyDescent="0.45">
      <c r="V640" t="str">
        <f>condiciones_comuna[[#This Row],[Zona Térmica]]&amp;" - "&amp;condiciones_comuna[[#This Row],[Comuna / localidad]]</f>
        <v>Zona H - San Fernando</v>
      </c>
      <c r="W640" t="s">
        <v>1745</v>
      </c>
      <c r="X640" t="s">
        <v>1020</v>
      </c>
      <c r="Y640" t="s">
        <v>1248</v>
      </c>
      <c r="Z640" t="s">
        <v>1688</v>
      </c>
      <c r="AA640" s="211" t="s">
        <v>526</v>
      </c>
      <c r="AB640">
        <v>1.8</v>
      </c>
      <c r="AC640">
        <v>0.9</v>
      </c>
    </row>
    <row r="641" spans="22:29" x14ac:dyDescent="0.45">
      <c r="V641" t="str">
        <f>condiciones_comuna[[#This Row],[Zona Térmica]]&amp;" - "&amp;condiciones_comuna[[#This Row],[Comuna / localidad]]</f>
        <v>Zona H - San José de Maipo</v>
      </c>
      <c r="W641" t="s">
        <v>1745</v>
      </c>
      <c r="X641" t="s">
        <v>907</v>
      </c>
      <c r="Y641" t="s">
        <v>1248</v>
      </c>
      <c r="Z641" t="s">
        <v>1691</v>
      </c>
      <c r="AA641" s="211" t="s">
        <v>526</v>
      </c>
      <c r="AB641">
        <v>1.8</v>
      </c>
      <c r="AC641">
        <v>0.9</v>
      </c>
    </row>
    <row r="642" spans="22:29" x14ac:dyDescent="0.45">
      <c r="V642" t="str">
        <f>condiciones_comuna[[#This Row],[Zona Térmica]]&amp;" - "&amp;condiciones_comuna[[#This Row],[Comuna / localidad]]</f>
        <v>Zona H - San Pedro de Atacama</v>
      </c>
      <c r="W642" t="s">
        <v>1745</v>
      </c>
      <c r="X642" t="s">
        <v>773</v>
      </c>
      <c r="Y642" t="s">
        <v>1248</v>
      </c>
      <c r="Z642" t="s">
        <v>1689</v>
      </c>
      <c r="AA642" t="s">
        <v>449</v>
      </c>
      <c r="AB642">
        <v>0.4</v>
      </c>
      <c r="AC642">
        <v>0.27</v>
      </c>
    </row>
    <row r="643" spans="22:29" x14ac:dyDescent="0.45">
      <c r="V643" t="str">
        <f>condiciones_comuna[[#This Row],[Zona Térmica]]&amp;" - "&amp;condiciones_comuna[[#This Row],[Comuna / localidad]]</f>
        <v>Zona H - Santa Bárbara</v>
      </c>
      <c r="W643" t="s">
        <v>1745</v>
      </c>
      <c r="X643" t="s">
        <v>1094</v>
      </c>
      <c r="Y643" t="s">
        <v>1248</v>
      </c>
      <c r="Z643" t="s">
        <v>1688</v>
      </c>
      <c r="AA643" s="211" t="s">
        <v>526</v>
      </c>
      <c r="AB643">
        <v>1.8</v>
      </c>
      <c r="AC643">
        <v>0.9</v>
      </c>
    </row>
    <row r="644" spans="22:29" x14ac:dyDescent="0.45">
      <c r="V644" t="str">
        <f>condiciones_comuna[[#This Row],[Zona Térmica]]&amp;" - "&amp;condiciones_comuna[[#This Row],[Comuna / localidad]]</f>
        <v>Zona H - Taltal</v>
      </c>
      <c r="W644" t="s">
        <v>1745</v>
      </c>
      <c r="X644" t="s">
        <v>767</v>
      </c>
      <c r="Y644" t="s">
        <v>1248</v>
      </c>
      <c r="Z644" t="s">
        <v>1689</v>
      </c>
      <c r="AA644" s="211" t="s">
        <v>526</v>
      </c>
      <c r="AB644">
        <v>1.8</v>
      </c>
      <c r="AC644">
        <v>0.9</v>
      </c>
    </row>
    <row r="645" spans="22:29" x14ac:dyDescent="0.45">
      <c r="V645" t="str">
        <f>condiciones_comuna[[#This Row],[Zona Térmica]]&amp;" - "&amp;condiciones_comuna[[#This Row],[Comuna / localidad]]</f>
        <v>Zona H - Teno</v>
      </c>
      <c r="W645" t="s">
        <v>1745</v>
      </c>
      <c r="X645" t="s">
        <v>1035</v>
      </c>
      <c r="Y645" t="s">
        <v>1248</v>
      </c>
      <c r="Z645" t="s">
        <v>1688</v>
      </c>
      <c r="AA645" s="211" t="s">
        <v>526</v>
      </c>
      <c r="AB645">
        <v>1.8</v>
      </c>
      <c r="AC645">
        <v>0.9</v>
      </c>
    </row>
    <row r="646" spans="22:29" x14ac:dyDescent="0.45">
      <c r="V646" t="str">
        <f>condiciones_comuna[[#This Row],[Zona Térmica]]&amp;" - "&amp;condiciones_comuna[[#This Row],[Comuna / localidad]]</f>
        <v>Zona H - Tierra Amarilla</v>
      </c>
      <c r="W646" t="s">
        <v>1745</v>
      </c>
      <c r="X646" t="s">
        <v>793</v>
      </c>
      <c r="Y646" t="s">
        <v>1248</v>
      </c>
      <c r="Z646" t="s">
        <v>1689</v>
      </c>
      <c r="AA646" s="211" t="s">
        <v>526</v>
      </c>
      <c r="AB646">
        <v>1.8</v>
      </c>
      <c r="AC646">
        <v>0.9</v>
      </c>
    </row>
    <row r="647" spans="22:29" x14ac:dyDescent="0.45">
      <c r="V647" t="str">
        <f>condiciones_comuna[[#This Row],[Zona Térmica]]&amp;" - "&amp;condiciones_comuna[[#This Row],[Comuna / localidad]]</f>
        <v>Zona H - Tucapel</v>
      </c>
      <c r="W647" t="s">
        <v>1745</v>
      </c>
      <c r="X647" t="s">
        <v>1096</v>
      </c>
      <c r="Y647" t="s">
        <v>1248</v>
      </c>
      <c r="Z647" t="s">
        <v>1688</v>
      </c>
      <c r="AA647" s="211" t="s">
        <v>526</v>
      </c>
      <c r="AB647">
        <v>1.8</v>
      </c>
      <c r="AC647">
        <v>0.9</v>
      </c>
    </row>
    <row r="648" spans="22:29" x14ac:dyDescent="0.45">
      <c r="V648" t="str">
        <f>condiciones_comuna[[#This Row],[Zona Térmica]]&amp;" - "&amp;condiciones_comuna[[#This Row],[Comuna / localidad]]</f>
        <v>Zona H - Vicuña</v>
      </c>
      <c r="W648" t="s">
        <v>1745</v>
      </c>
      <c r="X648" t="s">
        <v>457</v>
      </c>
      <c r="Y648" t="s">
        <v>1248</v>
      </c>
      <c r="Z648" t="s">
        <v>1689</v>
      </c>
      <c r="AA648" s="211" t="s">
        <v>526</v>
      </c>
      <c r="AB648">
        <v>1.8</v>
      </c>
      <c r="AC648">
        <v>0.9</v>
      </c>
    </row>
    <row r="649" spans="22:29" x14ac:dyDescent="0.45">
      <c r="V649" t="str">
        <f>condiciones_comuna[[#This Row],[Zona Térmica]]&amp;" - "&amp;condiciones_comuna[[#This Row],[Comuna / localidad]]</f>
        <v>Zona H - Yungay</v>
      </c>
      <c r="W649" t="s">
        <v>1745</v>
      </c>
      <c r="X649" t="s">
        <v>1067</v>
      </c>
      <c r="Y649" t="s">
        <v>1248</v>
      </c>
      <c r="Z649" t="s">
        <v>1688</v>
      </c>
      <c r="AA649" s="211" t="s">
        <v>526</v>
      </c>
      <c r="AB649">
        <v>1.8</v>
      </c>
      <c r="AC649">
        <v>0.9</v>
      </c>
    </row>
    <row r="650" spans="22:29" x14ac:dyDescent="0.45">
      <c r="V650" t="str">
        <f>condiciones_comuna[[#This Row],[Zona Térmica]]&amp;" - "&amp;condiciones_comuna[[#This Row],[Comuna / localidad]]</f>
        <v>Zona I - Todas las comunas excepto Futaleufú y Palena</v>
      </c>
      <c r="W650" t="s">
        <v>1746</v>
      </c>
      <c r="X650" t="s">
        <v>1700</v>
      </c>
      <c r="Y650" t="s">
        <v>1248</v>
      </c>
      <c r="Z650" t="s">
        <v>1248</v>
      </c>
      <c r="AA650" s="49" t="str">
        <f>+"Provincia de Capitán Prat"</f>
        <v>Provincia de Capitán Prat</v>
      </c>
      <c r="AB650">
        <v>-1.6</v>
      </c>
      <c r="AC650">
        <v>0.93</v>
      </c>
    </row>
    <row r="651" spans="22:29" x14ac:dyDescent="0.45">
      <c r="V651" t="str">
        <f>condiciones_comuna[[#This Row],[Zona Térmica]]&amp;" - "&amp;condiciones_comuna[[#This Row],[Comuna / localidad]]</f>
        <v>Zona I - Futaleufú y Palena</v>
      </c>
      <c r="W651" t="s">
        <v>1746</v>
      </c>
      <c r="X651" t="s">
        <v>1696</v>
      </c>
      <c r="Y651" t="s">
        <v>1248</v>
      </c>
      <c r="Z651" t="s">
        <v>1248</v>
      </c>
      <c r="AA651" s="49" t="str">
        <f>+"Provincia de Palena"</f>
        <v>Provincia de Palena</v>
      </c>
      <c r="AB651">
        <v>-5.6</v>
      </c>
      <c r="AC651">
        <v>0.86</v>
      </c>
    </row>
    <row r="652" spans="22:29" x14ac:dyDescent="0.45">
      <c r="V652" t="str">
        <f>condiciones_comuna[[#This Row],[Zona Térmica]]&amp;" - "&amp;condiciones_comuna[[#This Row],[Comuna / localidad]]</f>
        <v>Zona I - Aisén</v>
      </c>
      <c r="W652" t="s">
        <v>1746</v>
      </c>
      <c r="X652" t="s">
        <v>1146</v>
      </c>
      <c r="Y652" t="s">
        <v>1248</v>
      </c>
      <c r="Z652" t="s">
        <v>1248</v>
      </c>
      <c r="AA652" s="211" t="str">
        <f>+"Provincia de Aysén"</f>
        <v>Provincia de Aysén</v>
      </c>
      <c r="AB652">
        <v>1.8</v>
      </c>
      <c r="AC652">
        <v>0.98</v>
      </c>
    </row>
    <row r="653" spans="22:29" x14ac:dyDescent="0.45">
      <c r="V653" t="str">
        <f>condiciones_comuna[[#This Row],[Zona Térmica]]&amp;" - "&amp;condiciones_comuna[[#This Row],[Comuna / localidad]]</f>
        <v>Zona I - Cabo de Hornos</v>
      </c>
      <c r="W653" t="s">
        <v>1746</v>
      </c>
      <c r="X653" t="s">
        <v>774</v>
      </c>
      <c r="Y653" t="s">
        <v>1248</v>
      </c>
      <c r="Z653" t="s">
        <v>1248</v>
      </c>
      <c r="AA653" s="49" t="str">
        <f>+"Provincia de Capitán Prat"</f>
        <v>Provincia de Capitán Prat</v>
      </c>
      <c r="AB653">
        <v>-1.6</v>
      </c>
      <c r="AC653">
        <v>0.93</v>
      </c>
    </row>
    <row r="654" spans="22:29" x14ac:dyDescent="0.45">
      <c r="V654" t="str">
        <f>condiciones_comuna[[#This Row],[Zona Térmica]]&amp;" - "&amp;condiciones_comuna[[#This Row],[Comuna / localidad]]</f>
        <v>Zona I - Chile Chico</v>
      </c>
      <c r="W654" t="s">
        <v>1746</v>
      </c>
      <c r="X654" t="s">
        <v>582</v>
      </c>
      <c r="Y654" t="s">
        <v>1248</v>
      </c>
      <c r="Z654" t="s">
        <v>1248</v>
      </c>
      <c r="AA654" s="211" t="str">
        <f>+"Provincia de Coyhaique"</f>
        <v>Provincia de Coyhaique</v>
      </c>
      <c r="AB654">
        <v>-0.4</v>
      </c>
      <c r="AC654">
        <v>0.95</v>
      </c>
    </row>
    <row r="655" spans="22:29" x14ac:dyDescent="0.45">
      <c r="V655" t="str">
        <f>condiciones_comuna[[#This Row],[Zona Térmica]]&amp;" - "&amp;condiciones_comuna[[#This Row],[Comuna / localidad]]</f>
        <v>Zona I - Cisnes</v>
      </c>
      <c r="W655" t="s">
        <v>1746</v>
      </c>
      <c r="X655" t="s">
        <v>838</v>
      </c>
      <c r="Y655" t="s">
        <v>1248</v>
      </c>
      <c r="Z655" t="s">
        <v>1248</v>
      </c>
      <c r="AA655" s="211" t="str">
        <f>+"Provincia de Aysén"</f>
        <v>Provincia de Aysén</v>
      </c>
      <c r="AB655">
        <v>1.8</v>
      </c>
      <c r="AC655">
        <v>0.98</v>
      </c>
    </row>
    <row r="656" spans="22:29" x14ac:dyDescent="0.45">
      <c r="V656" t="str">
        <f>condiciones_comuna[[#This Row],[Zona Térmica]]&amp;" - "&amp;condiciones_comuna[[#This Row],[Comuna / localidad]]</f>
        <v>Zona I - Cochrane</v>
      </c>
      <c r="W656" t="s">
        <v>1746</v>
      </c>
      <c r="X656" t="s">
        <v>585</v>
      </c>
      <c r="Y656" t="s">
        <v>1248</v>
      </c>
      <c r="Z656" t="s">
        <v>1248</v>
      </c>
      <c r="AA656" s="49" t="str">
        <f>+"Provincia de Capitán Prat"</f>
        <v>Provincia de Capitán Prat</v>
      </c>
      <c r="AB656">
        <v>-1.6</v>
      </c>
      <c r="AC656">
        <v>0.93</v>
      </c>
    </row>
    <row r="657" spans="22:29" x14ac:dyDescent="0.45">
      <c r="V657" t="str">
        <f>condiciones_comuna[[#This Row],[Zona Térmica]]&amp;" - "&amp;condiciones_comuna[[#This Row],[Comuna / localidad]]</f>
        <v>Zona I - Coihaique</v>
      </c>
      <c r="W657" t="s">
        <v>1746</v>
      </c>
      <c r="X657" t="s">
        <v>1695</v>
      </c>
      <c r="Y657" t="s">
        <v>1248</v>
      </c>
      <c r="Z657" t="s">
        <v>1248</v>
      </c>
      <c r="AA657" s="49" t="str">
        <f>+"Provincia de Coyhaique"</f>
        <v>Provincia de Coyhaique</v>
      </c>
      <c r="AB657">
        <v>-0.4</v>
      </c>
      <c r="AC657">
        <v>0.95</v>
      </c>
    </row>
    <row r="658" spans="22:29" x14ac:dyDescent="0.45">
      <c r="V658" t="str">
        <f>condiciones_comuna[[#This Row],[Zona Térmica]]&amp;" - "&amp;condiciones_comuna[[#This Row],[Comuna / localidad]]</f>
        <v>Zona I - Futaleufú</v>
      </c>
      <c r="W658" t="s">
        <v>1746</v>
      </c>
      <c r="X658" t="s">
        <v>922</v>
      </c>
      <c r="Y658" t="s">
        <v>1248</v>
      </c>
      <c r="Z658" t="s">
        <v>1248</v>
      </c>
      <c r="AA658" s="49" t="str">
        <f>+"Provincia de Palena"</f>
        <v>Provincia de Palena</v>
      </c>
      <c r="AB658">
        <v>-5.6</v>
      </c>
      <c r="AC658">
        <v>0.86</v>
      </c>
    </row>
    <row r="659" spans="22:29" x14ac:dyDescent="0.45">
      <c r="V659" t="str">
        <f>condiciones_comuna[[#This Row],[Zona Térmica]]&amp;" - "&amp;condiciones_comuna[[#This Row],[Comuna / localidad]]</f>
        <v>Zona I - Guaitecas</v>
      </c>
      <c r="W659" t="s">
        <v>1746</v>
      </c>
      <c r="X659" t="s">
        <v>930</v>
      </c>
      <c r="Y659" t="s">
        <v>1248</v>
      </c>
      <c r="Z659" t="s">
        <v>1248</v>
      </c>
      <c r="AA659" s="211" t="str">
        <f>+"Provincia de Aysén"</f>
        <v>Provincia de Aysén</v>
      </c>
      <c r="AB659">
        <v>1.8</v>
      </c>
      <c r="AC659">
        <v>0.98</v>
      </c>
    </row>
    <row r="660" spans="22:29" x14ac:dyDescent="0.45">
      <c r="V660" t="str">
        <f>condiciones_comuna[[#This Row],[Zona Térmica]]&amp;" - "&amp;condiciones_comuna[[#This Row],[Comuna / localidad]]</f>
        <v>Zona I - Lago Verde</v>
      </c>
      <c r="W660" t="s">
        <v>1746</v>
      </c>
      <c r="X660" t="s">
        <v>971</v>
      </c>
      <c r="Y660" t="s">
        <v>1248</v>
      </c>
      <c r="Z660" t="s">
        <v>1248</v>
      </c>
      <c r="AA660" s="49" t="str">
        <f>+"Provincia de Coyhaique"</f>
        <v>Provincia de Coyhaique</v>
      </c>
      <c r="AB660">
        <v>-0.4</v>
      </c>
      <c r="AC660">
        <v>0.95</v>
      </c>
    </row>
    <row r="661" spans="22:29" x14ac:dyDescent="0.45">
      <c r="V661" t="str">
        <f>condiciones_comuna[[#This Row],[Zona Térmica]]&amp;" - "&amp;condiciones_comuna[[#This Row],[Comuna / localidad]]</f>
        <v>Zona I - Laguna Blanca</v>
      </c>
      <c r="W661" t="s">
        <v>1746</v>
      </c>
      <c r="X661" t="s">
        <v>973</v>
      </c>
      <c r="Y661" t="s">
        <v>1248</v>
      </c>
      <c r="Z661" t="s">
        <v>1248</v>
      </c>
      <c r="AA661" s="49" t="str">
        <f t="shared" ref="AA661:AA663" si="20">+"Provincia de Capitán Prat"</f>
        <v>Provincia de Capitán Prat</v>
      </c>
      <c r="AB661">
        <v>-1.6</v>
      </c>
      <c r="AC661">
        <v>0.93</v>
      </c>
    </row>
    <row r="662" spans="22:29" x14ac:dyDescent="0.45">
      <c r="V662" t="str">
        <f>condiciones_comuna[[#This Row],[Zona Térmica]]&amp;" - "&amp;condiciones_comuna[[#This Row],[Comuna / localidad]]</f>
        <v>Zona I - Natales</v>
      </c>
      <c r="W662" t="s">
        <v>1746</v>
      </c>
      <c r="X662" t="s">
        <v>1039</v>
      </c>
      <c r="Y662" t="s">
        <v>1248</v>
      </c>
      <c r="Z662" t="s">
        <v>1248</v>
      </c>
      <c r="AA662" s="49" t="str">
        <f t="shared" si="20"/>
        <v>Provincia de Capitán Prat</v>
      </c>
      <c r="AB662">
        <v>-1.6</v>
      </c>
      <c r="AC662">
        <v>0.93</v>
      </c>
    </row>
    <row r="663" spans="22:29" x14ac:dyDescent="0.45">
      <c r="V663" t="str">
        <f>condiciones_comuna[[#This Row],[Zona Térmica]]&amp;" - "&amp;condiciones_comuna[[#This Row],[Comuna / localidad]]</f>
        <v>Zona I - O'Higgins</v>
      </c>
      <c r="W663" t="s">
        <v>1746</v>
      </c>
      <c r="X663" t="s">
        <v>1049</v>
      </c>
      <c r="Y663" t="s">
        <v>1248</v>
      </c>
      <c r="Z663" t="s">
        <v>1248</v>
      </c>
      <c r="AA663" s="49" t="str">
        <f t="shared" si="20"/>
        <v>Provincia de Capitán Prat</v>
      </c>
      <c r="AB663">
        <v>-1.6</v>
      </c>
      <c r="AC663">
        <v>0.93</v>
      </c>
    </row>
    <row r="664" spans="22:29" x14ac:dyDescent="0.45">
      <c r="V664" t="str">
        <f>condiciones_comuna[[#This Row],[Zona Térmica]]&amp;" - "&amp;condiciones_comuna[[#This Row],[Comuna / localidad]]</f>
        <v>Zona I - Palena</v>
      </c>
      <c r="W664" t="s">
        <v>1746</v>
      </c>
      <c r="X664" t="s">
        <v>1060</v>
      </c>
      <c r="Y664" t="s">
        <v>1248</v>
      </c>
      <c r="Z664" t="s">
        <v>1248</v>
      </c>
      <c r="AA664" s="49" t="str">
        <f>+"Provincia de Palena"</f>
        <v>Provincia de Palena</v>
      </c>
      <c r="AB664">
        <v>-5.6</v>
      </c>
      <c r="AC664">
        <v>0.86</v>
      </c>
    </row>
    <row r="665" spans="22:29" x14ac:dyDescent="0.45">
      <c r="V665" t="str">
        <f>condiciones_comuna[[#This Row],[Zona Térmica]]&amp;" - "&amp;condiciones_comuna[[#This Row],[Comuna / localidad]]</f>
        <v>Zona I - Porvenir</v>
      </c>
      <c r="W665" t="s">
        <v>1746</v>
      </c>
      <c r="X665" t="s">
        <v>1086</v>
      </c>
      <c r="Y665" t="s">
        <v>1248</v>
      </c>
      <c r="Z665" t="s">
        <v>1248</v>
      </c>
      <c r="AA665" s="49" t="str">
        <f t="shared" ref="AA665:AA667" si="21">+"Provincia de Capitán Prat"</f>
        <v>Provincia de Capitán Prat</v>
      </c>
      <c r="AB665">
        <v>-1.6</v>
      </c>
      <c r="AC665">
        <v>0.93</v>
      </c>
    </row>
    <row r="666" spans="22:29" x14ac:dyDescent="0.45">
      <c r="V666" t="str">
        <f>condiciones_comuna[[#This Row],[Zona Térmica]]&amp;" - "&amp;condiciones_comuna[[#This Row],[Comuna / localidad]]</f>
        <v>Zona I - Primavera</v>
      </c>
      <c r="W666" t="s">
        <v>1746</v>
      </c>
      <c r="X666" t="s">
        <v>1087</v>
      </c>
      <c r="Y666" t="s">
        <v>1248</v>
      </c>
      <c r="Z666" t="s">
        <v>1248</v>
      </c>
      <c r="AA666" s="49" t="str">
        <f t="shared" si="21"/>
        <v>Provincia de Capitán Prat</v>
      </c>
      <c r="AB666">
        <v>-1.6</v>
      </c>
      <c r="AC666">
        <v>0.93</v>
      </c>
    </row>
    <row r="667" spans="22:29" x14ac:dyDescent="0.45">
      <c r="V667" t="str">
        <f>condiciones_comuna[[#This Row],[Zona Térmica]]&amp;" - "&amp;condiciones_comuna[[#This Row],[Comuna / localidad]]</f>
        <v>Zona I - Punta Arenas</v>
      </c>
      <c r="W667" t="s">
        <v>1746</v>
      </c>
      <c r="X667" t="s">
        <v>587</v>
      </c>
      <c r="Y667" t="s">
        <v>1248</v>
      </c>
      <c r="Z667" t="s">
        <v>1248</v>
      </c>
      <c r="AA667" s="49" t="str">
        <f t="shared" si="21"/>
        <v>Provincia de Capitán Prat</v>
      </c>
      <c r="AB667">
        <v>-1.6</v>
      </c>
      <c r="AC667">
        <v>0.93</v>
      </c>
    </row>
    <row r="668" spans="22:29" x14ac:dyDescent="0.45">
      <c r="V668" t="str">
        <f>condiciones_comuna[[#This Row],[Zona Térmica]]&amp;" - "&amp;condiciones_comuna[[#This Row],[Comuna / localidad]]</f>
        <v>Zona I - Río Ibáñez</v>
      </c>
      <c r="W668" t="s">
        <v>1746</v>
      </c>
      <c r="X668" t="s">
        <v>1126</v>
      </c>
      <c r="Y668" t="s">
        <v>1248</v>
      </c>
      <c r="Z668" t="s">
        <v>1248</v>
      </c>
      <c r="AA668" s="49" t="str">
        <f>+"Provincia de Coyhaique"</f>
        <v>Provincia de Coyhaique</v>
      </c>
      <c r="AB668">
        <v>-0.4</v>
      </c>
      <c r="AC668">
        <v>0.95</v>
      </c>
    </row>
    <row r="669" spans="22:29" x14ac:dyDescent="0.45">
      <c r="V669" t="str">
        <f>condiciones_comuna[[#This Row],[Zona Térmica]]&amp;" - "&amp;condiciones_comuna[[#This Row],[Comuna / localidad]]</f>
        <v>Zona I - Río Verde</v>
      </c>
      <c r="W669" t="s">
        <v>1746</v>
      </c>
      <c r="X669" t="s">
        <v>1129</v>
      </c>
      <c r="Y669" t="s">
        <v>1248</v>
      </c>
      <c r="Z669" t="s">
        <v>1248</v>
      </c>
      <c r="AA669" s="49" t="str">
        <f t="shared" ref="AA669:AA673" si="22">+"Provincia de Capitán Prat"</f>
        <v>Provincia de Capitán Prat</v>
      </c>
      <c r="AB669">
        <v>-1.6</v>
      </c>
      <c r="AC669">
        <v>0.93</v>
      </c>
    </row>
    <row r="670" spans="22:29" x14ac:dyDescent="0.45">
      <c r="V670" t="str">
        <f>condiciones_comuna[[#This Row],[Zona Térmica]]&amp;" - "&amp;condiciones_comuna[[#This Row],[Comuna / localidad]]</f>
        <v>Zona I - San Gregorio</v>
      </c>
      <c r="W670" t="s">
        <v>1746</v>
      </c>
      <c r="X670" t="s">
        <v>1137</v>
      </c>
      <c r="Y670" t="s">
        <v>1248</v>
      </c>
      <c r="Z670" t="s">
        <v>1248</v>
      </c>
      <c r="AA670" s="49" t="str">
        <f t="shared" si="22"/>
        <v>Provincia de Capitán Prat</v>
      </c>
      <c r="AB670">
        <v>-1.6</v>
      </c>
      <c r="AC670">
        <v>0.93</v>
      </c>
    </row>
    <row r="671" spans="22:29" x14ac:dyDescent="0.45">
      <c r="V671" t="str">
        <f>condiciones_comuna[[#This Row],[Zona Térmica]]&amp;" - "&amp;condiciones_comuna[[#This Row],[Comuna / localidad]]</f>
        <v>Zona I - Timaukel</v>
      </c>
      <c r="W671" t="s">
        <v>1746</v>
      </c>
      <c r="X671" t="s">
        <v>1145</v>
      </c>
      <c r="Y671" t="s">
        <v>1248</v>
      </c>
      <c r="Z671" t="s">
        <v>1248</v>
      </c>
      <c r="AA671" s="49" t="str">
        <f t="shared" si="22"/>
        <v>Provincia de Capitán Prat</v>
      </c>
      <c r="AB671">
        <v>-1.6</v>
      </c>
      <c r="AC671">
        <v>0.93</v>
      </c>
    </row>
    <row r="672" spans="22:29" x14ac:dyDescent="0.45">
      <c r="V672" t="str">
        <f>condiciones_comuna[[#This Row],[Zona Térmica]]&amp;" - "&amp;condiciones_comuna[[#This Row],[Comuna / localidad]]</f>
        <v>Zona I - Torres del Paine</v>
      </c>
      <c r="W672" t="s">
        <v>1746</v>
      </c>
      <c r="X672" t="s">
        <v>1147</v>
      </c>
      <c r="Y672" t="s">
        <v>1248</v>
      </c>
      <c r="Z672" t="s">
        <v>1248</v>
      </c>
      <c r="AA672" s="49" t="str">
        <f t="shared" si="22"/>
        <v>Provincia de Capitán Prat</v>
      </c>
      <c r="AB672">
        <v>-1.6</v>
      </c>
      <c r="AC672">
        <v>0.93</v>
      </c>
    </row>
    <row r="673" spans="22:29" x14ac:dyDescent="0.45">
      <c r="V673" t="str">
        <f>condiciones_comuna[[#This Row],[Zona Térmica]]&amp;" - "&amp;condiciones_comuna[[#This Row],[Comuna / localidad]]</f>
        <v>Zona I - Tortel</v>
      </c>
      <c r="W673" t="s">
        <v>1746</v>
      </c>
      <c r="X673" t="s">
        <v>1148</v>
      </c>
      <c r="Y673" t="s">
        <v>1248</v>
      </c>
      <c r="Z673" t="s">
        <v>1248</v>
      </c>
      <c r="AA673" s="49" t="str">
        <f t="shared" si="22"/>
        <v>Provincia de Capitán Prat</v>
      </c>
      <c r="AB673">
        <v>-1.6</v>
      </c>
      <c r="AC673">
        <v>0.93</v>
      </c>
    </row>
    <row r="674" spans="22:29" x14ac:dyDescent="0.45">
      <c r="V674" t="str">
        <f>condiciones_comuna[[#This Row],[Zona Térmica]]&amp;" - "&amp;condiciones_comuna[[#This Row],[Comuna / localidad]]</f>
        <v>Zona POLAR - Antártica chilena</v>
      </c>
      <c r="W674" t="s">
        <v>1747</v>
      </c>
      <c r="X674" t="s">
        <v>1694</v>
      </c>
      <c r="Y674" t="s">
        <v>1248</v>
      </c>
      <c r="Z674" t="s">
        <v>1248</v>
      </c>
      <c r="AA674" s="355" t="s">
        <v>1737</v>
      </c>
      <c r="AB674">
        <v>-6.8</v>
      </c>
      <c r="AC674">
        <v>0.88</v>
      </c>
    </row>
    <row r="675" spans="22:29" x14ac:dyDescent="0.45">
      <c r="V675" t="str">
        <f>condiciones_comuna[[#This Row],[Zona Térmica]]&amp;" - "&amp;condiciones_comuna[[#This Row],[Comuna / localidad]]</f>
        <v>Macrozona B/C/D - Todas las comunas excepto Calama, María Elena, San Pedro de Atacama y Sierra Gorda y Las islas: Archip. Juan Fernández, Salas y Gómez, Islas Desventuradas</v>
      </c>
      <c r="W675" t="s">
        <v>1808</v>
      </c>
      <c r="X675" t="s">
        <v>1814</v>
      </c>
      <c r="AA675" s="49" t="s">
        <v>537</v>
      </c>
      <c r="AB675">
        <v>2.2000000000000002</v>
      </c>
      <c r="AC675">
        <v>0.92</v>
      </c>
    </row>
    <row r="676" spans="22:29" x14ac:dyDescent="0.45">
      <c r="V676" t="str">
        <f>condiciones_comuna[[#This Row],[Zona Térmica]]&amp;" - "&amp;condiciones_comuna[[#This Row],[Comuna / localidad]]</f>
        <v>Macrozona B/C/D - Todas las comunas excepto Las islas: Archip. Juan Fernández, Salas y Gómez, Islas Desventuradas</v>
      </c>
      <c r="W676" t="s">
        <v>1808</v>
      </c>
      <c r="X676" t="s">
        <v>1815</v>
      </c>
      <c r="AA676" t="s">
        <v>449</v>
      </c>
      <c r="AB676">
        <v>0.4</v>
      </c>
      <c r="AC676">
        <v>0.27</v>
      </c>
    </row>
    <row r="677" spans="22:29" x14ac:dyDescent="0.45">
      <c r="V677" t="str">
        <f>condiciones_comuna[[#This Row],[Zona Térmica]]&amp;" - "&amp;condiciones_comuna[[#This Row],[Comuna / localidad]]</f>
        <v>Macrozona B/C/D/E - Todas las comunas excepto Calama, María Elena, San Pedro de Atacama y Sierra Gorda y Las islas: Archip. Juan Fernández, Salas y Gómez, Islas Desventuradas</v>
      </c>
      <c r="W677" t="s">
        <v>1809</v>
      </c>
      <c r="X677" t="s">
        <v>1814</v>
      </c>
      <c r="AA677" s="49" t="s">
        <v>537</v>
      </c>
      <c r="AB677">
        <v>2.2000000000000002</v>
      </c>
      <c r="AC677">
        <v>0.92</v>
      </c>
    </row>
    <row r="678" spans="22:29" x14ac:dyDescent="0.45">
      <c r="V678" t="str">
        <f>condiciones_comuna[[#This Row],[Zona Térmica]]&amp;" - "&amp;condiciones_comuna[[#This Row],[Comuna / localidad]]</f>
        <v>Macrozona B/C/D/E - Todas las comunas excepto Las islas: Archip. Juan Fernández, Salas y Gómez, Islas Desventuradas</v>
      </c>
      <c r="W678" t="s">
        <v>1809</v>
      </c>
      <c r="X678" t="s">
        <v>1815</v>
      </c>
      <c r="AA678" t="s">
        <v>449</v>
      </c>
      <c r="AB678">
        <v>0.4</v>
      </c>
      <c r="AC678">
        <v>0.27</v>
      </c>
    </row>
    <row r="679" spans="22:29" x14ac:dyDescent="0.45">
      <c r="V679" t="str">
        <f>condiciones_comuna[[#This Row],[Zona Térmica]]&amp;" - "&amp;condiciones_comuna[[#This Row],[Comuna / localidad]]</f>
        <v>Macrozona F/G - Todas las comunas</v>
      </c>
      <c r="W679" t="s">
        <v>1810</v>
      </c>
      <c r="X679" t="s">
        <v>1685</v>
      </c>
      <c r="AA679" s="49" t="str">
        <f t="shared" ref="AA679" si="23">+"Provincia de Valdivia"</f>
        <v>Provincia de Valdivia</v>
      </c>
      <c r="AB679">
        <v>3.5</v>
      </c>
      <c r="AC679">
        <v>0.98</v>
      </c>
    </row>
    <row r="680" spans="22:29" x14ac:dyDescent="0.45">
      <c r="V680" t="str">
        <f>condiciones_comuna[[#This Row],[Zona Térmica]]&amp;" - "&amp;condiciones_comuna[[#This Row],[Comuna / localidad]]</f>
        <v>Macrozona H/I - Todas las comunas excepto Calama, San Pedro de Atacama, Antártica chilena, Futaleufú y Palena</v>
      </c>
      <c r="W680" t="s">
        <v>1811</v>
      </c>
      <c r="X680" t="s">
        <v>1812</v>
      </c>
      <c r="AA680" s="49" t="str">
        <f t="shared" ref="AA680" si="24">+"Provincia de Capitán Prat"</f>
        <v>Provincia de Capitán Prat</v>
      </c>
      <c r="AB680">
        <v>-1.6</v>
      </c>
      <c r="AC680">
        <v>0.93</v>
      </c>
    </row>
    <row r="681" spans="22:29" x14ac:dyDescent="0.45">
      <c r="V681" t="str">
        <f>condiciones_comuna[[#This Row],[Zona Térmica]]&amp;" - "&amp;condiciones_comuna[[#This Row],[Comuna / localidad]]</f>
        <v>Macrozona H/I - Todas las comunas excepto la Antártica chilena</v>
      </c>
      <c r="W681" t="s">
        <v>1811</v>
      </c>
      <c r="X681" t="s">
        <v>1813</v>
      </c>
      <c r="AA681" s="49" t="str">
        <f>+"Provincia de Palena"</f>
        <v>Provincia de Palena</v>
      </c>
      <c r="AB681">
        <v>-5.6</v>
      </c>
      <c r="AC681">
        <v>0.86</v>
      </c>
    </row>
  </sheetData>
  <sortState xmlns:xlrd2="http://schemas.microsoft.com/office/spreadsheetml/2017/richdata2" ref="AE454:AM486">
    <sortCondition ref="AE454:AE486"/>
  </sortState>
  <mergeCells count="3">
    <mergeCell ref="V1:AI1"/>
    <mergeCell ref="V49:AI49"/>
    <mergeCell ref="BG1:BV1"/>
  </mergeCells>
  <phoneticPr fontId="5" type="noConversion"/>
  <conditionalFormatting sqref="X3:AI45">
    <cfRule type="colorScale" priority="53">
      <colorScale>
        <cfvo type="min"/>
        <cfvo type="percentile" val="50"/>
        <cfvo type="max"/>
        <color rgb="FF5A8AC6"/>
        <color rgb="FFFCFCFF"/>
        <color rgb="FFF8696B"/>
      </colorScale>
    </cfRule>
  </conditionalFormatting>
  <conditionalFormatting sqref="X97:AI97">
    <cfRule type="colorScale" priority="83">
      <colorScale>
        <cfvo type="min"/>
        <cfvo type="percentile" val="50"/>
        <cfvo type="max"/>
        <color rgb="FF5A8AC6"/>
        <color rgb="FFFCFCFF"/>
        <color rgb="FFF8696B"/>
      </colorScale>
    </cfRule>
  </conditionalFormatting>
  <conditionalFormatting sqref="X99:AI99">
    <cfRule type="colorScale" priority="82">
      <colorScale>
        <cfvo type="min"/>
        <cfvo type="percentile" val="50"/>
        <cfvo type="max"/>
        <color rgb="FF5A8AC6"/>
        <color rgb="FFFCFCFF"/>
        <color rgb="FFF8696B"/>
      </colorScale>
    </cfRule>
  </conditionalFormatting>
  <conditionalFormatting sqref="X103:AI103">
    <cfRule type="colorScale" priority="80">
      <colorScale>
        <cfvo type="min"/>
        <cfvo type="percentile" val="50"/>
        <cfvo type="max"/>
        <color rgb="FF5A8AC6"/>
        <color rgb="FFFCFCFF"/>
        <color rgb="FFF8696B"/>
      </colorScale>
    </cfRule>
  </conditionalFormatting>
  <conditionalFormatting sqref="X104:AI104">
    <cfRule type="colorScale" priority="79">
      <colorScale>
        <cfvo type="min"/>
        <cfvo type="percentile" val="50"/>
        <cfvo type="max"/>
        <color rgb="FF5A8AC6"/>
        <color rgb="FFFCFCFF"/>
        <color rgb="FFF8696B"/>
      </colorScale>
    </cfRule>
  </conditionalFormatting>
  <conditionalFormatting sqref="X105:AI105">
    <cfRule type="colorScale" priority="78">
      <colorScale>
        <cfvo type="min"/>
        <cfvo type="percentile" val="50"/>
        <cfvo type="max"/>
        <color rgb="FF5A8AC6"/>
        <color rgb="FFFCFCFF"/>
        <color rgb="FFF8696B"/>
      </colorScale>
    </cfRule>
  </conditionalFormatting>
  <conditionalFormatting sqref="X106:AI106">
    <cfRule type="colorScale" priority="77">
      <colorScale>
        <cfvo type="min"/>
        <cfvo type="percentile" val="50"/>
        <cfvo type="max"/>
        <color rgb="FF5A8AC6"/>
        <color rgb="FFFCFCFF"/>
        <color rgb="FFF8696B"/>
      </colorScale>
    </cfRule>
  </conditionalFormatting>
  <conditionalFormatting sqref="X107:AI107">
    <cfRule type="colorScale" priority="76">
      <colorScale>
        <cfvo type="min"/>
        <cfvo type="percentile" val="50"/>
        <cfvo type="max"/>
        <color rgb="FF5A8AC6"/>
        <color rgb="FFFCFCFF"/>
        <color rgb="FFF8696B"/>
      </colorScale>
    </cfRule>
  </conditionalFormatting>
  <conditionalFormatting sqref="X108:AI108">
    <cfRule type="colorScale" priority="75">
      <colorScale>
        <cfvo type="min"/>
        <cfvo type="percentile" val="50"/>
        <cfvo type="max"/>
        <color rgb="FF5A8AC6"/>
        <color rgb="FFFCFCFF"/>
        <color rgb="FFF8696B"/>
      </colorScale>
    </cfRule>
  </conditionalFormatting>
  <conditionalFormatting sqref="W127:AH127">
    <cfRule type="colorScale" priority="6">
      <colorScale>
        <cfvo type="min"/>
        <cfvo type="max"/>
        <color rgb="FFFCFCFF"/>
        <color rgb="FF63BE7B"/>
      </colorScale>
    </cfRule>
  </conditionalFormatting>
  <conditionalFormatting sqref="W129:AH129">
    <cfRule type="colorScale" priority="64">
      <colorScale>
        <cfvo type="min"/>
        <cfvo type="max"/>
        <color rgb="FFFCFCFF"/>
        <color rgb="FF63BE7B"/>
      </colorScale>
    </cfRule>
  </conditionalFormatting>
  <conditionalFormatting sqref="W131:AH131">
    <cfRule type="colorScale" priority="63">
      <colorScale>
        <cfvo type="min"/>
        <cfvo type="max"/>
        <color rgb="FFFCFCFF"/>
        <color rgb="FF63BE7B"/>
      </colorScale>
    </cfRule>
  </conditionalFormatting>
  <conditionalFormatting sqref="W133:AH133">
    <cfRule type="colorScale" priority="62">
      <colorScale>
        <cfvo type="min"/>
        <cfvo type="max"/>
        <color rgb="FFFCFCFF"/>
        <color rgb="FF63BE7B"/>
      </colorScale>
    </cfRule>
  </conditionalFormatting>
  <conditionalFormatting sqref="W134:AH134">
    <cfRule type="colorScale" priority="61">
      <colorScale>
        <cfvo type="min"/>
        <cfvo type="max"/>
        <color rgb="FFFCFCFF"/>
        <color rgb="FF63BE7B"/>
      </colorScale>
    </cfRule>
  </conditionalFormatting>
  <conditionalFormatting sqref="W135:AH135">
    <cfRule type="colorScale" priority="60">
      <colorScale>
        <cfvo type="min"/>
        <cfvo type="max"/>
        <color rgb="FFFCFCFF"/>
        <color rgb="FF63BE7B"/>
      </colorScale>
    </cfRule>
  </conditionalFormatting>
  <conditionalFormatting sqref="W136:AH136">
    <cfRule type="colorScale" priority="59">
      <colorScale>
        <cfvo type="min"/>
        <cfvo type="max"/>
        <color rgb="FFFCFCFF"/>
        <color rgb="FF63BE7B"/>
      </colorScale>
    </cfRule>
  </conditionalFormatting>
  <conditionalFormatting sqref="W137:AH137">
    <cfRule type="colorScale" priority="58">
      <colorScale>
        <cfvo type="min"/>
        <cfvo type="max"/>
        <color rgb="FFFCFCFF"/>
        <color rgb="FF63BE7B"/>
      </colorScale>
    </cfRule>
  </conditionalFormatting>
  <conditionalFormatting sqref="W138:AH138">
    <cfRule type="colorScale" priority="57">
      <colorScale>
        <cfvo type="min"/>
        <cfvo type="max"/>
        <color rgb="FFFCFCFF"/>
        <color rgb="FF63BE7B"/>
      </colorScale>
    </cfRule>
  </conditionalFormatting>
  <conditionalFormatting sqref="X51:AI93">
    <cfRule type="colorScale" priority="54">
      <colorScale>
        <cfvo type="min"/>
        <cfvo type="max"/>
        <color rgb="FFFCFCFF"/>
        <color rgb="FF63BE7B"/>
      </colorScale>
    </cfRule>
  </conditionalFormatting>
  <conditionalFormatting sqref="X100:AI100">
    <cfRule type="colorScale" priority="52">
      <colorScale>
        <cfvo type="min"/>
        <cfvo type="percentile" val="50"/>
        <cfvo type="max"/>
        <color rgb="FF5A8AC6"/>
        <color rgb="FFFCFCFF"/>
        <color rgb="FFF8696B"/>
      </colorScale>
    </cfRule>
  </conditionalFormatting>
  <conditionalFormatting sqref="W130:AH130">
    <cfRule type="colorScale" priority="51">
      <colorScale>
        <cfvo type="min"/>
        <cfvo type="max"/>
        <color rgb="FFFCFCFF"/>
        <color rgb="FF63BE7B"/>
      </colorScale>
    </cfRule>
  </conditionalFormatting>
  <conditionalFormatting sqref="W139:AH139">
    <cfRule type="colorScale" priority="49">
      <colorScale>
        <cfvo type="min"/>
        <cfvo type="max"/>
        <color rgb="FFFCFCFF"/>
        <color rgb="FF63BE7B"/>
      </colorScale>
    </cfRule>
  </conditionalFormatting>
  <conditionalFormatting sqref="X101:AI101">
    <cfRule type="colorScale" priority="86">
      <colorScale>
        <cfvo type="min"/>
        <cfvo type="percentile" val="50"/>
        <cfvo type="max"/>
        <color rgb="FF5A8AC6"/>
        <color rgb="FFFCFCFF"/>
        <color rgb="FFF8696B"/>
      </colorScale>
    </cfRule>
  </conditionalFormatting>
  <conditionalFormatting sqref="X110:AI110">
    <cfRule type="colorScale" priority="47">
      <colorScale>
        <cfvo type="min"/>
        <cfvo type="percentile" val="50"/>
        <cfvo type="max"/>
        <color rgb="FF5A8AC6"/>
        <color rgb="FFFCFCFF"/>
        <color rgb="FFF8696B"/>
      </colorScale>
    </cfRule>
  </conditionalFormatting>
  <conditionalFormatting sqref="X110:AI110">
    <cfRule type="colorScale" priority="48">
      <colorScale>
        <cfvo type="min"/>
        <cfvo type="percentile" val="50"/>
        <cfvo type="max"/>
        <color rgb="FF5A8AC6"/>
        <color rgb="FFFCFCFF"/>
        <color rgb="FFF8696B"/>
      </colorScale>
    </cfRule>
  </conditionalFormatting>
  <conditionalFormatting sqref="W140:AH140">
    <cfRule type="colorScale" priority="45">
      <colorScale>
        <cfvo type="min"/>
        <cfvo type="max"/>
        <color rgb="FFFCFCFF"/>
        <color rgb="FF63BE7B"/>
      </colorScale>
    </cfRule>
  </conditionalFormatting>
  <conditionalFormatting sqref="W140:AH140">
    <cfRule type="colorScale" priority="46">
      <colorScale>
        <cfvo type="min"/>
        <cfvo type="max"/>
        <color rgb="FFFCFCFF"/>
        <color rgb="FF63BE7B"/>
      </colorScale>
    </cfRule>
  </conditionalFormatting>
  <conditionalFormatting sqref="W141:AH141">
    <cfRule type="colorScale" priority="43">
      <colorScale>
        <cfvo type="min"/>
        <cfvo type="max"/>
        <color rgb="FFFCFCFF"/>
        <color rgb="FF63BE7B"/>
      </colorScale>
    </cfRule>
  </conditionalFormatting>
  <conditionalFormatting sqref="W141:AH141">
    <cfRule type="colorScale" priority="44">
      <colorScale>
        <cfvo type="min"/>
        <cfvo type="max"/>
        <color rgb="FFFCFCFF"/>
        <color rgb="FF63BE7B"/>
      </colorScale>
    </cfRule>
  </conditionalFormatting>
  <conditionalFormatting sqref="X111:AI111">
    <cfRule type="colorScale" priority="41">
      <colorScale>
        <cfvo type="min"/>
        <cfvo type="percentile" val="50"/>
        <cfvo type="max"/>
        <color rgb="FF5A8AC6"/>
        <color rgb="FFFCFCFF"/>
        <color rgb="FFF8696B"/>
      </colorScale>
    </cfRule>
  </conditionalFormatting>
  <conditionalFormatting sqref="X111:AI111">
    <cfRule type="colorScale" priority="42">
      <colorScale>
        <cfvo type="min"/>
        <cfvo type="percentile" val="50"/>
        <cfvo type="max"/>
        <color rgb="FF5A8AC6"/>
        <color rgb="FFFCFCFF"/>
        <color rgb="FFF8696B"/>
      </colorScale>
    </cfRule>
  </conditionalFormatting>
  <conditionalFormatting sqref="X112:AI112">
    <cfRule type="colorScale" priority="39">
      <colorScale>
        <cfvo type="min"/>
        <cfvo type="percentile" val="50"/>
        <cfvo type="max"/>
        <color rgb="FF5A8AC6"/>
        <color rgb="FFFCFCFF"/>
        <color rgb="FFF8696B"/>
      </colorScale>
    </cfRule>
  </conditionalFormatting>
  <conditionalFormatting sqref="X112:AI112">
    <cfRule type="colorScale" priority="40">
      <colorScale>
        <cfvo type="min"/>
        <cfvo type="percentile" val="50"/>
        <cfvo type="max"/>
        <color rgb="FF5A8AC6"/>
        <color rgb="FFFCFCFF"/>
        <color rgb="FFF8696B"/>
      </colorScale>
    </cfRule>
  </conditionalFormatting>
  <conditionalFormatting sqref="W142:AH142">
    <cfRule type="colorScale" priority="37">
      <colorScale>
        <cfvo type="min"/>
        <cfvo type="max"/>
        <color rgb="FFFCFCFF"/>
        <color rgb="FF63BE7B"/>
      </colorScale>
    </cfRule>
  </conditionalFormatting>
  <conditionalFormatting sqref="W142:AH142">
    <cfRule type="colorScale" priority="38">
      <colorScale>
        <cfvo type="min"/>
        <cfvo type="max"/>
        <color rgb="FFFCFCFF"/>
        <color rgb="FF63BE7B"/>
      </colorScale>
    </cfRule>
  </conditionalFormatting>
  <conditionalFormatting sqref="X113:AI113">
    <cfRule type="colorScale" priority="35">
      <colorScale>
        <cfvo type="min"/>
        <cfvo type="percentile" val="50"/>
        <cfvo type="max"/>
        <color rgb="FF5A8AC6"/>
        <color rgb="FFFCFCFF"/>
        <color rgb="FFF8696B"/>
      </colorScale>
    </cfRule>
  </conditionalFormatting>
  <conditionalFormatting sqref="X113:AI113">
    <cfRule type="colorScale" priority="36">
      <colorScale>
        <cfvo type="min"/>
        <cfvo type="percentile" val="50"/>
        <cfvo type="max"/>
        <color rgb="FF5A8AC6"/>
        <color rgb="FFFCFCFF"/>
        <color rgb="FFF8696B"/>
      </colorScale>
    </cfRule>
  </conditionalFormatting>
  <conditionalFormatting sqref="W143:AH143">
    <cfRule type="colorScale" priority="34">
      <colorScale>
        <cfvo type="min"/>
        <cfvo type="max"/>
        <color rgb="FFFCFCFF"/>
        <color rgb="FF63BE7B"/>
      </colorScale>
    </cfRule>
  </conditionalFormatting>
  <conditionalFormatting sqref="X98:AI98">
    <cfRule type="colorScale" priority="30">
      <colorScale>
        <cfvo type="min"/>
        <cfvo type="percentile" val="50"/>
        <cfvo type="max"/>
        <color rgb="FF5A8AC6"/>
        <color rgb="FFFCFCFF"/>
        <color rgb="FFF8696B"/>
      </colorScale>
    </cfRule>
  </conditionalFormatting>
  <conditionalFormatting sqref="X102:AI102">
    <cfRule type="colorScale" priority="29">
      <colorScale>
        <cfvo type="min"/>
        <cfvo type="percentile" val="50"/>
        <cfvo type="max"/>
        <color rgb="FF5A8AC6"/>
        <color rgb="FFFCFCFF"/>
        <color rgb="FFF8696B"/>
      </colorScale>
    </cfRule>
  </conditionalFormatting>
  <conditionalFormatting sqref="W128:AH128">
    <cfRule type="colorScale" priority="28">
      <colorScale>
        <cfvo type="min"/>
        <cfvo type="max"/>
        <color rgb="FFFCFCFF"/>
        <color rgb="FF63BE7B"/>
      </colorScale>
    </cfRule>
  </conditionalFormatting>
  <conditionalFormatting sqref="W132:AH132">
    <cfRule type="colorScale" priority="27">
      <colorScale>
        <cfvo type="min"/>
        <cfvo type="max"/>
        <color rgb="FFFCFCFF"/>
        <color rgb="FF63BE7B"/>
      </colorScale>
    </cfRule>
  </conditionalFormatting>
  <conditionalFormatting sqref="BH3:BS68">
    <cfRule type="colorScale" priority="23">
      <colorScale>
        <cfvo type="min"/>
        <cfvo type="max"/>
        <color rgb="FFFCFCFF"/>
        <color rgb="FF63BE7B"/>
      </colorScale>
    </cfRule>
  </conditionalFormatting>
  <conditionalFormatting sqref="X118:AI118">
    <cfRule type="colorScale" priority="21">
      <colorScale>
        <cfvo type="min"/>
        <cfvo type="percentile" val="50"/>
        <cfvo type="max"/>
        <color rgb="FF5A8AC6"/>
        <color rgb="FFFCFCFF"/>
        <color rgb="FFF8696B"/>
      </colorScale>
    </cfRule>
  </conditionalFormatting>
  <conditionalFormatting sqref="X118:AI118">
    <cfRule type="colorScale" priority="22">
      <colorScale>
        <cfvo type="min"/>
        <cfvo type="percentile" val="50"/>
        <cfvo type="max"/>
        <color rgb="FF5A8AC6"/>
        <color rgb="FFFCFCFF"/>
        <color rgb="FFF8696B"/>
      </colorScale>
    </cfRule>
  </conditionalFormatting>
  <conditionalFormatting sqref="X120:AI120">
    <cfRule type="colorScale" priority="19">
      <colorScale>
        <cfvo type="min"/>
        <cfvo type="percentile" val="50"/>
        <cfvo type="max"/>
        <color rgb="FF5A8AC6"/>
        <color rgb="FFFCFCFF"/>
        <color rgb="FFF8696B"/>
      </colorScale>
    </cfRule>
  </conditionalFormatting>
  <conditionalFormatting sqref="X120:AI120">
    <cfRule type="colorScale" priority="20">
      <colorScale>
        <cfvo type="min"/>
        <cfvo type="percentile" val="50"/>
        <cfvo type="max"/>
        <color rgb="FF5A8AC6"/>
        <color rgb="FFFCFCFF"/>
        <color rgb="FFF8696B"/>
      </colorScale>
    </cfRule>
  </conditionalFormatting>
  <conditionalFormatting sqref="X117:AI117">
    <cfRule type="colorScale" priority="18">
      <colorScale>
        <cfvo type="min"/>
        <cfvo type="percentile" val="50"/>
        <cfvo type="max"/>
        <color rgb="FF5A8AC6"/>
        <color rgb="FFFCFCFF"/>
        <color rgb="FFF8696B"/>
      </colorScale>
    </cfRule>
  </conditionalFormatting>
  <conditionalFormatting sqref="X122:AI122">
    <cfRule type="colorScale" priority="17">
      <colorScale>
        <cfvo type="min"/>
        <cfvo type="percentile" val="50"/>
        <cfvo type="max"/>
        <color rgb="FF5A8AC6"/>
        <color rgb="FFFCFCFF"/>
        <color rgb="FFF8696B"/>
      </colorScale>
    </cfRule>
  </conditionalFormatting>
  <conditionalFormatting sqref="X121:AI121">
    <cfRule type="colorScale" priority="16">
      <colorScale>
        <cfvo type="min"/>
        <cfvo type="percentile" val="50"/>
        <cfvo type="max"/>
        <color rgb="FF5A8AC6"/>
        <color rgb="FFFCFCFF"/>
        <color rgb="FFF8696B"/>
      </colorScale>
    </cfRule>
  </conditionalFormatting>
  <conditionalFormatting sqref="X123:AI123">
    <cfRule type="colorScale" priority="15">
      <colorScale>
        <cfvo type="min"/>
        <cfvo type="percentile" val="50"/>
        <cfvo type="max"/>
        <color rgb="FF5A8AC6"/>
        <color rgb="FFFCFCFF"/>
        <color rgb="FFF8696B"/>
      </colorScale>
    </cfRule>
  </conditionalFormatting>
  <conditionalFormatting sqref="X116:AI116">
    <cfRule type="colorScale" priority="14">
      <colorScale>
        <cfvo type="min"/>
        <cfvo type="percentile" val="50"/>
        <cfvo type="max"/>
        <color rgb="FF5A8AC6"/>
        <color rgb="FFFCFCFF"/>
        <color rgb="FFF8696B"/>
      </colorScale>
    </cfRule>
  </conditionalFormatting>
  <conditionalFormatting sqref="X97:AI115 W124:AH125 X118:AI120">
    <cfRule type="colorScale" priority="221">
      <colorScale>
        <cfvo type="min"/>
        <cfvo type="percentile" val="50"/>
        <cfvo type="max"/>
        <color rgb="FF5A8AC6"/>
        <color rgb="FFFCFCFF"/>
        <color rgb="FFF8696B"/>
      </colorScale>
    </cfRule>
  </conditionalFormatting>
  <conditionalFormatting sqref="W143:AH144 W146:AH146">
    <cfRule type="colorScale" priority="253">
      <colorScale>
        <cfvo type="min"/>
        <cfvo type="max"/>
        <color rgb="FFFCFCFF"/>
        <color rgb="FF63BE7B"/>
      </colorScale>
    </cfRule>
  </conditionalFormatting>
  <conditionalFormatting sqref="W146:AH146 W127:AH144 W154:AH154">
    <cfRule type="colorScale" priority="256">
      <colorScale>
        <cfvo type="min"/>
        <cfvo type="max"/>
        <color rgb="FFFCFCFF"/>
        <color rgb="FF63BE7B"/>
      </colorScale>
    </cfRule>
  </conditionalFormatting>
  <conditionalFormatting sqref="X97:AI97 W124:AH125 X99:AI101 X103:AI115 X118:AI120">
    <cfRule type="colorScale" priority="295">
      <colorScale>
        <cfvo type="min"/>
        <cfvo type="percentile" val="50"/>
        <cfvo type="max"/>
        <color rgb="FF5A8AC6"/>
        <color rgb="FFFCFCFF"/>
        <color rgb="FFF8696B"/>
      </colorScale>
    </cfRule>
  </conditionalFormatting>
  <conditionalFormatting sqref="X97:AI97 X99:AI99 X101:AI101 X103:AI108">
    <cfRule type="colorScale" priority="305">
      <colorScale>
        <cfvo type="min"/>
        <cfvo type="percentile" val="50"/>
        <cfvo type="max"/>
        <color rgb="FF5A8AC6"/>
        <color rgb="FFFCFCFF"/>
        <color rgb="FFF8696B"/>
      </colorScale>
    </cfRule>
  </conditionalFormatting>
  <conditionalFormatting sqref="X97:AI123">
    <cfRule type="colorScale" priority="12">
      <colorScale>
        <cfvo type="min"/>
        <cfvo type="percentile" val="50"/>
        <cfvo type="max"/>
        <color rgb="FF5A8AC6"/>
        <color rgb="FFFCFCFF"/>
        <color rgb="FFF8696B"/>
      </colorScale>
    </cfRule>
  </conditionalFormatting>
  <conditionalFormatting sqref="X119:AI119 W124:AH125 X114:AI115 X109:AI109">
    <cfRule type="colorScale" priority="327">
      <colorScale>
        <cfvo type="min"/>
        <cfvo type="percentile" val="50"/>
        <cfvo type="max"/>
        <color rgb="FF5A8AC6"/>
        <color rgb="FFFCFCFF"/>
        <color rgb="FFF8696B"/>
      </colorScale>
    </cfRule>
  </conditionalFormatting>
  <conditionalFormatting sqref="W145:AH145">
    <cfRule type="colorScale" priority="11">
      <colorScale>
        <cfvo type="min"/>
        <cfvo type="max"/>
        <color rgb="FFFCFCFF"/>
        <color rgb="FF63BE7B"/>
      </colorScale>
    </cfRule>
  </conditionalFormatting>
  <conditionalFormatting sqref="W147:AH148">
    <cfRule type="colorScale" priority="10">
      <colorScale>
        <cfvo type="min"/>
        <cfvo type="max"/>
        <color rgb="FFFCFCFF"/>
        <color rgb="FF63BE7B"/>
      </colorScale>
    </cfRule>
  </conditionalFormatting>
  <conditionalFormatting sqref="W150:AH152">
    <cfRule type="colorScale" priority="9">
      <colorScale>
        <cfvo type="min"/>
        <cfvo type="max"/>
        <color rgb="FFFCFCFF"/>
        <color rgb="FF63BE7B"/>
      </colorScale>
    </cfRule>
  </conditionalFormatting>
  <conditionalFormatting sqref="W153:AH153">
    <cfRule type="colorScale" priority="8">
      <colorScale>
        <cfvo type="min"/>
        <cfvo type="max"/>
        <color rgb="FFFCFCFF"/>
        <color rgb="FF63BE7B"/>
      </colorScale>
    </cfRule>
  </conditionalFormatting>
  <conditionalFormatting sqref="W149:AH149">
    <cfRule type="colorScale" priority="7">
      <colorScale>
        <cfvo type="min"/>
        <cfvo type="max"/>
        <color rgb="FFFCFCFF"/>
        <color rgb="FF63BE7B"/>
      </colorScale>
    </cfRule>
  </conditionalFormatting>
  <conditionalFormatting sqref="W146:AH146 W127:AH127 W129:AH131 W133:AH144">
    <cfRule type="colorScale" priority="349">
      <colorScale>
        <cfvo type="min"/>
        <cfvo type="max"/>
        <color rgb="FFFCFCFF"/>
        <color rgb="FF63BE7B"/>
      </colorScale>
    </cfRule>
  </conditionalFormatting>
  <conditionalFormatting sqref="W127:AH127 W129:AH129 W131:AH131 W133:AH138">
    <cfRule type="colorScale" priority="356">
      <colorScale>
        <cfvo type="min"/>
        <cfvo type="max"/>
        <color rgb="FFFCFCFF"/>
        <color rgb="FF63BE7B"/>
      </colorScale>
    </cfRule>
  </conditionalFormatting>
  <conditionalFormatting sqref="CO3:CZ45">
    <cfRule type="expression" dxfId="120" priority="3">
      <formula>CO3&gt;$DB$1</formula>
    </cfRule>
  </conditionalFormatting>
  <conditionalFormatting sqref="V213">
    <cfRule type="colorScale" priority="388">
      <colorScale>
        <cfvo type="min"/>
        <cfvo type="percentile" val="50"/>
        <cfvo type="max"/>
        <color rgb="FF5A8AC6"/>
        <color rgb="FFFCFCFF"/>
        <color rgb="FFF8696B"/>
      </colorScale>
    </cfRule>
  </conditionalFormatting>
  <conditionalFormatting sqref="W233:AH245">
    <cfRule type="colorScale" priority="1">
      <colorScale>
        <cfvo type="min"/>
        <cfvo type="percentile" val="50"/>
        <cfvo type="max"/>
        <color rgb="FF5A8AC6"/>
        <color rgb="FFFCFCFF"/>
        <color rgb="FFF8696B"/>
      </colorScale>
    </cfRule>
  </conditionalFormatting>
  <pageMargins left="0.7" right="0.7" top="0.75" bottom="0.75" header="0.3" footer="0.3"/>
  <pageSetup orientation="portrait" r:id="rId1"/>
  <drawing r:id="rId2"/>
  <tableParts count="2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461E990-99D7-4E7E-AB92-E52CF3EC5F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174</vt:i4>
      </vt:variant>
    </vt:vector>
  </HeadingPairs>
  <TitlesOfParts>
    <vt:vector size="183" baseType="lpstr">
      <vt:lpstr>Instrucciones</vt:lpstr>
      <vt:lpstr>Materiales</vt:lpstr>
      <vt:lpstr>Configuración</vt:lpstr>
      <vt:lpstr>Transmitancia</vt:lpstr>
      <vt:lpstr>Condensación</vt:lpstr>
      <vt:lpstr>Resumen</vt:lpstr>
      <vt:lpstr>Anexo</vt:lpstr>
      <vt:lpstr>Cálculos</vt:lpstr>
      <vt:lpstr>Aux</vt:lpstr>
      <vt:lpstr>A_f</vt:lpstr>
      <vt:lpstr>acumulación_máxima_de_agua</vt:lpstr>
      <vt:lpstr>Anexo!Ai</vt:lpstr>
      <vt:lpstr>Cálculos!Ai</vt:lpstr>
      <vt:lpstr>Alcance_emplazamiento_usuario</vt:lpstr>
      <vt:lpstr>avanzado</vt:lpstr>
      <vt:lpstr>capa_interior_μ_inf</vt:lpstr>
      <vt:lpstr>Clase_humedad</vt:lpstr>
      <vt:lpstr>clase_humedad_por_defecto</vt:lpstr>
      <vt:lpstr>col_análisis</vt:lpstr>
      <vt:lpstr>col_base</vt:lpstr>
      <vt:lpstr>col_propuesto</vt:lpstr>
      <vt:lpstr>Comuna_usuario</vt:lpstr>
      <vt:lpstr>condensación_en_mes_de_inicio</vt:lpstr>
      <vt:lpstr>contacto_terreno</vt:lpstr>
      <vt:lpstr>contacto_terreno_usuario</vt:lpstr>
      <vt:lpstr>Cumple_exigencia_térmica</vt:lpstr>
      <vt:lpstr>Cumple_sistema_C_Inter</vt:lpstr>
      <vt:lpstr>Cumple_sistema_C_Sup</vt:lpstr>
      <vt:lpstr>d_0</vt:lpstr>
      <vt:lpstr>d_1</vt:lpstr>
      <vt:lpstr>d_f</vt:lpstr>
      <vt:lpstr>d_w_b</vt:lpstr>
      <vt:lpstr>d_w_e</vt:lpstr>
      <vt:lpstr>datos_Base</vt:lpstr>
      <vt:lpstr>datos_caso_en_análisis</vt:lpstr>
      <vt:lpstr>datos_Propuesto</vt:lpstr>
      <vt:lpstr>descripción_auto_elemento</vt:lpstr>
      <vt:lpstr>descripción_usuario</vt:lpstr>
      <vt:lpstr>detalles_condensación</vt:lpstr>
      <vt:lpstr>detalles_transmitancia</vt:lpstr>
      <vt:lpstr>días_del_mes</vt:lpstr>
      <vt:lpstr>dirección_flujo</vt:lpstr>
      <vt:lpstr>emplazamiento_usuario</vt:lpstr>
      <vt:lpstr>error_máximo_relativo</vt:lpstr>
      <vt:lpstr>error_máximo_relativo_admisible</vt:lpstr>
      <vt:lpstr>espacio_no_acondicionado</vt:lpstr>
      <vt:lpstr>exigencia_térmica</vt:lpstr>
      <vt:lpstr>Gráf_cuadro_RT</vt:lpstr>
      <vt:lpstr>Gráf_cuadro_SdT</vt:lpstr>
      <vt:lpstr>Gráf_mes</vt:lpstr>
      <vt:lpstr>Gráf_sección</vt:lpstr>
      <vt:lpstr>humedad_inicial</vt:lpstr>
      <vt:lpstr>humedad_relativa_fija_interior</vt:lpstr>
      <vt:lpstr>lista_acreditación_térmica</vt:lpstr>
      <vt:lpstr>lista_bibliotecas</vt:lpstr>
      <vt:lpstr>lista_cámara_bajo_cubierta</vt:lpstr>
      <vt:lpstr>lista_capas</vt:lpstr>
      <vt:lpstr>lista_clases_humedad</vt:lpstr>
      <vt:lpstr>lista_comunas_alfabético</vt:lpstr>
      <vt:lpstr>lista_comunas_región</vt:lpstr>
      <vt:lpstr>lista_comunas_región_provincia</vt:lpstr>
      <vt:lpstr>lista_corrección_fijaciones</vt:lpstr>
      <vt:lpstr>lista_dirección_flujo</vt:lpstr>
      <vt:lpstr>lista_escuadrias</vt:lpstr>
      <vt:lpstr>lista_espacios_aire</vt:lpstr>
      <vt:lpstr>lista_estaciones_meteorológicas_NCh_1079</vt:lpstr>
      <vt:lpstr>lista_fijaciones</vt:lpstr>
      <vt:lpstr>lista_Macrozona_Térmica_BCD</vt:lpstr>
      <vt:lpstr>lista_Macrozona_Térmica_BCDE</vt:lpstr>
      <vt:lpstr>lista_Macrozona_Térmica_FG</vt:lpstr>
      <vt:lpstr>lista_Macrozona_Térmica_HI</vt:lpstr>
      <vt:lpstr>lista_mat_Cámaras_aire</vt:lpstr>
      <vt:lpstr>lista_mat_DITEC</vt:lpstr>
      <vt:lpstr>lista_mat_ISO_tabla3</vt:lpstr>
      <vt:lpstr>lista_mat_ISO_tabla5</vt:lpstr>
      <vt:lpstr>lista_mat_usuario</vt:lpstr>
      <vt:lpstr>lista_mes_abreviado</vt:lpstr>
      <vt:lpstr>lista_meses</vt:lpstr>
      <vt:lpstr>lista_PDA</vt:lpstr>
      <vt:lpstr>lista_rse</vt:lpstr>
      <vt:lpstr>lista_rsi</vt:lpstr>
      <vt:lpstr>lista_secciones</vt:lpstr>
      <vt:lpstr>lista_techo</vt:lpstr>
      <vt:lpstr>lista_tipo_elemento</vt:lpstr>
      <vt:lpstr>lista_tipo_elementos</vt:lpstr>
      <vt:lpstr>lista_tipo_emplazamiento</vt:lpstr>
      <vt:lpstr>lista_Zona_Térmica_A</vt:lpstr>
      <vt:lpstr>lista_Zona_Térmica_B</vt:lpstr>
      <vt:lpstr>lista_Zona_Térmica_C</vt:lpstr>
      <vt:lpstr>lista_Zona_Térmica_D</vt:lpstr>
      <vt:lpstr>lista_Zona_Térmica_E</vt:lpstr>
      <vt:lpstr>lista_Zona_Térmica_F</vt:lpstr>
      <vt:lpstr>lista_Zona_Térmica_G</vt:lpstr>
      <vt:lpstr>lista_Zona_Térmica_H</vt:lpstr>
      <vt:lpstr>lista_Zona_Térmica_I</vt:lpstr>
      <vt:lpstr>lista_Zona_Térmica_POLAR</vt:lpstr>
      <vt:lpstr>lista_zonas_macrozonas</vt:lpstr>
      <vt:lpstr>m_Δp</vt:lpstr>
      <vt:lpstr>mes_con_máx_condensación</vt:lpstr>
      <vt:lpstr>Mes_inicial_de_análisis</vt:lpstr>
      <vt:lpstr>método_acreditación_térmico_usuario</vt:lpstr>
      <vt:lpstr>método_acreditación_transmitancia</vt:lpstr>
      <vt:lpstr>Método_hr_interior</vt:lpstr>
      <vt:lpstr>Método_humedad_relativa_exterior</vt:lpstr>
      <vt:lpstr>Método_temp_interior</vt:lpstr>
      <vt:lpstr>Método_temperatura_exterior</vt:lpstr>
      <vt:lpstr>Cálculos!n</vt:lpstr>
      <vt:lpstr>N_capas</vt:lpstr>
      <vt:lpstr>n_f</vt:lpstr>
      <vt:lpstr>n_por_defecto</vt:lpstr>
      <vt:lpstr>n_resultados_acum</vt:lpstr>
      <vt:lpstr>N_secciones</vt:lpstr>
      <vt:lpstr>Nivel_ocupación</vt:lpstr>
      <vt:lpstr>nivel_ocupación_por_defecto</vt:lpstr>
      <vt:lpstr>ocultar_condensación</vt:lpstr>
      <vt:lpstr>ocultar_transmitancia</vt:lpstr>
      <vt:lpstr>param_emplazamiento_1</vt:lpstr>
      <vt:lpstr>param_emplazamiento_2</vt:lpstr>
      <vt:lpstr>Provincia_usuario</vt:lpstr>
      <vt:lpstr>R_1_fijaciones</vt:lpstr>
      <vt:lpstr>R_1_huecos</vt:lpstr>
      <vt:lpstr>R_100</vt:lpstr>
      <vt:lpstr>R_f_b</vt:lpstr>
      <vt:lpstr>R_se</vt:lpstr>
      <vt:lpstr>R_si</vt:lpstr>
      <vt:lpstr>R_tot</vt:lpstr>
      <vt:lpstr>R_tot_inf</vt:lpstr>
      <vt:lpstr>R_tot_sup</vt:lpstr>
      <vt:lpstr>R_u_no_acondicionado</vt:lpstr>
      <vt:lpstr>R_u_techo</vt:lpstr>
      <vt:lpstr>R_v</vt:lpstr>
      <vt:lpstr>Resistencia_térmica_2m_tierra</vt:lpstr>
      <vt:lpstr>Rsi_condensación</vt:lpstr>
      <vt:lpstr>Rsi_mobiliario</vt:lpstr>
      <vt:lpstr>RTsup_RTinf</vt:lpstr>
      <vt:lpstr>Selector_HR_exterior</vt:lpstr>
      <vt:lpstr>Selector_HR_interior</vt:lpstr>
      <vt:lpstr>Selector_temp_exterior</vt:lpstr>
      <vt:lpstr>Selector_temp_interior</vt:lpstr>
      <vt:lpstr>Suelo</vt:lpstr>
      <vt:lpstr>Anexo!suma_A_e_k_U_e_k</vt:lpstr>
      <vt:lpstr>Cálculos!suma_A_e_k_U_e_k</vt:lpstr>
      <vt:lpstr>suma_fm</vt:lpstr>
      <vt:lpstr>Temperatura_interior_fija</vt:lpstr>
      <vt:lpstr>tipo_de_clima</vt:lpstr>
      <vt:lpstr>tipo_elemento</vt:lpstr>
      <vt:lpstr>tipo_elemento_usuario</vt:lpstr>
      <vt:lpstr>tipo_emplazamiento</vt:lpstr>
      <vt:lpstr>tipo_espacio_bajo_cubierta</vt:lpstr>
      <vt:lpstr>tipo_espacio_bajo_cubierta_usuario</vt:lpstr>
      <vt:lpstr>tipo_uso_edificación</vt:lpstr>
      <vt:lpstr>U_corregida</vt:lpstr>
      <vt:lpstr>U_e_k_defecto</vt:lpstr>
      <vt:lpstr>U_sin_corregir</vt:lpstr>
      <vt:lpstr>U_usuario</vt:lpstr>
      <vt:lpstr>U_wg_b</vt:lpstr>
      <vt:lpstr>uso_edificación</vt:lpstr>
      <vt:lpstr>Usuario_estación_meteorológica</vt:lpstr>
      <vt:lpstr>Anexo!V</vt:lpstr>
      <vt:lpstr>Cálculos!V</vt:lpstr>
      <vt:lpstr>V_aire</vt:lpstr>
      <vt:lpstr>verif_error_térmico</vt:lpstr>
      <vt:lpstr>verificador_error_condensación</vt:lpstr>
      <vt:lpstr>y0_Δp</vt:lpstr>
      <vt:lpstr>y1_Δp</vt:lpstr>
      <vt:lpstr>z</vt:lpstr>
      <vt:lpstr>Zona_Térmica_condensación</vt:lpstr>
      <vt:lpstr>α_fijaciones</vt:lpstr>
      <vt:lpstr>δ_0</vt:lpstr>
      <vt:lpstr>ΔU</vt:lpstr>
      <vt:lpstr>ΔU_U</vt:lpstr>
      <vt:lpstr>ΔUf</vt:lpstr>
      <vt:lpstr>ΔUg</vt:lpstr>
      <vt:lpstr>ΔUg_2_prima</vt:lpstr>
      <vt:lpstr>ΔUr</vt:lpstr>
      <vt:lpstr>ϴ_an</vt:lpstr>
      <vt:lpstr>λ_f</vt:lpstr>
      <vt:lpstr>λ_terreno_defecto</vt:lpstr>
      <vt:lpstr>μ_inf</vt:lpstr>
      <vt:lpstr>ϕe_suelo</vt:lpstr>
      <vt:lpstr>ϕsicr</vt:lpstr>
      <vt:lpstr>ϕsicr_defecto</vt:lpstr>
      <vt:lpstr>ϕsicr_usuario</vt:lpstr>
    </vt:vector>
  </TitlesOfParts>
  <Manager/>
  <Company>Ministerio de Vivienda Y Urbanismo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Xavier Irazoqui Oyarzabal</dc:creator>
  <cp:keywords/>
  <dc:description/>
  <cp:lastModifiedBy>Carlos Verdugo Rotella</cp:lastModifiedBy>
  <cp:revision/>
  <cp:lastPrinted>2026-06-23T11:49:41Z</cp:lastPrinted>
  <dcterms:created xsi:type="dcterms:W3CDTF">2018-05-11T19:35:56Z</dcterms:created>
  <dcterms:modified xsi:type="dcterms:W3CDTF">2026-08-07T22:16:49Z</dcterms:modified>
  <cp:category/>
  <cp:contentStatus/>
</cp:coreProperties>
</file>